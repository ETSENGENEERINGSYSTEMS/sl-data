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56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projects" sheetId="6" r:id="rId8"/>
    <sheet name="technical areas" sheetId="7" r:id="rId9"/>
    <sheet name="project plans" sheetId="8" r:id="rId10"/>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O11" i="10" l="1"/>
  <c r="O10" i="10"/>
  <c r="O9" i="10"/>
  <c r="O8" i="10"/>
  <c r="O7" i="10"/>
  <c r="O6" i="10"/>
  <c r="O5" i="10"/>
  <c r="O4" i="10"/>
  <c r="H16" i="9"/>
  <c r="H15" i="9"/>
  <c r="H14" i="9"/>
  <c r="H13" i="9"/>
  <c r="H12" i="9"/>
  <c r="H11" i="9"/>
  <c r="H10" i="9"/>
  <c r="H9" i="9"/>
  <c r="H8" i="9"/>
  <c r="H7" i="9"/>
  <c r="H6" i="9"/>
  <c r="H5" i="9"/>
  <c r="H4" i="9"/>
  <c r="E16" i="9"/>
  <c r="E15" i="9"/>
  <c r="E14" i="9"/>
  <c r="E13" i="9"/>
  <c r="E12" i="9"/>
  <c r="E11" i="9"/>
  <c r="E10" i="9"/>
  <c r="E9" i="9"/>
  <c r="E8" i="9"/>
  <c r="E7" i="9"/>
  <c r="E6" i="9"/>
  <c r="E5" i="9"/>
  <c r="E4" i="9"/>
</calcChain>
</file>

<file path=xl/sharedStrings.xml><?xml version="1.0" encoding="utf-8"?>
<sst xmlns="http://schemas.openxmlformats.org/spreadsheetml/2006/main" count="438" uniqueCount="291">
  <si>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</si>
  <si>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</si>
  <si>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</si>
  <si>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</si>
  <si>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</si>
  <si>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</si>
  <si>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</si>
  <si>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</si>
  <si>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</si>
  <si>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</si>
  <si>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</si>
  <si>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</si>
  <si>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</si>
  <si>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</si>
  <si>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</si>
  <si>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</si>
  <si>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</si>
  <si>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</si>
  <si>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</si>
  <si>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Army Research Laboratory</t>
  </si>
  <si>
    <t>US</t>
  </si>
  <si>
    <t>Cardiff University</t>
  </si>
  <si>
    <t>Cardiff University</t>
  </si>
  <si>
    <t>Cardiff</t>
  </si>
  <si>
    <t>UK</t>
  </si>
  <si>
    <t>IBM UK</t>
  </si>
  <si>
    <t>IBM UK</t>
  </si>
  <si>
    <t>IBM US</t>
  </si>
  <si>
    <t>IBM US</t>
  </si>
  <si>
    <t>West point</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</si>
  <si>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</si>
  <si>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</si>
  <si>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</si>
  <si>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</si>
  <si>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</si>
  <si>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</si>
  <si>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</si>
  <si>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</si>
  <si>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</si>
  <si>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</si>
  <si>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</si>
  <si>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</si>
  <si>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</si>
  <si>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</si>
  <si>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Annual Fall Meeting of the International Technology Alliance (AFM)</t>
  </si>
  <si>
    <t>FUSION</t>
  </si>
  <si>
    <t>International Conference on Information Fusion (Fusion)</t>
  </si>
  <si>
    <t>ISIF</t>
  </si>
  <si>
    <t>ACITA|AFM</t>
  </si>
  <si>
    <t>ACITA 2012</t>
  </si>
  <si>
    <t>6th Annual Conference of the International Technology Alliance</t>
  </si>
  <si>
    <t>17th September 2012</t>
  </si>
  <si>
    <t>21st September 2012</t>
  </si>
  <si>
    <t>https://www.usukitacs.com/acita2012</t>
  </si>
  <si>
    <t>AFM 2015</t>
  </si>
  <si>
    <t>9th Annual Fall Meeting of the International Technology Alliance</t>
  </si>
  <si>
    <t>15th September 2015</t>
  </si>
  <si>
    <t>17th September 2015</t>
  </si>
  <si>
    <t>https://www.usukitacs.com/2015_AFM</t>
  </si>
  <si>
    <t>Fusion 2014</t>
  </si>
  <si>
    <t>17th International Conference on Information FUSION</t>
  </si>
  <si>
    <t>7th July 2014</t>
  </si>
  <si>
    <t>14th July 2014</t>
  </si>
  <si>
    <t>http://isif.org/events/conference/fusion-2014</t>
  </si>
  <si>
    <t>SPIE DSS 2012</t>
  </si>
  <si>
    <t>International Society for Optics and Photonics - Defense, Security and Sensing, 2012</t>
  </si>
  <si>
    <t>23rd April 2012</t>
  </si>
  <si>
    <t>27th April 2012</t>
  </si>
  <si>
    <t>http://spie.org/conferences-and-exhibitions/past-events/past-conferences-and-exhibitions/past-events/defense-security-and-sensing/defense-security-and-sensing-2012</t>
  </si>
  <si>
    <t>SPIE DSS</t>
  </si>
  <si>
    <t>Sep-12</t>
  </si>
  <si>
    <t>Sep-15</t>
  </si>
  <si>
    <t>Jul-14</t>
  </si>
  <si>
    <t>Apr-12</t>
  </si>
  <si>
    <t>code name</t>
  </si>
  <si>
    <t>project plan</t>
  </si>
  <si>
    <t>technical area</t>
  </si>
  <si>
    <t>BPP11P4</t>
  </si>
  <si>
    <t>P4: Shared Understanding and Information Exploitation</t>
  </si>
  <si>
    <t>BPP11</t>
  </si>
  <si>
    <t>TA6</t>
  </si>
  <si>
    <t>BPP13P4</t>
  </si>
  <si>
    <t>P4: Human-Information Interaction</t>
  </si>
  <si>
    <t>BPP13</t>
  </si>
  <si>
    <t>year</t>
  </si>
  <si>
    <t>Distributed Coalition Information Processing for Decision Making</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</si>
  <si>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</si>
  <si>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</si>
  <si>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</si>
  <si>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</si>
  <si>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</si>
  <si>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</si>
  <si>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</si>
  <si>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</si>
  <si>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</si>
  <si>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</si>
  <si>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</si>
  <si>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</si>
  <si>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</si>
  <si>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</si>
  <si>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</si>
  <si>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</si>
  <si>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</si>
  <si>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</si>
  <si>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</si>
  <si>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</si>
  <si>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</si>
  <si>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</si>
  <si>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</si>
  <si>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</si>
  <si>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</si>
  <si>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</si>
  <si>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</si>
  <si>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</si>
  <si>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</si>
  <si>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</si>
  <si>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</si>
  <si>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</si>
  <si>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de Mel</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</si>
  <si>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</si>
  <si>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</si>
  <si>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</si>
  <si>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</si>
  <si>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</si>
  <si>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</si>
  <si>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</si>
  <si>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</si>
  <si>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</si>
  <si>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</si>
  <si>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</si>
  <si>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</si>
  <si>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</si>
  <si>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</si>
  <si>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</si>
  <si>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</si>
  <si>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</si>
  <si>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</si>
  <si>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/SL_static/images/people/alun_preece.jpg</t>
  </si>
  <si>
    <t>/SL_static/images/people/dave_braines.jpg</t>
  </si>
  <si>
    <t>/SL_static/images/people/david_mott.jpg</t>
  </si>
  <si>
    <t>/SL_static/images/people/david_vyvyan.jpg</t>
  </si>
  <si>
    <t>/SL_static/images/people/geeth_de_mel.jpg</t>
  </si>
  <si>
    <t>/SL_static/images/people/graham_bent.jpg</t>
  </si>
  <si>
    <t>/SL_static/images/people/patrick_dantressangle.jpg</t>
  </si>
  <si>
    <t>https://scholar.google.co.uk/citations?user=jKz-U3wAAAAJ&amp;hl=en</t>
  </si>
  <si>
    <t>https://scholar.google.co.uk/citations?user=jfsu_TcAAAAJ&amp;hl=en</t>
  </si>
  <si>
    <t>https://scholar.google.co.uk/citations?user=R0cCxNkAAAAJ&amp;hl=en</t>
  </si>
  <si>
    <t>24/11/2015</t>
  </si>
  <si>
    <t>22/01/2016</t>
  </si>
  <si>
    <t>https://scholar.google.co.uk/citations?user=GNtI7cIAAAAJ&amp;hl=en</t>
  </si>
  <si>
    <t>doc-1434</t>
  </si>
  <si>
    <t>concept</t>
  </si>
  <si>
    <t>technical report</t>
  </si>
  <si>
    <t>title</t>
  </si>
  <si>
    <t>publish date</t>
  </si>
  <si>
    <t>Efficient SME Knowledge capture through CNLs and ontologies</t>
  </si>
  <si>
    <t>Feb-2009</t>
  </si>
  <si>
    <t>abstract</t>
  </si>
  <si>
    <t>paper file</t>
  </si>
  <si>
    <t>paper thumbnail</t>
  </si>
  <si>
    <t>This paper looks at the issues around creating and populating an ontology model from a textual description of an application domain.</t>
  </si>
  <si>
    <t>/SL_static/attachments/1434/P12%20T1%20-%20Efficient%20SME%20Knowledge%20Capture.doc</t>
  </si>
  <si>
    <t>/SL_static/images/papers/1434_paper.jpg</t>
  </si>
  <si>
    <t>authors</t>
  </si>
  <si>
    <t>https://scholar.google.co.uk/scholar?q="Efficient SME Knowledge capture through CNLs and ontologies"&amp;btnG=&amp;hl=en&amp;as_sdt=0,5</t>
  </si>
  <si>
    <t>doc-1855a</t>
  </si>
  <si>
    <t>external conference document</t>
  </si>
  <si>
    <t>Tasking and Sharing Sensing Assets Using Controlled Natural Language</t>
  </si>
  <si>
    <t>venue</t>
  </si>
  <si>
    <t>project</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</si>
  <si>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</si>
  <si>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/SL_static/attachments/1855/ita_spie2012_v2a.pdf</t>
  </si>
  <si>
    <t>presentation_file</t>
  </si>
  <si>
    <t xml:space="preserve"> </t>
  </si>
  <si>
    <t>/SL_static/attachments/1855/ita_spie2012.ppt</t>
  </si>
  <si>
    <t>/SL_static/images/papers/1855_paper.jpg</t>
  </si>
  <si>
    <t>https://scholar.google.co.uk/scholar?q="Tasking and Sharing Sensing Assets Using Controlled Natural Language"&amp;btnG=&amp;hl=en&amp;as_sdt=0,5</t>
  </si>
  <si>
    <t>variant</t>
  </si>
  <si>
    <t>alun_preece|diego_pizzocaro|dave_braines|david_mott</t>
  </si>
  <si>
    <t>demonstration</t>
  </si>
  <si>
    <t>doc-1855c</t>
  </si>
  <si>
    <t>/SL_static/images/papers/1855b_paper.jpg</t>
  </si>
  <si>
    <t>doc-2377</t>
  </si>
  <si>
    <t>Human-Machine Conversations to Support Mission-Oriented Information Provision</t>
  </si>
  <si>
    <t>old venue</t>
  </si>
  <si>
    <t>Proceedings of the 2nd ACM annual international workshop on Mission-oriented wireless sensor networking (pp. 43-50). ACM</t>
  </si>
  <si>
    <t>alun_preece|dave_braines|diego_pizzocaro|christos_parizas</t>
  </si>
  <si>
    <t xml:space="preserve"> /SL_static/attachments/2377/misenet05-preece.pdf</t>
  </si>
  <si>
    <t>/SL_static/images/papers/2377_paper.jpg</t>
  </si>
  <si>
    <t>noteworthy</t>
  </si>
  <si>
    <t>Best paper award</t>
  </si>
  <si>
    <t>https://scholar.google.co.uk/scholar?q="Human-Machine Conversations to Support Mission-Oriented Information Provision"&amp;btnG=&amp;hl=en&amp;as_sdt=0,5</t>
  </si>
  <si>
    <t>doc-2630</t>
  </si>
  <si>
    <t>journal document</t>
  </si>
  <si>
    <t>Human-Machine Conversations to Support Multi-Agency Missions</t>
  </si>
  <si>
    <t>Oct-2013</t>
  </si>
  <si>
    <t>Jan-2014</t>
  </si>
  <si>
    <t>ACM SIGMOBILE Mobile Computing and Communications Review, Volume 18 Issue 1</t>
  </si>
  <si>
    <t>alun_preece|dave_braines|diego_pizzocaro</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</si>
  <si>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</si>
  <si>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/SL_static/attachments/2630/p75-preece.pdf</t>
  </si>
  <si>
    <t>/SL_static/images/papers/2630_paper.jpg</t>
  </si>
  <si>
    <t>https://scholar.google.co.uk/scholar?q="Human-Machine Conversations to Support Multi-Agency Missions"&amp;btnG=&amp;hl=en&amp;as_sdt=0,5</t>
  </si>
  <si>
    <t>doc-2697</t>
  </si>
  <si>
    <t>Enabling CoIST Users: D2D at the Network Edge</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</si>
  <si>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</si>
  <si>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dave_braines|alun_preece|geeth_de_mel|tien_pham</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</si>
  <si>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</si>
  <si>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/SL_static/attachments/2697/PID3236615.pdf</t>
  </si>
  <si>
    <t>/SL_static/images/papers/2697_paper.jpg</t>
  </si>
  <si>
    <t>https://scholar.google.co.uk/scholar?q=%22Enabling+CoIST+Users%3A+D2D+at+the+Network+Edge%22&amp;btnG=&amp;hl=en&amp;as_sdt=0%2C5</t>
  </si>
  <si>
    <t>doc-2998</t>
  </si>
  <si>
    <t>internal conference document</t>
  </si>
  <si>
    <t>Use of Controlled English to Bridge the Gap Between Tactical and Strategic Echelons</t>
  </si>
  <si>
    <t>jinny_yan|hannah_grosso|theodore_hoel|dave_braines|alun_preece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</si>
  <si>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</si>
  <si>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/SL_static/attachments/2998/ITA-WP_Paper07AUG.pdf</t>
  </si>
  <si>
    <t>/SL_static/images/papers/2998_paper.jpg</t>
  </si>
  <si>
    <t>https://scholar.google.co.uk/scholar?q=%22Use of Controlled English to Bridge the Gap Between Tactical and Strategic Echelons%22&amp;btnG=&amp;hl=en&amp;as_sdt=0%2C5</t>
  </si>
  <si>
    <t>19/01/2016</t>
  </si>
  <si>
    <t>10/01/2016</t>
  </si>
  <si>
    <t>11/01/2016</t>
  </si>
  <si>
    <t>09/02/2016</t>
  </si>
  <si>
    <t>doc-x0406</t>
  </si>
  <si>
    <t>graham_bent|patrick_dantressangle|david_vyvyan</t>
  </si>
  <si>
    <t>patent</t>
  </si>
  <si>
    <t>Automated propagation of non-conflicting queries in distributed databases</t>
  </si>
  <si>
    <t>2013</t>
  </si>
  <si>
    <t>U.S. Patent No. 8,560,570. Washington, DC: U.S. Patent and Trademark Office.</t>
  </si>
  <si>
    <t>/SL_static/attachments/x0406/x0406.pdf</t>
  </si>
  <si>
    <t>/SL_static/images/papers/x0406_paper.jpg</t>
  </si>
  <si>
    <t>https://scholar.google.co.uk/scholar?q=%22Automated propagation of non-conflicting queries in distributed databases%22&amp;btnG=&amp;hl=en&amp;as_sdt=0%2C5</t>
  </si>
  <si>
    <t>6/3/2016</t>
  </si>
  <si>
    <t>11/2/2016</t>
  </si>
  <si>
    <t>Root folder:</t>
  </si>
  <si>
    <t>Macintosh HD:Users:davebraines:Documents:CESTORE:eclipse_NSCTA:generated</t>
  </si>
  <si>
    <t>Header comment:</t>
  </si>
  <si>
    <t xml:space="preserve">-- --------------------------------------------------------------------------
-- (C) Copyright IBM Corporation 2016
-- All Rights Reserved
-- --------------------------------------------------------------------------
</t>
  </si>
  <si>
    <t>sheet name</t>
  </si>
  <si>
    <t>range</t>
  </si>
  <si>
    <t>file name</t>
  </si>
  <si>
    <t>GENERAL VARIABLES</t>
  </si>
  <si>
    <t>SHEETS TO GENERATE</t>
  </si>
  <si>
    <t>projects.ce</t>
  </si>
  <si>
    <t>places.ce</t>
  </si>
  <si>
    <t>projects</t>
  </si>
  <si>
    <t>places</t>
  </si>
  <si>
    <t>Max rows to check</t>
  </si>
  <si>
    <t>B3:F(max)</t>
  </si>
  <si>
    <t>B3:D(max)</t>
  </si>
  <si>
    <t>CE template</t>
  </si>
  <si>
    <t>technical areas</t>
  </si>
  <si>
    <t>technical_areas.ce</t>
  </si>
  <si>
    <t>B3:E(max)</t>
  </si>
  <si>
    <t>there is an ITA project named '{1}'
  has '{2}' as code name
  has '{3}' as name
  has the ITA project plan '{4}' as project plan
  has the ITA technical area '{5}' as technical area</t>
  </si>
  <si>
    <t>there is a place named '{1}'
  has '{2}' as latitude
  has '{3}' and longitude</t>
  </si>
  <si>
    <t>there is an ITA technical area named '{1}'
  has '{2}' as code name
  has '{3}' as name
  has the ITA project plan '{4}' as project plan</t>
  </si>
  <si>
    <t>project plans</t>
  </si>
  <si>
    <t>project_plans.ce</t>
  </si>
  <si>
    <t>there is an ITA project plan named '{1}'
  has '{2}' as code name and
  ran during the year '{3}'</t>
  </si>
  <si>
    <t>there is an event series named '{1}'
  has '{2}' as full name
  is also known as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</si>
  <si>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</si>
  <si>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</si>
  <si>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</si>
  <si>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</si>
  <si>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</si>
  <si>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</si>
  <si>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</si>
  <si>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</si>
  <si>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</si>
  <si>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</si>
  <si>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</si>
  <si>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</si>
  <si>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</si>
  <si>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</si>
  <si>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there is a person named '{1}'
  has '{2}' as forename
  has '{3}' as surname
  has '{4}' as full name
  is employed by the organisation '{5}'
  has '{6}' as profile picture
  has the person citation count '{7}' as citation count</t>
  </si>
  <si>
    <t>B4:H(max)</t>
  </si>
  <si>
    <t>people_citations.ce</t>
  </si>
  <si>
    <t>H4:M(max)</t>
  </si>
  <si>
    <t>there is a person citation count named '{1}'
  has '{3}' as url
  has '{4}' as citation count
  has '{5}' as h-index
  has '{6}' as date checked</t>
  </si>
  <si>
    <t>B4:I(max)</t>
  </si>
  <si>
    <t>B4:O(max)</t>
  </si>
  <si>
    <t>paper_abstracts.ce</t>
  </si>
  <si>
    <t>there is an academic document named '{1}'
  has '{8}' as abstract</t>
  </si>
  <si>
    <t>B4:N(max)</t>
  </si>
  <si>
    <t>paper_noteworthy.ce</t>
  </si>
  <si>
    <t>there is a noteworthy document named '{1}'
  has '{13}' as noteworthy reason</t>
  </si>
  <si>
    <t>there is an academic document named '{1}'
  is a {2}
  has '{3}' as title
  has the date '{4}' as publish date
  has the ITA project '{5}' as project
  has the event '{6}' as venue
  has '{7}' as old venue
  has '{9}' as paper file
  has '{10}' as presentation file
  has '{11}' as paper thumbnail
  has the academic document '{12}' as variant
  has the paper citation count '{14}' as citation count</t>
  </si>
  <si>
    <t>paper_citations.ce</t>
  </si>
  <si>
    <t>O4:T(max)</t>
  </si>
  <si>
    <t>there is a paper citation count named '{1}'
  has '{4}' as url
  has '{5}' as citation count
  has '{6}' as date checked</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</si>
</sst>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02">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cellStyleXfs>
  <cellXfs count="25">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14"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vertical="top"/>
    </xf>
    <xf numFmtId="0" fontId="0" fillId="0" borderId="0" xfId="0" quotePrefix="1" applyAlignment="1">
      <alignment horizontal="left" vertical="top" wrapText="1"/>
    </xf>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1" fillId="0" borderId="0" xfId="0" applyFont="1" applyFill="1" applyAlignment="1"/>
    <xf numFmtId="17" fontId="0" fillId="0" borderId="0" xfId="0" quotePrefix="1" applyNumberFormat="1" applyFill="1"/>
  </cellXfs>
  <cellStyles count="10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ashboard" enableFormatConditionsCalculation="0"/>
  <dimension ref="B2:E32"/>
  <sheetViews>
    <sheetView tabSelected="1" workbookViewId="0"/>
  </sheetViews>
  <sheetFormatPr baseColWidth="10" defaultRowHeight="15" x14ac:dyDescent="0"/>
  <cols>
    <col min="1" max="1" width="2.33203125" customWidth="1"/>
    <col min="2" max="2" width="18.83203125" style="8" customWidth="1"/>
    <col min="3" max="3" width="14.1640625" customWidth="1"/>
    <col min="4" max="4" width="18.83203125" customWidth="1"/>
    <col min="5" max="5" width="47.1640625" customWidth="1"/>
  </cols>
  <sheetData>
    <row r="2" spans="2:5">
      <c r="B2" s="7" t="s">
        <v>241</v>
      </c>
      <c r="C2" s="7"/>
      <c r="D2" s="7"/>
      <c r="E2" s="7"/>
    </row>
    <row r="3" spans="2:5">
      <c r="B3" s="9" t="s">
        <v>234</v>
      </c>
      <c r="C3" s="11" t="s">
        <v>235</v>
      </c>
      <c r="D3" s="11"/>
      <c r="E3" s="11"/>
    </row>
    <row r="4" spans="2:5" ht="90" customHeight="1">
      <c r="B4" s="9" t="s">
        <v>236</v>
      </c>
      <c r="C4" s="12" t="s">
        <v>237</v>
      </c>
      <c r="D4" s="12"/>
      <c r="E4" s="12"/>
    </row>
    <row r="5" spans="2:5" ht="15" customHeight="1">
      <c r="B5" s="9" t="s">
        <v>247</v>
      </c>
      <c r="C5" s="12">
        <v>1000</v>
      </c>
      <c r="D5" s="12"/>
      <c r="E5" s="12"/>
    </row>
    <row r="7" spans="2:5">
      <c r="B7" s="7" t="s">
        <v>242</v>
      </c>
      <c r="C7" s="7"/>
      <c r="D7" s="7"/>
      <c r="E7" s="7"/>
    </row>
    <row r="8" spans="2:5">
      <c r="B8" s="14" t="s">
        <v>238</v>
      </c>
      <c r="C8" s="14" t="s">
        <v>239</v>
      </c>
      <c r="D8" s="14" t="s">
        <v>240</v>
      </c>
      <c r="E8" s="14" t="s">
        <v>250</v>
      </c>
    </row>
    <row r="9" spans="2:5" ht="180">
      <c r="B9" s="17" t="s">
        <v>266</v>
      </c>
      <c r="C9" s="15" t="s">
        <v>281</v>
      </c>
      <c r="D9" s="17" t="s">
        <v>269</v>
      </c>
      <c r="E9" s="18" t="s">
        <v>287</v>
      </c>
    </row>
    <row r="10" spans="2:5" ht="60">
      <c r="B10" s="17" t="s">
        <v>266</v>
      </c>
      <c r="C10" s="15" t="s">
        <v>289</v>
      </c>
      <c r="D10" s="17" t="s">
        <v>288</v>
      </c>
      <c r="E10" s="18" t="s">
        <v>290</v>
      </c>
    </row>
    <row r="11" spans="2:5" ht="30">
      <c r="B11" s="17" t="s">
        <v>266</v>
      </c>
      <c r="C11" s="15" t="s">
        <v>280</v>
      </c>
      <c r="D11" s="17" t="s">
        <v>282</v>
      </c>
      <c r="E11" s="18" t="s">
        <v>283</v>
      </c>
    </row>
    <row r="12" spans="2:5" ht="30">
      <c r="B12" s="17" t="s">
        <v>266</v>
      </c>
      <c r="C12" s="15" t="s">
        <v>284</v>
      </c>
      <c r="D12" s="17" t="s">
        <v>285</v>
      </c>
      <c r="E12" s="18" t="s">
        <v>286</v>
      </c>
    </row>
    <row r="13" spans="2:5" ht="105">
      <c r="B13" s="17" t="s">
        <v>267</v>
      </c>
      <c r="C13" s="15" t="s">
        <v>276</v>
      </c>
      <c r="D13" s="17" t="s">
        <v>270</v>
      </c>
      <c r="E13" s="18" t="s">
        <v>275</v>
      </c>
    </row>
    <row r="14" spans="2:5" ht="75">
      <c r="B14" s="17" t="s">
        <v>267</v>
      </c>
      <c r="C14" s="15" t="s">
        <v>278</v>
      </c>
      <c r="D14" s="17" t="s">
        <v>277</v>
      </c>
      <c r="E14" s="18" t="s">
        <v>279</v>
      </c>
    </row>
    <row r="15" spans="2:5" ht="105">
      <c r="B15" s="17" t="s">
        <v>268</v>
      </c>
      <c r="C15" s="15" t="s">
        <v>272</v>
      </c>
      <c r="D15" s="17" t="s">
        <v>271</v>
      </c>
      <c r="E15" s="18" t="s">
        <v>273</v>
      </c>
    </row>
    <row r="16" spans="2:5" ht="45">
      <c r="B16" s="15" t="s">
        <v>246</v>
      </c>
      <c r="C16" s="15" t="s">
        <v>249</v>
      </c>
      <c r="D16" s="15" t="s">
        <v>244</v>
      </c>
      <c r="E16" s="16" t="s">
        <v>255</v>
      </c>
    </row>
    <row r="17" spans="2:5" ht="45">
      <c r="B17" s="15" t="s">
        <v>41</v>
      </c>
      <c r="C17" s="15" t="s">
        <v>249</v>
      </c>
      <c r="D17" s="15" t="s">
        <v>261</v>
      </c>
      <c r="E17" s="16" t="s">
        <v>260</v>
      </c>
    </row>
    <row r="18" spans="2:5" ht="120">
      <c r="B18" s="15" t="s">
        <v>262</v>
      </c>
      <c r="C18" s="15" t="s">
        <v>264</v>
      </c>
      <c r="D18" s="15" t="s">
        <v>263</v>
      </c>
      <c r="E18" s="16" t="s">
        <v>265</v>
      </c>
    </row>
    <row r="19" spans="2:5" ht="75">
      <c r="B19" s="15" t="s">
        <v>245</v>
      </c>
      <c r="C19" s="15" t="s">
        <v>248</v>
      </c>
      <c r="D19" s="15" t="s">
        <v>243</v>
      </c>
      <c r="E19" s="16" t="s">
        <v>254</v>
      </c>
    </row>
    <row r="20" spans="2:5" ht="60">
      <c r="B20" s="15" t="s">
        <v>251</v>
      </c>
      <c r="C20" s="15" t="s">
        <v>253</v>
      </c>
      <c r="D20" s="15" t="s">
        <v>252</v>
      </c>
      <c r="E20" s="16" t="s">
        <v>256</v>
      </c>
    </row>
    <row r="21" spans="2:5" ht="45">
      <c r="B21" s="15" t="s">
        <v>257</v>
      </c>
      <c r="C21" s="15" t="s">
        <v>249</v>
      </c>
      <c r="D21" s="15" t="s">
        <v>258</v>
      </c>
      <c r="E21" s="16" t="s">
        <v>259</v>
      </c>
    </row>
    <row r="22" spans="2:5">
      <c r="B22" s="15"/>
      <c r="C22" s="15"/>
      <c r="D22" s="15"/>
      <c r="E22" s="16"/>
    </row>
    <row r="23" spans="2:5">
      <c r="B23" s="15"/>
      <c r="C23" s="15"/>
      <c r="D23" s="15"/>
      <c r="E23" s="16"/>
    </row>
    <row r="24" spans="2:5">
      <c r="B24" s="15"/>
      <c r="C24" s="15"/>
      <c r="D24" s="15"/>
      <c r="E24" s="16"/>
    </row>
    <row r="25" spans="2:5">
      <c r="B25" s="15"/>
      <c r="C25" s="15"/>
      <c r="D25" s="15"/>
      <c r="E25" s="16"/>
    </row>
    <row r="26" spans="2:5">
      <c r="B26" s="15"/>
      <c r="C26" s="15"/>
      <c r="D26" s="15"/>
      <c r="E26" s="16"/>
    </row>
    <row r="27" spans="2:5">
      <c r="B27" s="15"/>
      <c r="C27" s="15"/>
      <c r="D27" s="15"/>
      <c r="E27" s="16"/>
    </row>
    <row r="28" spans="2:5">
      <c r="B28" s="15"/>
      <c r="C28" s="15"/>
      <c r="D28" s="15"/>
      <c r="E28" s="16"/>
    </row>
    <row r="29" spans="2:5">
      <c r="B29" s="15"/>
      <c r="C29" s="15"/>
      <c r="D29" s="15"/>
      <c r="E29" s="16"/>
    </row>
    <row r="30" spans="2:5">
      <c r="B30" s="15"/>
      <c r="C30" s="15"/>
      <c r="D30" s="15"/>
      <c r="E30" s="16"/>
    </row>
    <row r="31" spans="2:5">
      <c r="B31" s="15"/>
      <c r="C31" s="15"/>
      <c r="D31" s="15"/>
      <c r="E31" s="16"/>
    </row>
    <row r="32" spans="2:5">
      <c r="B32" s="15"/>
      <c r="C32" s="15"/>
      <c r="D32" s="15"/>
      <c r="E32" s="16"/>
    </row>
  </sheetData>
  <mergeCells count="5">
    <mergeCell ref="C3:E3"/>
    <mergeCell ref="C4:E4"/>
    <mergeCell ref="B2:E2"/>
    <mergeCell ref="B7:E7"/>
    <mergeCell ref="C5:E5"/>
  </mergeCells>
  <phoneticPr fontId="3" type="noConversion"/>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T11"/>
  <sheetViews>
    <sheetView workbookViewId="0">
      <selection activeCell="M7" sqref="M7"/>
    </sheetView>
  </sheetViews>
  <sheetFormatPr baseColWidth="10" defaultRowHeight="15" x14ac:dyDescent="0"/>
  <cols>
    <col min="1" max="1" width="2.33203125" customWidth="1"/>
    <col min="3" max="3" width="28.33203125" customWidth="1"/>
    <col min="4" max="4" width="47.1640625" customWidth="1"/>
    <col min="9" max="12" width="9.5" customWidth="1"/>
    <col min="16" max="16" width="23.6640625" customWidth="1"/>
    <col min="17" max="17" width="2.33203125" style="22" customWidth="1"/>
    <col min="19" max="20" width="9.5" customWidth="1"/>
  </cols>
  <sheetData>
    <row r="2" spans="2:20">
      <c r="B2" s="10" t="s">
        <v>95</v>
      </c>
      <c r="C2" s="10"/>
      <c r="D2" s="10"/>
      <c r="E2" s="10"/>
      <c r="F2" s="10"/>
      <c r="G2" s="10"/>
      <c r="H2" s="10"/>
      <c r="I2" s="10"/>
      <c r="J2" s="10"/>
      <c r="K2" s="10"/>
      <c r="L2" s="10"/>
      <c r="M2" s="10"/>
      <c r="N2" s="5"/>
      <c r="O2" s="5"/>
      <c r="P2" s="10"/>
      <c r="Q2" s="23"/>
      <c r="R2" s="7" t="s">
        <v>94</v>
      </c>
      <c r="S2" s="7"/>
      <c r="T2" s="7"/>
    </row>
    <row r="3" spans="2:20">
      <c r="B3" s="1" t="s">
        <v>2</v>
      </c>
      <c r="C3" s="1" t="s">
        <v>151</v>
      </c>
      <c r="D3" s="1" t="s">
        <v>153</v>
      </c>
      <c r="E3" s="1" t="s">
        <v>154</v>
      </c>
      <c r="F3" s="1" t="s">
        <v>169</v>
      </c>
      <c r="G3" s="1" t="s">
        <v>168</v>
      </c>
      <c r="H3" s="1" t="s">
        <v>184</v>
      </c>
      <c r="I3" s="1" t="s">
        <v>157</v>
      </c>
      <c r="J3" s="1" t="s">
        <v>158</v>
      </c>
      <c r="K3" s="1" t="s">
        <v>172</v>
      </c>
      <c r="L3" s="1" t="s">
        <v>159</v>
      </c>
      <c r="M3" s="1" t="s">
        <v>177</v>
      </c>
      <c r="N3" s="1" t="s">
        <v>189</v>
      </c>
      <c r="O3" s="1" t="s">
        <v>274</v>
      </c>
      <c r="P3" s="1" t="s">
        <v>163</v>
      </c>
      <c r="Q3" s="21"/>
      <c r="R3" s="1" t="s">
        <v>40</v>
      </c>
      <c r="S3" s="1" t="s">
        <v>97</v>
      </c>
      <c r="T3" s="1" t="s">
        <v>96</v>
      </c>
    </row>
    <row r="4" spans="2:20">
      <c r="B4" t="s">
        <v>150</v>
      </c>
      <c r="C4" t="s">
        <v>152</v>
      </c>
      <c r="D4" t="s">
        <v>155</v>
      </c>
      <c r="E4" s="4" t="s">
        <v>156</v>
      </c>
      <c r="F4" t="s">
        <v>173</v>
      </c>
      <c r="G4" t="s">
        <v>173</v>
      </c>
      <c r="I4" t="s">
        <v>160</v>
      </c>
      <c r="J4" t="s">
        <v>161</v>
      </c>
      <c r="K4" t="s">
        <v>173</v>
      </c>
      <c r="L4" t="s">
        <v>162</v>
      </c>
      <c r="M4" t="s">
        <v>173</v>
      </c>
      <c r="N4" t="s">
        <v>173</v>
      </c>
      <c r="O4" s="19" t="str">
        <f>"citation:"&amp;B4&amp;"-01"</f>
        <v>citation:doc-1434-01</v>
      </c>
      <c r="P4" s="4" t="s">
        <v>105</v>
      </c>
      <c r="Q4" s="24" t="s">
        <v>173</v>
      </c>
      <c r="R4" t="s">
        <v>164</v>
      </c>
      <c r="S4">
        <v>0</v>
      </c>
      <c r="T4" s="6" t="s">
        <v>219</v>
      </c>
    </row>
    <row r="5" spans="2:20">
      <c r="B5" t="s">
        <v>165</v>
      </c>
      <c r="C5" t="s">
        <v>166</v>
      </c>
      <c r="D5" t="s">
        <v>167</v>
      </c>
      <c r="E5" t="s">
        <v>173</v>
      </c>
      <c r="F5" s="4" t="s">
        <v>77</v>
      </c>
      <c r="G5" s="4" t="s">
        <v>77</v>
      </c>
      <c r="H5" s="4"/>
      <c r="I5" t="s">
        <v>170</v>
      </c>
      <c r="J5" t="s">
        <v>171</v>
      </c>
      <c r="K5" t="s">
        <v>174</v>
      </c>
      <c r="L5" t="s">
        <v>175</v>
      </c>
      <c r="M5" t="s">
        <v>165</v>
      </c>
      <c r="N5" t="s">
        <v>173</v>
      </c>
      <c r="O5" s="19" t="str">
        <f t="shared" ref="O5:O11" si="0">"citation:"&amp;B5&amp;"-01"</f>
        <v>citation:doc-1855a-01</v>
      </c>
      <c r="P5" t="s">
        <v>178</v>
      </c>
      <c r="Q5" s="22" t="s">
        <v>173</v>
      </c>
      <c r="R5" t="s">
        <v>176</v>
      </c>
      <c r="S5">
        <v>12</v>
      </c>
      <c r="T5" s="6" t="s">
        <v>220</v>
      </c>
    </row>
    <row r="6" spans="2:20">
      <c r="B6" t="s">
        <v>180</v>
      </c>
      <c r="C6" t="s">
        <v>179</v>
      </c>
      <c r="D6" t="s">
        <v>167</v>
      </c>
      <c r="E6" t="s">
        <v>173</v>
      </c>
      <c r="F6" t="s">
        <v>77</v>
      </c>
      <c r="G6" t="s">
        <v>49</v>
      </c>
      <c r="I6" t="s">
        <v>170</v>
      </c>
      <c r="J6" t="s">
        <v>171</v>
      </c>
      <c r="K6" t="s">
        <v>173</v>
      </c>
      <c r="L6" t="s">
        <v>181</v>
      </c>
      <c r="M6" t="s">
        <v>180</v>
      </c>
      <c r="N6" t="s">
        <v>173</v>
      </c>
      <c r="O6" s="19" t="str">
        <f t="shared" si="0"/>
        <v>citation:doc-1855c-01</v>
      </c>
      <c r="P6" t="s">
        <v>178</v>
      </c>
      <c r="Q6" s="22" t="s">
        <v>173</v>
      </c>
      <c r="R6" t="s">
        <v>173</v>
      </c>
      <c r="S6">
        <v>0</v>
      </c>
      <c r="T6" s="6" t="s">
        <v>220</v>
      </c>
    </row>
    <row r="7" spans="2:20">
      <c r="B7" t="s">
        <v>182</v>
      </c>
      <c r="C7" t="s">
        <v>166</v>
      </c>
      <c r="D7" t="s">
        <v>183</v>
      </c>
      <c r="E7" s="2" t="s">
        <v>195</v>
      </c>
      <c r="F7" t="s">
        <v>81</v>
      </c>
      <c r="H7" t="s">
        <v>185</v>
      </c>
      <c r="I7" t="s">
        <v>199</v>
      </c>
      <c r="J7" t="s">
        <v>187</v>
      </c>
      <c r="K7" t="s">
        <v>173</v>
      </c>
      <c r="L7" t="s">
        <v>188</v>
      </c>
      <c r="M7" t="s">
        <v>173</v>
      </c>
      <c r="N7" t="s">
        <v>190</v>
      </c>
      <c r="O7" s="19" t="str">
        <f t="shared" si="0"/>
        <v>citation:doc-2377-01</v>
      </c>
      <c r="P7" t="s">
        <v>186</v>
      </c>
      <c r="Q7" s="22" t="s">
        <v>173</v>
      </c>
      <c r="R7" t="s">
        <v>191</v>
      </c>
      <c r="S7">
        <v>1</v>
      </c>
      <c r="T7" s="6" t="s">
        <v>221</v>
      </c>
    </row>
    <row r="8" spans="2:20">
      <c r="B8" t="s">
        <v>192</v>
      </c>
      <c r="C8" t="s">
        <v>193</v>
      </c>
      <c r="D8" t="s">
        <v>194</v>
      </c>
      <c r="E8" s="2" t="s">
        <v>196</v>
      </c>
      <c r="F8" t="s">
        <v>81</v>
      </c>
      <c r="G8" t="s">
        <v>173</v>
      </c>
      <c r="H8" t="s">
        <v>197</v>
      </c>
      <c r="I8" t="s">
        <v>205</v>
      </c>
      <c r="J8" t="s">
        <v>200</v>
      </c>
      <c r="K8" t="s">
        <v>173</v>
      </c>
      <c r="L8" t="s">
        <v>201</v>
      </c>
      <c r="M8" t="s">
        <v>173</v>
      </c>
      <c r="O8" s="19" t="str">
        <f t="shared" si="0"/>
        <v>citation:doc-2630-01</v>
      </c>
      <c r="P8" t="s">
        <v>198</v>
      </c>
      <c r="Q8" s="22" t="s">
        <v>173</v>
      </c>
      <c r="R8" t="s">
        <v>202</v>
      </c>
      <c r="S8">
        <v>10</v>
      </c>
      <c r="T8" s="6" t="s">
        <v>221</v>
      </c>
    </row>
    <row r="9" spans="2:20">
      <c r="B9" t="s">
        <v>203</v>
      </c>
      <c r="C9" t="s">
        <v>204</v>
      </c>
      <c r="D9" t="s">
        <v>204</v>
      </c>
      <c r="E9" t="s">
        <v>173</v>
      </c>
      <c r="F9" t="s">
        <v>81</v>
      </c>
      <c r="G9" t="s">
        <v>59</v>
      </c>
      <c r="H9" t="s">
        <v>173</v>
      </c>
      <c r="I9" t="s">
        <v>207</v>
      </c>
      <c r="J9" t="s">
        <v>208</v>
      </c>
      <c r="K9" t="s">
        <v>173</v>
      </c>
      <c r="L9" t="s">
        <v>209</v>
      </c>
      <c r="M9" t="s">
        <v>173</v>
      </c>
      <c r="N9" t="s">
        <v>173</v>
      </c>
      <c r="O9" s="19" t="str">
        <f t="shared" si="0"/>
        <v>citation:doc-2697-01</v>
      </c>
      <c r="P9" t="s">
        <v>206</v>
      </c>
      <c r="Q9" s="22" t="s">
        <v>173</v>
      </c>
      <c r="R9" t="s">
        <v>210</v>
      </c>
      <c r="S9">
        <v>4</v>
      </c>
      <c r="T9" s="6" t="s">
        <v>222</v>
      </c>
    </row>
    <row r="10" spans="2:20">
      <c r="B10" t="s">
        <v>211</v>
      </c>
      <c r="C10" t="s">
        <v>212</v>
      </c>
      <c r="D10" t="s">
        <v>213</v>
      </c>
      <c r="E10" t="s">
        <v>173</v>
      </c>
      <c r="F10" t="s">
        <v>81</v>
      </c>
      <c r="G10" t="s">
        <v>54</v>
      </c>
      <c r="I10" t="s">
        <v>215</v>
      </c>
      <c r="J10" t="s">
        <v>216</v>
      </c>
      <c r="K10" t="s">
        <v>173</v>
      </c>
      <c r="L10" t="s">
        <v>217</v>
      </c>
      <c r="M10" t="s">
        <v>173</v>
      </c>
      <c r="O10" s="19" t="str">
        <f t="shared" si="0"/>
        <v>citation:doc-2998-01</v>
      </c>
      <c r="P10" t="s">
        <v>214</v>
      </c>
      <c r="Q10" s="22" t="s">
        <v>173</v>
      </c>
      <c r="R10" t="s">
        <v>218</v>
      </c>
      <c r="S10">
        <v>0</v>
      </c>
      <c r="T10" s="2" t="s">
        <v>233</v>
      </c>
    </row>
    <row r="11" spans="2:20">
      <c r="B11" t="s">
        <v>223</v>
      </c>
      <c r="C11" t="s">
        <v>225</v>
      </c>
      <c r="D11" t="s">
        <v>226</v>
      </c>
      <c r="E11" s="2" t="s">
        <v>227</v>
      </c>
      <c r="F11" t="s">
        <v>173</v>
      </c>
      <c r="G11" t="s">
        <v>173</v>
      </c>
      <c r="H11" t="s">
        <v>228</v>
      </c>
      <c r="I11" t="s">
        <v>173</v>
      </c>
      <c r="J11" t="s">
        <v>229</v>
      </c>
      <c r="K11" t="s">
        <v>173</v>
      </c>
      <c r="L11" t="s">
        <v>230</v>
      </c>
      <c r="M11" t="s">
        <v>173</v>
      </c>
      <c r="O11" s="19" t="str">
        <f t="shared" si="0"/>
        <v>citation:doc-x0406-01</v>
      </c>
      <c r="P11" t="s">
        <v>224</v>
      </c>
      <c r="Q11" s="22" t="s">
        <v>173</v>
      </c>
      <c r="R11" t="s">
        <v>231</v>
      </c>
      <c r="S11">
        <v>0</v>
      </c>
      <c r="T11" s="6" t="s">
        <v>232</v>
      </c>
    </row>
  </sheetData>
  <mergeCells count="1">
    <mergeCell ref="R2:T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M16"/>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8" width="47.1640625" customWidth="1"/>
    <col min="9" max="9" width="2.33203125" style="22" customWidth="1"/>
    <col min="10" max="10" width="9.5" customWidth="1"/>
    <col min="12" max="13" width="9.5" customWidth="1"/>
  </cols>
  <sheetData>
    <row r="2" spans="2:13">
      <c r="B2" s="7" t="s">
        <v>95</v>
      </c>
      <c r="C2" s="7"/>
      <c r="D2" s="7"/>
      <c r="E2" s="7"/>
      <c r="F2" s="7"/>
      <c r="G2" s="7"/>
      <c r="H2" s="5"/>
      <c r="I2" s="20"/>
      <c r="J2" s="7" t="s">
        <v>94</v>
      </c>
      <c r="K2" s="7"/>
      <c r="L2" s="7"/>
      <c r="M2" s="7"/>
    </row>
    <row r="3" spans="2:13">
      <c r="B3" s="1" t="s">
        <v>2</v>
      </c>
      <c r="C3" s="1" t="s">
        <v>90</v>
      </c>
      <c r="D3" s="1" t="s">
        <v>91</v>
      </c>
      <c r="E3" s="1" t="s">
        <v>37</v>
      </c>
      <c r="F3" s="1" t="s">
        <v>92</v>
      </c>
      <c r="G3" s="1" t="s">
        <v>93</v>
      </c>
      <c r="H3" s="1" t="s">
        <v>274</v>
      </c>
      <c r="I3" s="21"/>
      <c r="J3" s="1" t="s">
        <v>40</v>
      </c>
      <c r="K3" s="1" t="s">
        <v>97</v>
      </c>
      <c r="L3" s="1" t="s">
        <v>98</v>
      </c>
      <c r="M3" s="1" t="s">
        <v>96</v>
      </c>
    </row>
    <row r="4" spans="2:13">
      <c r="B4" t="s">
        <v>99</v>
      </c>
      <c r="C4" t="s">
        <v>100</v>
      </c>
      <c r="D4" t="s">
        <v>101</v>
      </c>
      <c r="E4" s="19" t="str">
        <f>C4&amp;" "&amp;D4</f>
        <v>Alun Preece</v>
      </c>
      <c r="F4" t="s">
        <v>21</v>
      </c>
      <c r="G4" t="s">
        <v>137</v>
      </c>
      <c r="H4" s="19" t="str">
        <f>"citation:"&amp;B4&amp;"-01"</f>
        <v>citation:alun_preece-01</v>
      </c>
      <c r="J4" t="s">
        <v>144</v>
      </c>
      <c r="K4">
        <v>3741</v>
      </c>
      <c r="L4">
        <v>34</v>
      </c>
      <c r="M4" t="s">
        <v>147</v>
      </c>
    </row>
    <row r="5" spans="2:13">
      <c r="B5" t="s">
        <v>102</v>
      </c>
      <c r="C5" t="s">
        <v>103</v>
      </c>
      <c r="D5" t="s">
        <v>104</v>
      </c>
      <c r="E5" s="19" t="str">
        <f t="shared" ref="E5:E16" si="0">C5&amp;" "&amp;D5</f>
        <v>Christos Parizas</v>
      </c>
      <c r="F5" t="s">
        <v>21</v>
      </c>
      <c r="H5" s="19" t="str">
        <f t="shared" ref="H5:H16" si="1">"citation:"&amp;B5&amp;"-01"</f>
        <v>citation:christos_parizas-01</v>
      </c>
      <c r="M5" t="s">
        <v>147</v>
      </c>
    </row>
    <row r="6" spans="2:13">
      <c r="B6" t="s">
        <v>105</v>
      </c>
      <c r="C6" t="s">
        <v>106</v>
      </c>
      <c r="D6" t="s">
        <v>107</v>
      </c>
      <c r="E6" s="19" t="str">
        <f t="shared" si="0"/>
        <v>Dave Braines</v>
      </c>
      <c r="F6" t="s">
        <v>25</v>
      </c>
      <c r="G6" t="s">
        <v>138</v>
      </c>
      <c r="H6" s="19" t="str">
        <f t="shared" si="1"/>
        <v>citation:dave_braines-01</v>
      </c>
      <c r="J6" t="s">
        <v>149</v>
      </c>
      <c r="K6">
        <v>491</v>
      </c>
      <c r="L6">
        <v>12</v>
      </c>
      <c r="M6" t="s">
        <v>147</v>
      </c>
    </row>
    <row r="7" spans="2:13">
      <c r="B7" t="s">
        <v>108</v>
      </c>
      <c r="C7" t="s">
        <v>109</v>
      </c>
      <c r="D7" t="s">
        <v>110</v>
      </c>
      <c r="E7" s="19" t="str">
        <f t="shared" si="0"/>
        <v>David Mott</v>
      </c>
      <c r="F7" t="s">
        <v>25</v>
      </c>
      <c r="G7" t="s">
        <v>139</v>
      </c>
      <c r="H7" s="19" t="str">
        <f t="shared" si="1"/>
        <v>citation:david_mott-01</v>
      </c>
      <c r="J7" t="s">
        <v>149</v>
      </c>
      <c r="K7">
        <v>317</v>
      </c>
      <c r="L7">
        <v>12</v>
      </c>
      <c r="M7" t="s">
        <v>148</v>
      </c>
    </row>
    <row r="8" spans="2:13">
      <c r="B8" t="s">
        <v>111</v>
      </c>
      <c r="C8" t="s">
        <v>109</v>
      </c>
      <c r="D8" t="s">
        <v>112</v>
      </c>
      <c r="E8" s="19" t="str">
        <f t="shared" si="0"/>
        <v>David Vyvyan</v>
      </c>
      <c r="F8" t="s">
        <v>25</v>
      </c>
      <c r="G8" t="s">
        <v>140</v>
      </c>
      <c r="H8" s="19" t="str">
        <f t="shared" si="1"/>
        <v>citation:david_vyvyan-01</v>
      </c>
      <c r="M8" t="s">
        <v>147</v>
      </c>
    </row>
    <row r="9" spans="2:13">
      <c r="B9" t="s">
        <v>113</v>
      </c>
      <c r="C9" t="s">
        <v>114</v>
      </c>
      <c r="D9" t="s">
        <v>115</v>
      </c>
      <c r="E9" s="19" t="str">
        <f t="shared" si="0"/>
        <v>Diego Pizzocaro</v>
      </c>
      <c r="F9" t="s">
        <v>21</v>
      </c>
      <c r="H9" s="19" t="str">
        <f t="shared" si="1"/>
        <v>citation:diego_pizzocaro-01</v>
      </c>
      <c r="J9" t="s">
        <v>145</v>
      </c>
      <c r="K9">
        <v>311</v>
      </c>
      <c r="L9">
        <v>10</v>
      </c>
      <c r="M9" t="s">
        <v>147</v>
      </c>
    </row>
    <row r="10" spans="2:13">
      <c r="B10" t="s">
        <v>116</v>
      </c>
      <c r="C10" t="s">
        <v>117</v>
      </c>
      <c r="D10" t="s">
        <v>118</v>
      </c>
      <c r="E10" s="19" t="str">
        <f t="shared" si="0"/>
        <v>Geeth de Mel</v>
      </c>
      <c r="F10" t="s">
        <v>27</v>
      </c>
      <c r="G10" t="s">
        <v>141</v>
      </c>
      <c r="H10" s="19" t="str">
        <f t="shared" si="1"/>
        <v>citation:geeth_de_mel-01</v>
      </c>
      <c r="J10" t="s">
        <v>146</v>
      </c>
      <c r="K10">
        <v>272</v>
      </c>
      <c r="L10">
        <v>9</v>
      </c>
      <c r="M10" t="s">
        <v>147</v>
      </c>
    </row>
    <row r="11" spans="2:13">
      <c r="B11" t="s">
        <v>119</v>
      </c>
      <c r="C11" t="s">
        <v>120</v>
      </c>
      <c r="D11" t="s">
        <v>121</v>
      </c>
      <c r="E11" s="19" t="str">
        <f t="shared" si="0"/>
        <v>Graham Bent</v>
      </c>
      <c r="F11" t="s">
        <v>25</v>
      </c>
      <c r="G11" t="s">
        <v>142</v>
      </c>
      <c r="H11" s="19" t="str">
        <f t="shared" si="1"/>
        <v>citation:graham_bent-01</v>
      </c>
      <c r="M11" t="s">
        <v>147</v>
      </c>
    </row>
    <row r="12" spans="2:13">
      <c r="B12" t="s">
        <v>122</v>
      </c>
      <c r="C12" t="s">
        <v>123</v>
      </c>
      <c r="D12" t="s">
        <v>124</v>
      </c>
      <c r="E12" s="19" t="str">
        <f t="shared" si="0"/>
        <v>Hannah Grosso</v>
      </c>
      <c r="F12" t="s">
        <v>29</v>
      </c>
      <c r="H12" s="19" t="str">
        <f t="shared" si="1"/>
        <v>citation:hannah_grosso-01</v>
      </c>
      <c r="M12" t="s">
        <v>147</v>
      </c>
    </row>
    <row r="13" spans="2:13">
      <c r="B13" t="s">
        <v>125</v>
      </c>
      <c r="C13" t="s">
        <v>126</v>
      </c>
      <c r="D13" t="s">
        <v>127</v>
      </c>
      <c r="E13" s="19" t="str">
        <f t="shared" si="0"/>
        <v>Jinny Yan</v>
      </c>
      <c r="F13" t="s">
        <v>29</v>
      </c>
      <c r="H13" s="19" t="str">
        <f t="shared" si="1"/>
        <v>citation:jinny_yan-01</v>
      </c>
      <c r="M13" t="s">
        <v>147</v>
      </c>
    </row>
    <row r="14" spans="2:13">
      <c r="B14" t="s">
        <v>128</v>
      </c>
      <c r="C14" t="s">
        <v>129</v>
      </c>
      <c r="D14" t="s">
        <v>130</v>
      </c>
      <c r="E14" s="19" t="str">
        <f t="shared" si="0"/>
        <v>Patrick Dantressangle</v>
      </c>
      <c r="F14" t="s">
        <v>25</v>
      </c>
      <c r="G14" t="s">
        <v>143</v>
      </c>
      <c r="H14" s="19" t="str">
        <f t="shared" si="1"/>
        <v>citation:patrick_dantressangle-01</v>
      </c>
      <c r="M14" t="s">
        <v>147</v>
      </c>
    </row>
    <row r="15" spans="2:13">
      <c r="B15" t="s">
        <v>131</v>
      </c>
      <c r="C15" t="s">
        <v>132</v>
      </c>
      <c r="D15" t="s">
        <v>133</v>
      </c>
      <c r="E15" s="19" t="str">
        <f t="shared" si="0"/>
        <v>Theodore Hoel</v>
      </c>
      <c r="F15" t="s">
        <v>29</v>
      </c>
      <c r="H15" s="19" t="str">
        <f t="shared" si="1"/>
        <v>citation:theodore_hoel-01</v>
      </c>
      <c r="M15" t="s">
        <v>147</v>
      </c>
    </row>
    <row r="16" spans="2:13">
      <c r="B16" t="s">
        <v>134</v>
      </c>
      <c r="C16" t="s">
        <v>135</v>
      </c>
      <c r="D16" t="s">
        <v>136</v>
      </c>
      <c r="E16" s="19" t="str">
        <f t="shared" si="0"/>
        <v>Tien Pham</v>
      </c>
      <c r="F16" t="s">
        <v>18</v>
      </c>
      <c r="H16" s="19" t="str">
        <f t="shared" si="1"/>
        <v>citation:tien_pham-01</v>
      </c>
      <c r="M16" t="s">
        <v>147</v>
      </c>
    </row>
  </sheetData>
  <mergeCells count="2">
    <mergeCell ref="B2:G2"/>
    <mergeCell ref="J2:M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7"/>
  <sheetViews>
    <sheetView workbookViewId="0"/>
  </sheetViews>
  <sheetFormatPr baseColWidth="10" defaultRowHeight="15" x14ac:dyDescent="0"/>
  <cols>
    <col min="1" max="1" width="2.33203125" customWidth="1"/>
    <col min="2" max="5" width="23.6640625" customWidth="1"/>
    <col min="8" max="8" width="33" customWidth="1"/>
  </cols>
  <sheetData>
    <row r="2" spans="2:8">
      <c r="B2" s="1" t="s">
        <v>2</v>
      </c>
      <c r="C2" s="1" t="s">
        <v>12</v>
      </c>
      <c r="D2" s="1" t="s">
        <v>13</v>
      </c>
      <c r="E2" s="1" t="s">
        <v>14</v>
      </c>
      <c r="F2" s="1" t="s">
        <v>15</v>
      </c>
      <c r="G2" s="1" t="s">
        <v>16</v>
      </c>
      <c r="H2" s="1" t="s">
        <v>17</v>
      </c>
    </row>
    <row r="3" spans="2:8">
      <c r="B3" t="s">
        <v>18</v>
      </c>
      <c r="C3" t="s">
        <v>33</v>
      </c>
      <c r="D3" t="s">
        <v>32</v>
      </c>
      <c r="E3" t="s">
        <v>19</v>
      </c>
      <c r="F3" t="s">
        <v>18</v>
      </c>
      <c r="G3" t="s">
        <v>20</v>
      </c>
      <c r="H3" t="s">
        <v>3</v>
      </c>
    </row>
    <row r="4" spans="2:8">
      <c r="B4" t="s">
        <v>21</v>
      </c>
      <c r="C4" t="s">
        <v>35</v>
      </c>
      <c r="D4" t="s">
        <v>32</v>
      </c>
      <c r="E4" t="s">
        <v>22</v>
      </c>
      <c r="F4" t="s">
        <v>23</v>
      </c>
      <c r="G4" t="s">
        <v>24</v>
      </c>
      <c r="H4" t="s">
        <v>6</v>
      </c>
    </row>
    <row r="5" spans="2:8">
      <c r="B5" t="s">
        <v>25</v>
      </c>
      <c r="C5" t="s">
        <v>34</v>
      </c>
      <c r="D5" t="s">
        <v>32</v>
      </c>
      <c r="E5" t="s">
        <v>26</v>
      </c>
      <c r="F5" t="s">
        <v>26</v>
      </c>
      <c r="G5" t="s">
        <v>24</v>
      </c>
      <c r="H5" t="s">
        <v>7</v>
      </c>
    </row>
    <row r="6" spans="2:8">
      <c r="B6" t="s">
        <v>27</v>
      </c>
      <c r="C6" t="s">
        <v>34</v>
      </c>
      <c r="D6" t="s">
        <v>32</v>
      </c>
      <c r="E6" t="s">
        <v>28</v>
      </c>
      <c r="F6" t="s">
        <v>28</v>
      </c>
      <c r="G6" t="s">
        <v>20</v>
      </c>
      <c r="H6" t="s">
        <v>8</v>
      </c>
    </row>
    <row r="7" spans="2:8">
      <c r="B7" t="s">
        <v>29</v>
      </c>
      <c r="C7" t="s">
        <v>33</v>
      </c>
      <c r="D7" t="s">
        <v>32</v>
      </c>
      <c r="E7" t="s">
        <v>30</v>
      </c>
      <c r="F7" t="s">
        <v>31</v>
      </c>
      <c r="G7" t="s">
        <v>20</v>
      </c>
      <c r="H7" t="s">
        <v>10</v>
      </c>
    </row>
  </sheetData>
  <sortState ref="B3:H7">
    <sortCondition ref="B3"/>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11"/>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v>
      </c>
      <c r="C3">
        <v>38.908858000000002</v>
      </c>
      <c r="D3">
        <v>-77.043734999999998</v>
      </c>
    </row>
    <row r="4" spans="2:4">
      <c r="B4" t="s">
        <v>4</v>
      </c>
      <c r="C4">
        <v>39.285604999999997</v>
      </c>
      <c r="D4">
        <v>-76.616375300000001</v>
      </c>
    </row>
    <row r="5" spans="2:4">
      <c r="B5" t="s">
        <v>5</v>
      </c>
      <c r="C5">
        <v>50.931294700000002</v>
      </c>
      <c r="D5">
        <v>-1.2810664</v>
      </c>
    </row>
    <row r="6" spans="2:4">
      <c r="B6" t="s">
        <v>6</v>
      </c>
      <c r="C6">
        <v>51.4866271</v>
      </c>
      <c r="D6">
        <v>-3.1788641000000002</v>
      </c>
    </row>
    <row r="7" spans="2:4">
      <c r="B7" t="s">
        <v>7</v>
      </c>
      <c r="C7">
        <v>51.023866400000003</v>
      </c>
      <c r="D7">
        <v>-1.4008731999999999</v>
      </c>
    </row>
    <row r="8" spans="2:4">
      <c r="B8" t="s">
        <v>8</v>
      </c>
      <c r="C8">
        <v>41.210721900000003</v>
      </c>
      <c r="D8">
        <v>-73.803172799999999</v>
      </c>
    </row>
    <row r="9" spans="2:4">
      <c r="B9" t="s">
        <v>9</v>
      </c>
      <c r="C9">
        <v>40.9613376</v>
      </c>
      <c r="D9">
        <v>-5.6669251000000003</v>
      </c>
    </row>
    <row r="10" spans="2:4">
      <c r="B10" t="s">
        <v>11</v>
      </c>
      <c r="C10">
        <v>38.986463700000002</v>
      </c>
      <c r="D10">
        <v>-76.954310300000003</v>
      </c>
    </row>
    <row r="11" spans="2:4">
      <c r="B11" t="s">
        <v>10</v>
      </c>
      <c r="C11">
        <v>41.391837199999998</v>
      </c>
      <c r="D11">
        <v>-73.962503299999995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D4"/>
  <sheetViews>
    <sheetView workbookViewId="0"/>
  </sheetViews>
  <sheetFormatPr baseColWidth="10" defaultRowHeight="15" x14ac:dyDescent="0"/>
  <cols>
    <col min="1" max="1" width="2.33203125" customWidth="1"/>
    <col min="2" max="2" width="18.83203125" customWidth="1"/>
    <col min="3" max="3" width="70.83203125" customWidth="1"/>
    <col min="4" max="4" width="14.1640625" customWidth="1"/>
  </cols>
  <sheetData>
    <row r="2" spans="2:4">
      <c r="B2" s="1" t="s">
        <v>2</v>
      </c>
      <c r="C2" s="1" t="s">
        <v>14</v>
      </c>
      <c r="D2" s="1" t="s">
        <v>36</v>
      </c>
    </row>
    <row r="3" spans="2:4">
      <c r="B3" t="s">
        <v>43</v>
      </c>
      <c r="C3" t="s">
        <v>44</v>
      </c>
      <c r="D3" t="s">
        <v>48</v>
      </c>
    </row>
    <row r="4" spans="2:4">
      <c r="B4" t="s">
        <v>45</v>
      </c>
      <c r="C4" t="s">
        <v>46</v>
      </c>
      <c r="D4" t="s">
        <v>47</v>
      </c>
    </row>
  </sheetData>
  <pageMargins left="0.75" right="0.75" top="1" bottom="1" header="0.5" footer="0.5"/>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6"/>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1" t="s">
        <v>2</v>
      </c>
      <c r="C2" s="1" t="s">
        <v>37</v>
      </c>
      <c r="D2" s="1" t="s">
        <v>17</v>
      </c>
      <c r="E2" s="1" t="s">
        <v>38</v>
      </c>
      <c r="F2" s="1" t="s">
        <v>39</v>
      </c>
      <c r="G2" s="1" t="s">
        <v>40</v>
      </c>
      <c r="H2" s="1" t="s">
        <v>41</v>
      </c>
      <c r="I2" s="1" t="s">
        <v>42</v>
      </c>
    </row>
    <row r="3" spans="2:9">
      <c r="B3" t="s">
        <v>49</v>
      </c>
      <c r="C3" t="s">
        <v>50</v>
      </c>
      <c r="D3" t="s">
        <v>5</v>
      </c>
      <c r="E3" t="s">
        <v>51</v>
      </c>
      <c r="F3" t="s">
        <v>52</v>
      </c>
      <c r="G3" t="s">
        <v>53</v>
      </c>
      <c r="H3" t="s">
        <v>43</v>
      </c>
      <c r="I3" s="2" t="s">
        <v>70</v>
      </c>
    </row>
    <row r="4" spans="2:9">
      <c r="B4" t="s">
        <v>54</v>
      </c>
      <c r="C4" t="s">
        <v>55</v>
      </c>
      <c r="D4" t="s">
        <v>11</v>
      </c>
      <c r="E4" t="s">
        <v>56</v>
      </c>
      <c r="F4" t="s">
        <v>57</v>
      </c>
      <c r="G4" t="s">
        <v>58</v>
      </c>
      <c r="H4" t="s">
        <v>43</v>
      </c>
      <c r="I4" s="2" t="s">
        <v>71</v>
      </c>
    </row>
    <row r="5" spans="2:9">
      <c r="B5" t="s">
        <v>59</v>
      </c>
      <c r="C5" t="s">
        <v>60</v>
      </c>
      <c r="D5" t="s">
        <v>9</v>
      </c>
      <c r="E5" t="s">
        <v>61</v>
      </c>
      <c r="F5" t="s">
        <v>62</v>
      </c>
      <c r="G5" t="s">
        <v>63</v>
      </c>
      <c r="H5" t="s">
        <v>45</v>
      </c>
      <c r="I5" s="2" t="s">
        <v>72</v>
      </c>
    </row>
    <row r="6" spans="2:9">
      <c r="B6" t="s">
        <v>64</v>
      </c>
      <c r="C6" t="s">
        <v>65</v>
      </c>
      <c r="D6" t="s">
        <v>4</v>
      </c>
      <c r="E6" t="s">
        <v>66</v>
      </c>
      <c r="F6" t="s">
        <v>67</v>
      </c>
      <c r="G6" t="s">
        <v>68</v>
      </c>
      <c r="H6" t="s">
        <v>69</v>
      </c>
      <c r="I6" s="2"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4"/>
  <sheetViews>
    <sheetView workbookViewId="0"/>
  </sheetViews>
  <sheetFormatPr baseColWidth="10" defaultRowHeight="15" x14ac:dyDescent="0"/>
  <cols>
    <col min="1" max="1" width="2.33203125" customWidth="1"/>
    <col min="2" max="3" width="14.1640625" customWidth="1"/>
    <col min="4" max="4" width="47.1640625" customWidth="1"/>
    <col min="5" max="6" width="14.1640625" customWidth="1"/>
  </cols>
  <sheetData>
    <row r="2" spans="2:6">
      <c r="B2" s="1" t="s">
        <v>2</v>
      </c>
      <c r="C2" s="1" t="s">
        <v>74</v>
      </c>
      <c r="D2" s="1" t="s">
        <v>14</v>
      </c>
      <c r="E2" s="1" t="s">
        <v>75</v>
      </c>
      <c r="F2" s="1" t="s">
        <v>76</v>
      </c>
    </row>
    <row r="3" spans="2:6">
      <c r="B3" t="s">
        <v>77</v>
      </c>
      <c r="C3" t="s">
        <v>77</v>
      </c>
      <c r="D3" t="s">
        <v>78</v>
      </c>
      <c r="E3" t="s">
        <v>79</v>
      </c>
      <c r="F3" t="s">
        <v>80</v>
      </c>
    </row>
    <row r="4" spans="2:6">
      <c r="B4" t="s">
        <v>81</v>
      </c>
      <c r="C4" t="s">
        <v>81</v>
      </c>
      <c r="D4" t="s">
        <v>82</v>
      </c>
      <c r="E4" t="s">
        <v>83</v>
      </c>
      <c r="F4" t="s">
        <v>80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3"/>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74</v>
      </c>
      <c r="D2" s="1" t="s">
        <v>14</v>
      </c>
      <c r="E2" s="1" t="s">
        <v>75</v>
      </c>
    </row>
    <row r="3" spans="2:5">
      <c r="B3" t="s">
        <v>80</v>
      </c>
      <c r="C3" t="s">
        <v>80</v>
      </c>
      <c r="D3" s="3" t="s">
        <v>85</v>
      </c>
      <c r="E3" t="s">
        <v>87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5"/>
  <sheetViews>
    <sheetView workbookViewId="0"/>
  </sheetViews>
  <sheetFormatPr baseColWidth="10" defaultRowHeight="15" x14ac:dyDescent="0"/>
  <cols>
    <col min="1" max="1" width="2.33203125" customWidth="1"/>
  </cols>
  <sheetData>
    <row r="2" spans="2:4">
      <c r="B2" s="1" t="s">
        <v>2</v>
      </c>
      <c r="C2" s="1" t="s">
        <v>74</v>
      </c>
      <c r="D2" s="1" t="s">
        <v>84</v>
      </c>
    </row>
    <row r="3" spans="2:4">
      <c r="B3" t="s">
        <v>79</v>
      </c>
      <c r="C3" t="s">
        <v>79</v>
      </c>
      <c r="D3" t="s">
        <v>88</v>
      </c>
    </row>
    <row r="4" spans="2:4">
      <c r="B4" t="s">
        <v>83</v>
      </c>
      <c r="C4" t="s">
        <v>83</v>
      </c>
      <c r="D4" t="s">
        <v>89</v>
      </c>
    </row>
    <row r="5" spans="2:4">
      <c r="B5" t="s">
        <v>86</v>
      </c>
      <c r="C5" t="s">
        <v>86</v>
      </c>
      <c r="D5" s="13">
        <v>2015</v>
      </c>
    </row>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papers</vt:lpstr>
      <vt:lpstr>people</vt:lpstr>
      <vt:lpstr>organisations</vt:lpstr>
      <vt:lpstr>places</vt:lpstr>
      <vt:lpstr>event series</vt:lpstr>
      <vt:lpstr>events</vt:lpstr>
      <vt:lpstr>projects</vt:lpstr>
      <vt:lpstr>technical areas</vt:lpstr>
      <vt:lpstr>project plans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2016-04-17T13:45:17Z</dcterms:modified>
</cp:coreProperties>
</file>