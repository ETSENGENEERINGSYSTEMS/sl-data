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75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3" l="1"/>
  <c r="C12" i="2"/>
  <c r="C11" i="2"/>
  <c r="C10" i="2"/>
  <c r="C14" i="2"/>
  <c r="C13" i="2"/>
  <c r="O11" i="10"/>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<sst xmlns="http://schemas.openxmlformats.org/spreadsheetml/2006/main" count="506" uniqueCount="312">
  <si>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</si>
  <si>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</si>
  <si>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</si>
  <si>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</si>
  <si>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</si>
  <si>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</si>
  <si>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</si>
  <si>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</si>
  <si>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</si>
  <si>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</si>
  <si>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</si>
  <si>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</si>
  <si>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</si>
  <si>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</si>
  <si>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</si>
  <si>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</si>
  <si>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</si>
  <si>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</si>
  <si>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</si>
  <si>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</si>
  <si>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</si>
  <si>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</si>
  <si>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</si>
  <si>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</si>
  <si>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</si>
  <si>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</si>
  <si>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</si>
  <si>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</si>
  <si>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</si>
  <si>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</si>
  <si>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</si>
  <si>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</si>
  <si>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</si>
  <si>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</si>
  <si>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</si>
  <si>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</si>
  <si>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</si>
  <si>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</si>
  <si>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</si>
  <si>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</si>
  <si>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</si>
  <si>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</si>
  <si>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</si>
  <si>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</si>
  <si>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</si>
  <si>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</si>
  <si>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</si>
  <si>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</si>
  <si>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</si>
  <si>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</si>
  <si>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</si>
  <si>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</si>
  <si>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</si>
  <si>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</si>
  <si>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</si>
  <si>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</si>
  <si>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</si>
  <si>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</si>
  <si>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</si>
  <si>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</si>
  <si>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</si>
  <si>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</si>
  <si>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</si>
  <si>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</si>
  <si>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</si>
  <si>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</si>
  <si>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</si>
  <si>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</si>
  <si>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</si>
  <si>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</si>
  <si>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</si>
  <si>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</si>
  <si>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</si>
  <si>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</si>
  <si>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</si>
  <si>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</si>
  <si>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</si>
  <si>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</si>
  <si>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</si>
  <si>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</si>
  <si>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</si>
  <si>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</si>
  <si>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</si>
  <si>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</si>
  <si>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</si>
  <si>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</si>
  <si>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</si>
  <si>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</si>
  <si>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</si>
  <si>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</si>
  <si>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</si>
  <si>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</si>
  <si>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</si>
  <si>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</si>
  <si>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</si>
  <si>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</si>
  <si>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</si>
  <si>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</si>
  <si>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</si>
  <si>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</si>
  <si>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</si>
  <si>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</si>
  <si>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</si>
  <si>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</si>
  <si>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</si>
  <si>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</si>
  <si>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</si>
  <si>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</si>
  <si>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</si>
  <si>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</si>
  <si>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</si>
  <si>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</si>
  <si>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</si>
  <si>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</si>
  <si>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</si>
  <si>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</si>
  <si>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</si>
  <si>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</si>
  <si>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</si>
  <si>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</si>
  <si>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</si>
  <si>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</si>
  <si>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</si>
  <si>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</si>
  <si>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</si>
  <si>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</si>
  <si>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</si>
  <si>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</si>
  <si>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</si>
  <si>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</si>
  <si>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</si>
  <si>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</si>
  <si>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</si>
  <si>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</si>
  <si>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</si>
  <si>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</si>
  <si>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</si>
  <si>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</si>
  <si>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</si>
  <si>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</si>
  <si>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</si>
  <si>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</si>
  <si>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</si>
  <si>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</si>
  <si>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</si>
  <si>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</si>
  <si>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</si>
  <si>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</si>
  <si>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</si>
  <si>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</si>
  <si>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</si>
  <si>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</si>
  <si>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</si>
  <si>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</si>
  <si>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</si>
  <si>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</si>
  <si>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</si>
  <si>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</si>
  <si>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</si>
  <si>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</si>
  <si>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</si>
  <si>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</si>
  <si>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</si>
  <si>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</si>
  <si>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</si>
  <si>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</si>
  <si>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</si>
  <si>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</si>
  <si>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</si>
  <si>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</si>
  <si>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</si>
  <si>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</si>
  <si>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</si>
  <si>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</si>
  <si>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</si>
  <si>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</si>
  <si>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</si>
  <si>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</si>
  <si>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</si>
  <si>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</si>
  <si>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</si>
  <si>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</si>
  <si>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</si>
  <si>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</si>
  <si>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</si>
  <si>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</si>
  <si>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</si>
  <si>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</si>
  <si>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</si>
  <si>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</si>
  <si>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</si>
  <si>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</si>
  <si>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</si>
  <si>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</si>
  <si>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</si>
  <si>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</si>
  <si>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</si>
  <si>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</si>
  <si>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</si>
  <si>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</si>
  <si>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</si>
  <si>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</si>
  <si>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</si>
  <si>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</si>
  <si>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</si>
  <si>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</si>
  <si>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</si>
  <si>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</si>
  <si>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</si>
  <si>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</si>
  <si>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</si>
  <si>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</si>
  <si>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</si>
  <si>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</si>
  <si>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</si>
  <si>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</si>
  <si>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</si>
  <si>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</si>
  <si>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</si>
  <si>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</si>
  <si>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</si>
  <si>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</si>
  <si>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</si>
  <si>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</si>
  <si>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</si>
  <si>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</si>
  <si>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</si>
  <si>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</si>
  <si>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</si>
  <si>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</si>
  <si>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</si>
  <si>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</si>
  <si>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</si>
  <si>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</si>
  <si>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</si>
  <si>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</si>
  <si>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</si>
  <si>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</si>
  <si>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</si>
  <si>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</si>
  <si>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</si>
  <si>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</si>
  <si>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paper_abstracts.ce</t>
  </si>
  <si>
    <t>there is an academic document named '{1}'
  has '{8}' as abstract</t>
  </si>
  <si>
    <t>paper_noteworthy.ce</t>
  </si>
  <si>
    <t>there is a noteworthy document named '{1}'
  has '{13}' as noteworthy reason</t>
  </si>
  <si>
    <t>paper_citations.ce</t>
  </si>
  <si>
    <t>there is a published person named '{1}'
  has the person citation count '{7}' as citation count</t>
  </si>
  <si>
    <t>CE template (1)</t>
  </si>
  <si>
    <t>CE template (2)</t>
  </si>
  <si>
    <t>there is a person named '{1}'
  has '{2}' as forename
  has '{3}' as surname
  has '{4}' as full name
  is employed by the organisation '{5}'
  has '{6}' as profile picture</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</si>
  <si>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</si>
  <si>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</si>
  <si>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</si>
  <si>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</si>
  <si>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</si>
  <si>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</si>
  <si>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</si>
  <si>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</si>
  <si>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</si>
  <si>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</si>
  <si>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</si>
  <si>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</si>
  <si>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</si>
  <si>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</si>
  <si>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</si>
  <si>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</si>
  <si>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</si>
  <si>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</si>
  <si>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</si>
  <si>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</si>
  <si>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</si>
  <si>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</si>
  <si>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</si>
  <si>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</si>
  <si>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</si>
  <si>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</si>
  <si>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</si>
  <si>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</si>
  <si>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</si>
  <si>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</si>
  <si>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</si>
  <si>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</si>
  <si>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</si>
  <si>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</si>
  <si>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</si>
  <si>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</si>
  <si>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</si>
  <si>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</si>
  <si>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</si>
  <si>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</si>
  <si>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</si>
  <si>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</si>
  <si>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</si>
  <si>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</si>
  <si>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</si>
  <si>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</si>
  <si>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</si>
  <si>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</si>
  <si>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</si>
  <si>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</si>
  <si>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</si>
  <si>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</si>
  <si>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</si>
  <si>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Note - replace with with "(max)" to generate all paper rows</t>
  </si>
  <si>
    <t>message text</t>
  </si>
  <si>
    <t>msg date</t>
  </si>
  <si>
    <t>messages</t>
  </si>
  <si>
    <t>B3:C(max)</t>
  </si>
  <si>
    <t>messages.ce</t>
  </si>
  <si>
    <t>there is a UI message named '{1}'
  has '{2}' as message text</t>
  </si>
  <si>
    <t>(max)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</si>
</sst>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6" formatCode="[$-809]dd\ mmmm\ yyyy;@"/>
  </numFmts>
  <fonts count="8"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5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3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0" fontId="0" fillId="2" borderId="0" xfId="0" applyFill="1"/>
    <xf numFmtId="17" fontId="0" fillId="0" borderId="0" xfId="0" quotePrefix="1" applyNumberFormat="1" applyAlignment="1">
      <alignment horizontal="left"/>
    </xf>
    <xf numFmtId="0" fontId="0" fillId="0" borderId="0" xfId="0" quotePrefix="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166" fontId="0" fillId="0" borderId="0" xfId="0" applyNumberFormat="1"/>
  </cellXfs>
  <cellStyles count="15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enableFormatConditionsCalculation="0"/>
  <dimension ref="B2:O34"/>
  <sheetViews>
    <sheetView tabSelected="1" workbookViewId="0"/>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30" t="s">
        <v>207</v>
      </c>
      <c r="C2" s="30"/>
      <c r="D2" s="30"/>
      <c r="E2" s="30"/>
      <c r="F2" s="30"/>
    </row>
    <row r="3" spans="2:15">
      <c r="B3" s="8" t="s">
        <v>201</v>
      </c>
      <c r="C3" s="31" t="s">
        <v>302</v>
      </c>
      <c r="D3" s="31"/>
      <c r="E3" s="31"/>
      <c r="F3" s="31"/>
    </row>
    <row r="4" spans="2:15" ht="90" customHeight="1">
      <c r="B4" s="8" t="s">
        <v>202</v>
      </c>
      <c r="C4" s="32" t="s">
        <v>203</v>
      </c>
      <c r="D4" s="32"/>
      <c r="E4" s="32"/>
      <c r="F4" s="32"/>
    </row>
    <row r="5" spans="2:15" ht="15" customHeight="1">
      <c r="B5" s="8" t="s">
        <v>213</v>
      </c>
      <c r="C5" s="32">
        <v>1000</v>
      </c>
      <c r="D5" s="32"/>
      <c r="E5" s="32"/>
      <c r="F5" s="32"/>
    </row>
    <row r="6" spans="2:15">
      <c r="B6" s="27" t="s">
        <v>303</v>
      </c>
      <c r="C6" t="s">
        <v>311</v>
      </c>
      <c r="D6" s="28" t="s">
        <v>304</v>
      </c>
    </row>
    <row r="7" spans="2:15">
      <c r="B7" s="27"/>
    </row>
    <row r="8" spans="2:15">
      <c r="B8" s="30" t="s">
        <v>208</v>
      </c>
      <c r="C8" s="30"/>
      <c r="D8" s="30"/>
      <c r="E8" s="30"/>
      <c r="F8" s="30"/>
    </row>
    <row r="9" spans="2:15">
      <c r="B9" s="11" t="s">
        <v>204</v>
      </c>
      <c r="C9" s="11" t="s">
        <v>205</v>
      </c>
      <c r="D9" s="11" t="s">
        <v>206</v>
      </c>
      <c r="E9" s="11" t="s">
        <v>248</v>
      </c>
      <c r="F9" s="11" t="s">
        <v>249</v>
      </c>
    </row>
    <row r="10" spans="2:15" ht="180">
      <c r="B10" s="14" t="s">
        <v>229</v>
      </c>
      <c r="C10" s="29" t="str">
        <f>"B4:P"&amp;$C$6</f>
        <v>B4:P(max)</v>
      </c>
      <c r="D10" s="14" t="s">
        <v>232</v>
      </c>
      <c r="E10" s="15" t="s">
        <v>254</v>
      </c>
      <c r="F10" s="13" t="s">
        <v>252</v>
      </c>
    </row>
    <row r="11" spans="2:15" ht="60">
      <c r="B11" s="14" t="s">
        <v>229</v>
      </c>
      <c r="C11" s="29" t="str">
        <f>"B4:S"&amp;$C$6</f>
        <v>B4:S(max)</v>
      </c>
      <c r="D11" s="14" t="s">
        <v>246</v>
      </c>
      <c r="E11" s="15" t="s">
        <v>253</v>
      </c>
      <c r="F11" s="15" t="s">
        <v>267</v>
      </c>
    </row>
    <row r="12" spans="2:15" ht="30">
      <c r="B12" s="14" t="s">
        <v>229</v>
      </c>
      <c r="C12" s="29" t="str">
        <f>"B4:I"&amp;$C$6</f>
        <v>B4:I(max)</v>
      </c>
      <c r="D12" s="14" t="s">
        <v>242</v>
      </c>
      <c r="E12" s="15" t="s">
        <v>243</v>
      </c>
    </row>
    <row r="13" spans="2:15" ht="210">
      <c r="B13" s="14" t="s">
        <v>229</v>
      </c>
      <c r="C13" s="29" t="str">
        <f>"B4:Z"&amp;$C$6</f>
        <v>B4:Z(max)</v>
      </c>
      <c r="D13" s="14" t="s">
        <v>255</v>
      </c>
      <c r="E13" s="15" t="s">
        <v>257</v>
      </c>
      <c r="F13" s="13" t="s">
        <v>256</v>
      </c>
      <c r="G13" s="13" t="s">
        <v>258</v>
      </c>
      <c r="H13" s="13" t="s">
        <v>259</v>
      </c>
      <c r="I13" s="13" t="s">
        <v>260</v>
      </c>
      <c r="J13" s="13" t="s">
        <v>261</v>
      </c>
      <c r="K13" s="13" t="s">
        <v>262</v>
      </c>
      <c r="L13" s="13" t="s">
        <v>263</v>
      </c>
      <c r="M13" s="13" t="s">
        <v>264</v>
      </c>
      <c r="N13" s="13" t="s">
        <v>265</v>
      </c>
      <c r="O13" s="13" t="s">
        <v>266</v>
      </c>
    </row>
    <row r="14" spans="2:15" ht="30">
      <c r="B14" s="14" t="s">
        <v>229</v>
      </c>
      <c r="C14" s="29" t="str">
        <f>"B4:N"&amp;$C$6</f>
        <v>B4:N(max)</v>
      </c>
      <c r="D14" s="14" t="s">
        <v>244</v>
      </c>
      <c r="E14" s="15" t="s">
        <v>245</v>
      </c>
    </row>
    <row r="15" spans="2:15" ht="90">
      <c r="B15" s="14" t="s">
        <v>230</v>
      </c>
      <c r="C15" s="12" t="s">
        <v>238</v>
      </c>
      <c r="D15" s="14" t="s">
        <v>233</v>
      </c>
      <c r="E15" s="15" t="s">
        <v>250</v>
      </c>
      <c r="F15" s="13" t="s">
        <v>247</v>
      </c>
    </row>
    <row r="16" spans="2:15" ht="75">
      <c r="B16" s="14" t="s">
        <v>230</v>
      </c>
      <c r="C16" s="12" t="s">
        <v>240</v>
      </c>
      <c r="D16" s="14" t="s">
        <v>239</v>
      </c>
      <c r="E16" s="15" t="s">
        <v>241</v>
      </c>
    </row>
    <row r="17" spans="2:5" ht="105">
      <c r="B17" s="14" t="s">
        <v>231</v>
      </c>
      <c r="C17" s="12" t="s">
        <v>235</v>
      </c>
      <c r="D17" s="14" t="s">
        <v>234</v>
      </c>
      <c r="E17" s="15" t="s">
        <v>236</v>
      </c>
    </row>
    <row r="18" spans="2:5" ht="45">
      <c r="B18" s="12" t="s">
        <v>212</v>
      </c>
      <c r="C18" s="12" t="s">
        <v>215</v>
      </c>
      <c r="D18" s="12" t="s">
        <v>210</v>
      </c>
      <c r="E18" s="13" t="s">
        <v>251</v>
      </c>
    </row>
    <row r="19" spans="2:5" ht="60">
      <c r="B19" s="12" t="s">
        <v>36</v>
      </c>
      <c r="C19" s="12" t="s">
        <v>218</v>
      </c>
      <c r="D19" s="12" t="s">
        <v>224</v>
      </c>
      <c r="E19" s="13" t="s">
        <v>301</v>
      </c>
    </row>
    <row r="20" spans="2:5" ht="120">
      <c r="B20" s="12" t="s">
        <v>225</v>
      </c>
      <c r="C20" s="12" t="s">
        <v>227</v>
      </c>
      <c r="D20" s="12" t="s">
        <v>226</v>
      </c>
      <c r="E20" s="13" t="s">
        <v>228</v>
      </c>
    </row>
    <row r="21" spans="2:5" ht="75">
      <c r="B21" s="12" t="s">
        <v>211</v>
      </c>
      <c r="C21" s="12" t="s">
        <v>214</v>
      </c>
      <c r="D21" s="12" t="s">
        <v>209</v>
      </c>
      <c r="E21" s="13" t="s">
        <v>219</v>
      </c>
    </row>
    <row r="22" spans="2:5" ht="60">
      <c r="B22" s="12" t="s">
        <v>216</v>
      </c>
      <c r="C22" s="12" t="s">
        <v>218</v>
      </c>
      <c r="D22" s="12" t="s">
        <v>217</v>
      </c>
      <c r="E22" s="13" t="s">
        <v>220</v>
      </c>
    </row>
    <row r="23" spans="2:5" ht="45">
      <c r="B23" s="12" t="s">
        <v>221</v>
      </c>
      <c r="C23" s="12" t="s">
        <v>215</v>
      </c>
      <c r="D23" s="12" t="s">
        <v>222</v>
      </c>
      <c r="E23" s="13" t="s">
        <v>223</v>
      </c>
    </row>
    <row r="24" spans="2:5">
      <c r="B24" s="12" t="s">
        <v>292</v>
      </c>
      <c r="C24" s="12" t="s">
        <v>297</v>
      </c>
      <c r="D24" s="12" t="s">
        <v>293</v>
      </c>
      <c r="E24" s="13" t="s">
        <v>294</v>
      </c>
    </row>
    <row r="25" spans="2:5" ht="45">
      <c r="B25" s="12" t="s">
        <v>295</v>
      </c>
      <c r="C25" s="12" t="s">
        <v>215</v>
      </c>
      <c r="D25" s="12" t="s">
        <v>296</v>
      </c>
      <c r="E25" s="13" t="s">
        <v>298</v>
      </c>
    </row>
    <row r="26" spans="2:5" ht="30">
      <c r="B26" s="12" t="s">
        <v>307</v>
      </c>
      <c r="C26" s="22" t="s">
        <v>308</v>
      </c>
      <c r="D26" s="12" t="s">
        <v>309</v>
      </c>
      <c r="E26" s="13" t="s">
        <v>310</v>
      </c>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sheetData>
  <mergeCells count="5">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Z11"/>
  <sheetViews>
    <sheetView topLeftCell="A2" workbookViewId="0">
      <selection activeCell="C15" sqref="C15"/>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25" width="16.5" customWidth="1"/>
  </cols>
  <sheetData>
    <row r="2" spans="2:26">
      <c r="B2" s="9" t="s">
        <v>69</v>
      </c>
      <c r="C2" s="9"/>
      <c r="D2" s="9"/>
      <c r="E2" s="9"/>
      <c r="F2" s="9"/>
      <c r="G2" s="9"/>
      <c r="H2" s="9"/>
      <c r="I2" s="9"/>
      <c r="J2" s="9"/>
      <c r="K2" s="9"/>
      <c r="L2" s="9"/>
      <c r="M2" s="9"/>
      <c r="N2" s="5"/>
      <c r="O2" s="5"/>
      <c r="P2" s="20"/>
      <c r="Q2" s="30" t="s">
        <v>68</v>
      </c>
      <c r="R2" s="30"/>
      <c r="S2" s="30"/>
      <c r="U2" s="9"/>
      <c r="V2" s="24"/>
      <c r="W2" s="24"/>
      <c r="X2" s="24"/>
      <c r="Y2" s="24"/>
      <c r="Z2" s="24"/>
    </row>
    <row r="3" spans="2:26">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30" t="s">
        <v>136</v>
      </c>
      <c r="V3" s="30"/>
      <c r="W3" s="30"/>
      <c r="X3" s="30"/>
      <c r="Y3" s="30"/>
      <c r="Z3" s="30"/>
    </row>
    <row r="4" spans="2:26">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26">
      <c r="B5" t="s">
        <v>138</v>
      </c>
      <c r="C5" t="s">
        <v>139</v>
      </c>
      <c r="D5" t="s">
        <v>140</v>
      </c>
      <c r="E5" t="s">
        <v>146</v>
      </c>
      <c r="F5" s="4" t="s">
        <v>54</v>
      </c>
      <c r="G5" s="4" t="s">
        <v>48</v>
      </c>
      <c r="H5" s="4"/>
      <c r="I5" t="s">
        <v>143</v>
      </c>
      <c r="J5" t="s">
        <v>144</v>
      </c>
      <c r="K5" t="s">
        <v>147</v>
      </c>
      <c r="L5" t="s">
        <v>148</v>
      </c>
      <c r="M5" t="s">
        <v>152</v>
      </c>
      <c r="N5" t="s">
        <v>146</v>
      </c>
      <c r="O5" s="16" t="str">
        <f t="shared" ref="O5:O11" si="0">"citation:"&amp;B5&amp;"-01"</f>
        <v>citation:doc-1855a-01</v>
      </c>
      <c r="P5" s="19" t="s">
        <v>146</v>
      </c>
      <c r="Q5" t="s">
        <v>149</v>
      </c>
      <c r="R5">
        <v>12</v>
      </c>
      <c r="S5" s="6" t="s">
        <v>188</v>
      </c>
      <c r="U5" t="s">
        <v>73</v>
      </c>
      <c r="V5" t="s">
        <v>87</v>
      </c>
      <c r="W5" t="s">
        <v>79</v>
      </c>
      <c r="X5" t="s">
        <v>82</v>
      </c>
    </row>
    <row r="6" spans="2:26">
      <c r="B6" t="s">
        <v>152</v>
      </c>
      <c r="C6" t="s">
        <v>151</v>
      </c>
      <c r="D6" t="s">
        <v>140</v>
      </c>
      <c r="E6" t="s">
        <v>146</v>
      </c>
      <c r="F6" t="s">
        <v>54</v>
      </c>
      <c r="G6" t="s">
        <v>42</v>
      </c>
      <c r="I6" t="s">
        <v>143</v>
      </c>
      <c r="J6" t="s">
        <v>144</v>
      </c>
      <c r="K6" t="s">
        <v>146</v>
      </c>
      <c r="L6" t="s">
        <v>153</v>
      </c>
      <c r="M6" t="s">
        <v>138</v>
      </c>
      <c r="N6" t="s">
        <v>146</v>
      </c>
      <c r="O6" s="16" t="str">
        <f t="shared" si="0"/>
        <v>citation:doc-1855c-01</v>
      </c>
      <c r="P6" s="19" t="s">
        <v>146</v>
      </c>
      <c r="Q6" t="s">
        <v>146</v>
      </c>
      <c r="R6">
        <v>0</v>
      </c>
      <c r="S6" s="6" t="s">
        <v>188</v>
      </c>
      <c r="U6" t="s">
        <v>73</v>
      </c>
      <c r="V6" t="s">
        <v>87</v>
      </c>
      <c r="W6" t="s">
        <v>79</v>
      </c>
      <c r="X6" t="s">
        <v>82</v>
      </c>
    </row>
    <row r="7" spans="2:26">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26">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26">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26">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3" t="s">
        <v>79</v>
      </c>
      <c r="Y10" t="s">
        <v>73</v>
      </c>
    </row>
    <row r="11" spans="2:26">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sheetData>
  <mergeCells count="2">
    <mergeCell ref="Q2:S2"/>
    <mergeCell ref="U3:Z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C29" sqref="C29"/>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30" t="s">
        <v>69</v>
      </c>
      <c r="C2" s="30"/>
      <c r="D2" s="30"/>
      <c r="E2" s="30"/>
      <c r="F2" s="30"/>
      <c r="G2" s="30"/>
      <c r="H2" s="5"/>
      <c r="I2" s="17"/>
      <c r="J2" s="30" t="s">
        <v>68</v>
      </c>
      <c r="K2" s="30"/>
      <c r="L2" s="30"/>
      <c r="M2" s="30"/>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268</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D42" sqref="D42"/>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269</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election activeCell="C7" sqref="C7"/>
    </sheetView>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282</v>
      </c>
      <c r="D3" t="s">
        <v>41</v>
      </c>
    </row>
    <row r="4" spans="2:5">
      <c r="B4" t="s">
        <v>39</v>
      </c>
      <c r="C4" t="s">
        <v>283</v>
      </c>
      <c r="D4" t="s">
        <v>40</v>
      </c>
    </row>
    <row r="5" spans="2:5">
      <c r="B5" t="s">
        <v>50</v>
      </c>
      <c r="C5" t="s">
        <v>299</v>
      </c>
      <c r="E5" t="s">
        <v>300</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C30" sqref="C30"/>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270</v>
      </c>
      <c r="D3" t="s">
        <v>5</v>
      </c>
      <c r="E3" t="s">
        <v>271</v>
      </c>
      <c r="F3" t="s">
        <v>272</v>
      </c>
      <c r="G3" t="s">
        <v>43</v>
      </c>
      <c r="H3" t="s">
        <v>38</v>
      </c>
      <c r="I3" s="2" t="s">
        <v>288</v>
      </c>
    </row>
    <row r="4" spans="2:9">
      <c r="B4" t="s">
        <v>44</v>
      </c>
      <c r="C4" t="s">
        <v>273</v>
      </c>
      <c r="D4" t="s">
        <v>11</v>
      </c>
      <c r="E4" t="s">
        <v>274</v>
      </c>
      <c r="F4" t="s">
        <v>275</v>
      </c>
      <c r="G4" t="s">
        <v>45</v>
      </c>
      <c r="H4" t="s">
        <v>38</v>
      </c>
      <c r="I4" s="2" t="s">
        <v>289</v>
      </c>
    </row>
    <row r="5" spans="2:9">
      <c r="B5" t="s">
        <v>46</v>
      </c>
      <c r="C5" t="s">
        <v>276</v>
      </c>
      <c r="D5" t="s">
        <v>9</v>
      </c>
      <c r="E5" t="s">
        <v>277</v>
      </c>
      <c r="F5" t="s">
        <v>278</v>
      </c>
      <c r="G5" t="s">
        <v>47</v>
      </c>
      <c r="H5" t="s">
        <v>39</v>
      </c>
      <c r="I5" s="2" t="s">
        <v>290</v>
      </c>
    </row>
    <row r="6" spans="2:9">
      <c r="B6" t="s">
        <v>48</v>
      </c>
      <c r="C6" t="s">
        <v>279</v>
      </c>
      <c r="D6" t="s">
        <v>4</v>
      </c>
      <c r="E6" t="s">
        <v>280</v>
      </c>
      <c r="F6" t="s">
        <v>281</v>
      </c>
      <c r="G6" t="s">
        <v>49</v>
      </c>
      <c r="H6" t="s">
        <v>50</v>
      </c>
      <c r="I6" s="2" t="s">
        <v>291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284</v>
      </c>
      <c r="E3" t="s">
        <v>55</v>
      </c>
      <c r="F3" t="s">
        <v>56</v>
      </c>
    </row>
    <row r="4" spans="2:6">
      <c r="B4" t="s">
        <v>57</v>
      </c>
      <c r="C4" t="s">
        <v>57</v>
      </c>
      <c r="D4" t="s">
        <v>285</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286</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287</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5" t="s">
        <v>129</v>
      </c>
      <c r="C10" s="10">
        <v>2</v>
      </c>
      <c r="D10" s="10">
        <v>2009</v>
      </c>
    </row>
    <row r="11" spans="2:4">
      <c r="B11" s="25" t="s">
        <v>291</v>
      </c>
      <c r="C11" s="10">
        <v>4</v>
      </c>
      <c r="D11" s="10">
        <v>2012</v>
      </c>
    </row>
    <row r="12" spans="2:4">
      <c r="B12" s="26" t="s">
        <v>288</v>
      </c>
      <c r="C12" s="10">
        <v>9</v>
      </c>
      <c r="D12" s="10">
        <v>2012</v>
      </c>
    </row>
    <row r="13" spans="2:4">
      <c r="B13" s="26" t="s">
        <v>166</v>
      </c>
      <c r="C13" s="10">
        <v>10</v>
      </c>
      <c r="D13" s="10">
        <v>2013</v>
      </c>
    </row>
    <row r="14" spans="2:4">
      <c r="B14" s="26" t="s">
        <v>167</v>
      </c>
      <c r="C14" s="10">
        <v>1</v>
      </c>
      <c r="D14" s="10">
        <v>2014</v>
      </c>
    </row>
    <row r="15" spans="2:4">
      <c r="B15" s="26" t="s">
        <v>290</v>
      </c>
      <c r="C15" s="10">
        <v>7</v>
      </c>
      <c r="D15" s="10">
        <v>2014</v>
      </c>
    </row>
    <row r="16" spans="2:4">
      <c r="B16" s="26" t="s">
        <v>289</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305</v>
      </c>
    </row>
    <row r="3" spans="2:4">
      <c r="B3" t="s">
        <v>306</v>
      </c>
      <c r="C3" s="16" t="str">
        <f ca="1">"The data shown is accurate as of " &amp; TEXT(NOW(),"hh:mm") &amp; " GMT on " &amp; TEXT(NOW(),"dddd dd mmmm yyyy")</f>
        <v>The data shown is accurate as of 13:07 GMT on Wednesday 20 April 2016</v>
      </c>
      <c r="D3" s="33"/>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2016-04-20T12:11:54Z</dcterms:modified>
</cp:coreProperties>
</file>