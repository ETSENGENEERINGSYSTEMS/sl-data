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8800" windowHeight="1754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projects" sheetId="6" r:id="rId8"/>
    <sheet name="technical areas" sheetId="7" r:id="rId9"/>
    <sheet name="project plans" sheetId="8" r:id="rId10"/>
    <sheet name="countries" sheetId="11" r:id="rId11"/>
    <sheet name="dates" sheetId="12" r:id="rId12"/>
    <sheet name="messages" sheetId="13" r:id="rId13"/>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12" i="2" l="1"/>
  <c r="C11" i="2"/>
  <c r="C10" i="2"/>
  <c r="C3" i="13"/>
  <c r="C14" i="2"/>
  <c r="C13" i="2"/>
  <c r="O11" i="10"/>
  <c r="O10" i="10"/>
  <c r="O9" i="10"/>
  <c r="O8" i="10"/>
  <c r="O7" i="10"/>
  <c r="O6" i="10"/>
  <c r="O5" i="10"/>
  <c r="O4" i="10"/>
  <c r="H16" i="9"/>
  <c r="H15" i="9"/>
  <c r="H14" i="9"/>
  <c r="H13" i="9"/>
  <c r="H12" i="9"/>
  <c r="H11" i="9"/>
  <c r="H10" i="9"/>
  <c r="H9" i="9"/>
  <c r="H8" i="9"/>
  <c r="H7" i="9"/>
  <c r="H6" i="9"/>
  <c r="H5" i="9"/>
  <c r="H4" i="9"/>
  <c r="E16" i="9"/>
  <c r="E15" i="9"/>
  <c r="E14" i="9"/>
  <c r="E13" i="9"/>
  <c r="E12" i="9"/>
  <c r="E11" i="9"/>
  <c r="E10" i="9"/>
  <c r="E9" i="9"/>
  <c r="E8" i="9"/>
  <c r="E7" i="9"/>
  <c r="E6" i="9"/>
  <c r="E5" i="9"/>
  <c r="E4" i="9"/>
</calcChain>
</file>

<file path=xl/sharedStrings.xml><?xml version="1.0" encoding="utf-8"?>
<sst xmlns="http://schemas.openxmlformats.org/spreadsheetml/2006/main" count="506" uniqueCount="312">
  <si>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</si>
  <si>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</si>
  <si>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</si>
  <si>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</si>
  <si>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</si>
  <si>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</si>
  <si>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</si>
  <si>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</si>
  <si>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</si>
  <si>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</si>
  <si>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</si>
  <si>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</si>
  <si>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</si>
  <si>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</si>
  <si>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</si>
  <si>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</si>
  <si>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</si>
  <si>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</si>
  <si>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</si>
  <si>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</si>
  <si>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</si>
  <si>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</si>
  <si>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</si>
  <si>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</si>
  <si>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</si>
  <si>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</si>
  <si>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</si>
  <si>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</si>
  <si>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</si>
  <si>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</si>
  <si>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</si>
  <si>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</si>
  <si>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</si>
  <si>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</si>
  <si>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</si>
  <si>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</si>
  <si>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</si>
  <si>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</si>
  <si>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</si>
  <si>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</si>
  <si>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</si>
  <si>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</si>
  <si>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</si>
  <si>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</si>
  <si>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</si>
  <si>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</si>
  <si>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</si>
  <si>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</si>
  <si>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</si>
  <si>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</si>
  <si>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</si>
  <si>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</si>
  <si>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</si>
  <si>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</si>
  <si>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</si>
  <si>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</si>
  <si>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</si>
  <si>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</si>
  <si>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</si>
  <si>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</si>
  <si>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</si>
  <si>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</si>
  <si>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</si>
  <si>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</si>
  <si>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</si>
  <si>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</si>
  <si>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</si>
  <si>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</si>
  <si>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</si>
  <si>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</si>
  <si>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</si>
  <si>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</si>
  <si>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</si>
  <si>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</si>
  <si>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</si>
  <si>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</si>
  <si>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</si>
  <si>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</si>
  <si>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</si>
  <si>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</si>
  <si>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</si>
  <si>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</si>
  <si>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</si>
  <si>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</si>
  <si>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</si>
  <si>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</si>
  <si>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</si>
  <si>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</si>
  <si>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</si>
  <si>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</si>
  <si>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</si>
  <si>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</si>
  <si>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</si>
  <si>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</si>
  <si>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</si>
  <si>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</si>
  <si>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</si>
  <si>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</si>
  <si>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</si>
  <si>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</si>
  <si>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</si>
  <si>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</si>
  <si>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</si>
  <si>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</si>
  <si>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</si>
  <si>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</si>
  <si>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</si>
  <si>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</si>
  <si>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</si>
  <si>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</si>
  <si>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/SL_static/images/people/alun_preece.jpg</t>
  </si>
  <si>
    <t>/SL_static/images/people/dave_braines.jpg</t>
  </si>
  <si>
    <t>/SL_static/images/people/david_mott.jpg</t>
  </si>
  <si>
    <t>/SL_static/images/people/david_vyvyan.jpg</t>
  </si>
  <si>
    <t>/SL_static/images/people/geeth_de_mel.jpg</t>
  </si>
  <si>
    <t>/SL_static/images/people/graham_bent.jpg</t>
  </si>
  <si>
    <t>/SL_static/images/people/patrick_dantressangle.jpg</t>
  </si>
  <si>
    <t>https://scholar.google.co.uk/citations?user=jKz-U3wAAAAJ&amp;hl=en</t>
  </si>
  <si>
    <t>https://scholar.google.co.uk/citations?user=jfsu_TcAAAAJ&amp;hl=en</t>
  </si>
  <si>
    <t>https://scholar.google.co.uk/citations?user=R0cCxNkAAAAJ&amp;hl=en</t>
  </si>
  <si>
    <t>24/11/2015</t>
  </si>
  <si>
    <t>22/01/2016</t>
  </si>
  <si>
    <t>https://scholar.google.co.uk/citations?user=GNtI7cIAAAAJ&amp;hl=en</t>
  </si>
  <si>
    <t>doc-1434</t>
  </si>
  <si>
    <t>concept</t>
  </si>
  <si>
    <t>technical report</t>
  </si>
  <si>
    <t>title</t>
  </si>
  <si>
    <t>publish date</t>
  </si>
  <si>
    <t>Efficient SME Knowledge capture through CNLs and ontologies</t>
  </si>
  <si>
    <t>Feb-2009</t>
  </si>
  <si>
    <t>abstract</t>
  </si>
  <si>
    <t>paper file</t>
  </si>
  <si>
    <t>paper thumbnail</t>
  </si>
  <si>
    <t>This paper looks at the issues around creating and populating an ontology model from a textual description of an application domain.</t>
  </si>
  <si>
    <t>/SL_static/attachments/1434/P12%20T1%20-%20Efficient%20SME%20Knowledge%20Capture.doc</t>
  </si>
  <si>
    <t>/SL_static/images/papers/1434_paper.jpg</t>
  </si>
  <si>
    <t>authors</t>
  </si>
  <si>
    <t>https://scholar.google.co.uk/scholar?q="Efficient SME Knowledge capture through CNLs and ontologies"&amp;btnG=&amp;hl=en&amp;as_sdt=0,5</t>
  </si>
  <si>
    <t>doc-1855a</t>
  </si>
  <si>
    <t>external conference document</t>
  </si>
  <si>
    <t>Tasking and Sharing Sensing Assets Using Controlled Natural Language</t>
  </si>
  <si>
    <t>venue</t>
  </si>
  <si>
    <t>project</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</si>
  <si>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</si>
  <si>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/SL_static/attachments/1855/ita_spie2012_v2a.pdf</t>
  </si>
  <si>
    <t>presentation_file</t>
  </si>
  <si>
    <t xml:space="preserve"> </t>
  </si>
  <si>
    <t>/SL_static/attachments/1855/ita_spie2012.ppt</t>
  </si>
  <si>
    <t>/SL_static/images/papers/1855_paper.jpg</t>
  </si>
  <si>
    <t>https://scholar.google.co.uk/scholar?q="Tasking and Sharing Sensing Assets Using Controlled Natural Language"&amp;btnG=&amp;hl=en&amp;as_sdt=0,5</t>
  </si>
  <si>
    <t>variant</t>
  </si>
  <si>
    <t>demonstration</t>
  </si>
  <si>
    <t>doc-1855c</t>
  </si>
  <si>
    <t>/SL_static/images/papers/1855b_paper.jpg</t>
  </si>
  <si>
    <t>doc-2377</t>
  </si>
  <si>
    <t>Human-Machine Conversations to Support Mission-Oriented Information Provision</t>
  </si>
  <si>
    <t>old venue</t>
  </si>
  <si>
    <t>Proceedings of the 2nd ACM annual international workshop on Mission-oriented wireless sensor networking (pp. 43-50). ACM</t>
  </si>
  <si>
    <t xml:space="preserve"> /SL_static/attachments/2377/misenet05-preece.pdf</t>
  </si>
  <si>
    <t>/SL_static/images/papers/2377_paper.jpg</t>
  </si>
  <si>
    <t>noteworthy</t>
  </si>
  <si>
    <t>Best paper award</t>
  </si>
  <si>
    <t>https://scholar.google.co.uk/scholar?q="Human-Machine Conversations to Support Mission-Oriented Information Provision"&amp;btnG=&amp;hl=en&amp;as_sdt=0,5</t>
  </si>
  <si>
    <t>doc-2630</t>
  </si>
  <si>
    <t>journal document</t>
  </si>
  <si>
    <t>Human-Machine Conversations to Support Multi-Agency Missions</t>
  </si>
  <si>
    <t>Oct-2013</t>
  </si>
  <si>
    <t>Jan-2014</t>
  </si>
  <si>
    <t>ACM SIGMOBILE Mobile Computing and Communications Review, Volume 18 Issue 1</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</si>
  <si>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</si>
  <si>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/SL_static/attachments/2630/p75-preece.pdf</t>
  </si>
  <si>
    <t>/SL_static/images/papers/2630_paper.jpg</t>
  </si>
  <si>
    <t>https://scholar.google.co.uk/scholar?q="Human-Machine Conversations to Support Multi-Agency Missions"&amp;btnG=&amp;hl=en&amp;as_sdt=0,5</t>
  </si>
  <si>
    <t>doc-2697</t>
  </si>
  <si>
    <t>Enabling CoIST Users: D2D at the Network Edge</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</si>
  <si>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</si>
  <si>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</si>
  <si>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/SL_static/attachments/2697/PID3236615.pdf</t>
  </si>
  <si>
    <t>/SL_static/images/papers/2697_paper.jpg</t>
  </si>
  <si>
    <t>https://scholar.google.co.uk/scholar?q=%22Enabling+CoIST+Users%3A+D2D+at+the+Network+Edge%22&amp;btnG=&amp;hl=en&amp;as_sdt=0%2C5</t>
  </si>
  <si>
    <t>doc-2998</t>
  </si>
  <si>
    <t>internal conference document</t>
  </si>
  <si>
    <t>Use of Controlled English to Bridge the Gap Between Tactical and Strategic Echelons</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</si>
  <si>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</si>
  <si>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/SL_static/attachments/2998/ITA-WP_Paper07AUG.pdf</t>
  </si>
  <si>
    <t>/SL_static/images/papers/2998_paper.jpg</t>
  </si>
  <si>
    <t>https://scholar.google.co.uk/scholar?q=%22Use of Controlled English to Bridge the Gap Between Tactical and Strategic Echelons%22&amp;btnG=&amp;hl=en&amp;as_sdt=0%2C5</t>
  </si>
  <si>
    <t>19/01/2016</t>
  </si>
  <si>
    <t>10/01/2016</t>
  </si>
  <si>
    <t>11/01/2016</t>
  </si>
  <si>
    <t>09/02/2016</t>
  </si>
  <si>
    <t>doc-x0406</t>
  </si>
  <si>
    <t>patent</t>
  </si>
  <si>
    <t>Automated propagation of non-conflicting queries in distributed databases</t>
  </si>
  <si>
    <t>2013</t>
  </si>
  <si>
    <t>U.S. Patent No. 8,560,570. Washington, DC: U.S. Patent and Trademark Office.</t>
  </si>
  <si>
    <t>/SL_static/attachments/x0406/x0406.pdf</t>
  </si>
  <si>
    <t>/SL_static/images/papers/x0406_paper.jpg</t>
  </si>
  <si>
    <t>https://scholar.google.co.uk/scholar?q=%22Automated propagation of non-conflicting queries in distributed databases%22&amp;btnG=&amp;hl=en&amp;as_sdt=0%2C5</t>
  </si>
  <si>
    <t>6/3/2016</t>
  </si>
  <si>
    <t>11/2/2016</t>
  </si>
  <si>
    <t>Root folder:</t>
  </si>
  <si>
    <t>Header comment:</t>
  </si>
  <si>
    <t xml:space="preserve">-- --------------------------------------------------------------------------
-- (C) Copyright IBM Corporation 2016
-- All Rights Reserved
-- --------------------------------------------------------------------------
</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</si>
  <si>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</si>
  <si>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</si>
  <si>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</si>
  <si>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</si>
  <si>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</si>
  <si>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</si>
  <si>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</si>
  <si>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</si>
  <si>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</si>
  <si>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</si>
  <si>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</si>
  <si>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</si>
  <si>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</si>
  <si>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</si>
  <si>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</si>
  <si>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</si>
  <si>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</si>
  <si>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</si>
  <si>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</si>
  <si>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</si>
  <si>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</si>
  <si>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</si>
  <si>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</si>
  <si>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</si>
  <si>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</si>
  <si>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</si>
  <si>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</si>
  <si>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</si>
  <si>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</si>
  <si>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</si>
  <si>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</si>
  <si>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</si>
  <si>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</si>
  <si>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</si>
  <si>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</si>
  <si>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</si>
  <si>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H4:M(max)</t>
  </si>
  <si>
    <t>there is a person citation count named '{1}'
  has '{3}' as url
  has '{4}' as citation count
  has '{5}' as h-index
  has '{6}' as date checked</t>
  </si>
  <si>
    <t>paper_abstracts.ce</t>
  </si>
  <si>
    <t>there is an academic document named '{1}'
  has '{8}' as abstract</t>
  </si>
  <si>
    <t>paper_noteworthy.ce</t>
  </si>
  <si>
    <t>there is a noteworthy document named '{1}'
  has '{13}' as noteworthy reason</t>
  </si>
  <si>
    <t>paper_citations.ce</t>
  </si>
  <si>
    <t>there is a published person named '{1}'
  has the person citation count '{7}' as citation count</t>
  </si>
  <si>
    <t>CE template (1)</t>
  </si>
  <si>
    <t>CE template (2)</t>
  </si>
  <si>
    <t>there is a person named '{1}'
  has '{2}' as forename
  has '{3}' as surname
  has '{4}' as full name
  is employed by the organisation '{5}'
  has '{6}' as profile picture</t>
  </si>
  <si>
    <t>there is a place named '{1}'
  has '{2}' as latitude
  has '{3}' as longitude</t>
  </si>
  <si>
    <t>there is a ordered author named '{1}-author-{15}'
  has the person '{15}' as author person
  has '{#}' as author index</t>
  </si>
  <si>
    <t xml:space="preserve">there is an academic document named '{1}'
  has the paper citation count '{14}' as citation count
</t>
  </si>
  <si>
    <t>there is an academic document named '{1}'
  is a {2}
  has '{3}' as title
  has the date '{4}' as publish date
  has the ITA project '{5}' as project
  has the event '{6}' as venue
  has '{7}' as old venue
  has '{9}' as paper file
  has '{10}' as presentation file
  has '{11}' as paper thumbnail
  has the academic document '{12}' as variant
  has the ordered author '{tbc}-author-{15}' as author</t>
  </si>
  <si>
    <t>paper_authors.ce</t>
  </si>
  <si>
    <t>there is a ordered author named '[1]-author-{20}'
  has the person '{20}' as author person and
  has '1' as author index.</t>
  </si>
  <si>
    <t>there is an academic document named '{1}'
  has the ordered author '[1]-author-{20}' as author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t>
  </si>
  <si>
    <t>there is a ordered author named '[1]-author-{21}'
  has the person '{21}' as author person and
  has '2' as author index.</t>
  </si>
  <si>
    <t>there is a ordered author named '[1]-author-{22}'
  has the person '{22}' as author person and
  has '3' as author index.</t>
  </si>
  <si>
    <t>there is a ordered author named '[1]-author-{23}'
  has the person '{23}' as author person and
  has '4' as author index.</t>
  </si>
  <si>
    <t>there is a ordered author named '[1]-author-{24}'
  has the person '{24}' as author person and
  has '5' as author index.</t>
  </si>
  <si>
    <t>there is a ordered author named '[1]-author-{25}'
  has the person '{25}' as author person and
  has '6' as author index.</t>
  </si>
  <si>
    <t>there is a ordered author named '[1]-author-{26}'
  has the person '{26}' as author person and
  has '7' as author index.</t>
  </si>
  <si>
    <t>there is a ordered author named '[1]-author-{27}'
  has the person '{27}' as author person and
  has '8' as author index.</t>
  </si>
  <si>
    <t>there is a ordered author named '[1]-author-{28}'
  has the person '{28}' as author person and
  has '9' as author index.</t>
  </si>
  <si>
    <t>there is a ordered author named '[1]-author-{29}'
  has the person '{29}' as author person and
  has '10' as author index.</t>
  </si>
  <si>
    <t>there is a paper citation count named '{14}'
  has '{16}' as url
  has '{17}' as citation count
  has '{18}' as date checked</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</si>
  <si>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</si>
  <si>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</si>
  <si>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</si>
  <si>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</si>
  <si>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</si>
  <si>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</si>
  <si>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</si>
  <si>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</si>
  <si>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</si>
  <si>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</si>
  <si>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</si>
  <si>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</si>
  <si>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</si>
  <si>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</si>
  <si>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</si>
  <si>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</si>
  <si>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</si>
  <si>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</si>
  <si>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</si>
  <si>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</si>
  <si>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</si>
  <si>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</si>
  <si>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</si>
  <si>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</si>
  <si>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</si>
  <si>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</si>
  <si>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there is a country named '{1}'</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</si>
  <si>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</si>
  <si>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</si>
  <si>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</si>
  <si>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</si>
  <si>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</si>
  <si>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</si>
  <si>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</si>
  <si>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</si>
  <si>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</si>
  <si>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Note - replace with with "(max)" to generate all paper rows</t>
  </si>
  <si>
    <t>message text</t>
  </si>
  <si>
    <t>msg date</t>
  </si>
  <si>
    <t>messages</t>
  </si>
  <si>
    <t>B3:C(max)</t>
  </si>
  <si>
    <t>messages.ce</t>
  </si>
  <si>
    <t>there is a UI message named '{1}'
  has '{2}' as message text</t>
  </si>
  <si>
    <t>(max)</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</si>
</sst>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50">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cellStyleXfs>
  <cellXfs count="33">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14" fontId="0" fillId="0" borderId="0" xfId="0" quotePrefix="1" applyNumberFormat="1"/>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xf numFmtId="0" fontId="0" fillId="0" borderId="0" xfId="0" applyAlignment="1">
      <alignment horizontal="left" vertical="top"/>
    </xf>
    <xf numFmtId="0" fontId="6" fillId="0" borderId="0" xfId="0" applyFont="1"/>
    <xf numFmtId="0" fontId="0" fillId="2" borderId="0" xfId="0" applyFill="1"/>
    <xf numFmtId="17" fontId="0" fillId="0" borderId="0" xfId="0" quotePrefix="1" applyNumberFormat="1" applyAlignment="1">
      <alignment horizontal="left"/>
    </xf>
    <xf numFmtId="0" fontId="0" fillId="0" borderId="0" xfId="0" quotePrefix="1" applyAlignment="1">
      <alignment horizontal="left"/>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 fillId="0" borderId="0" xfId="0" applyFont="1" applyAlignment="1">
      <alignment horizontal="right"/>
    </xf>
    <xf numFmtId="0" fontId="7" fillId="0" borderId="0" xfId="0" applyFont="1"/>
    <xf numFmtId="0" fontId="5" fillId="0" borderId="0" xfId="0" applyFont="1" applyAlignment="1">
      <alignment horizontal="left" vertical="top"/>
    </xf>
  </cellXfs>
  <cellStyles count="150">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board" enableFormatConditionsCalculation="0"/>
  <dimension ref="B2:O34"/>
  <sheetViews>
    <sheetView tabSelected="1" workbookViewId="0"/>
  </sheetViews>
  <sheetFormatPr baseColWidth="10" defaultRowHeight="15" x14ac:dyDescent="0"/>
  <cols>
    <col min="1" max="1" width="2.33203125" customWidth="1"/>
    <col min="2" max="2" width="18.83203125" style="7" customWidth="1"/>
    <col min="3" max="3" width="14.1640625" customWidth="1"/>
    <col min="4" max="4" width="18.83203125" customWidth="1"/>
    <col min="5" max="6" width="47.1640625" customWidth="1"/>
    <col min="7" max="7" width="10.83203125" customWidth="1"/>
  </cols>
  <sheetData>
    <row r="2" spans="2:15">
      <c r="B2" s="27" t="s">
        <v>207</v>
      </c>
      <c r="C2" s="27"/>
      <c r="D2" s="27"/>
      <c r="E2" s="27"/>
      <c r="F2" s="27"/>
    </row>
    <row r="3" spans="2:15">
      <c r="B3" s="8" t="s">
        <v>201</v>
      </c>
      <c r="C3" s="28" t="s">
        <v>302</v>
      </c>
      <c r="D3" s="28"/>
      <c r="E3" s="28"/>
      <c r="F3" s="28"/>
    </row>
    <row r="4" spans="2:15" ht="90" customHeight="1">
      <c r="B4" s="8" t="s">
        <v>202</v>
      </c>
      <c r="C4" s="29" t="s">
        <v>203</v>
      </c>
      <c r="D4" s="29"/>
      <c r="E4" s="29"/>
      <c r="F4" s="29"/>
    </row>
    <row r="5" spans="2:15" ht="15" customHeight="1">
      <c r="B5" s="8" t="s">
        <v>213</v>
      </c>
      <c r="C5" s="29">
        <v>1000</v>
      </c>
      <c r="D5" s="29"/>
      <c r="E5" s="29"/>
      <c r="F5" s="29"/>
    </row>
    <row r="6" spans="2:15">
      <c r="B6" s="30" t="s">
        <v>303</v>
      </c>
      <c r="C6" t="s">
        <v>311</v>
      </c>
      <c r="D6" s="31" t="s">
        <v>304</v>
      </c>
    </row>
    <row r="7" spans="2:15">
      <c r="B7" s="30"/>
    </row>
    <row r="8" spans="2:15">
      <c r="B8" s="27" t="s">
        <v>208</v>
      </c>
      <c r="C8" s="27"/>
      <c r="D8" s="27"/>
      <c r="E8" s="27"/>
      <c r="F8" s="27"/>
    </row>
    <row r="9" spans="2:15">
      <c r="B9" s="11" t="s">
        <v>204</v>
      </c>
      <c r="C9" s="11" t="s">
        <v>205</v>
      </c>
      <c r="D9" s="11" t="s">
        <v>206</v>
      </c>
      <c r="E9" s="11" t="s">
        <v>248</v>
      </c>
      <c r="F9" s="11" t="s">
        <v>249</v>
      </c>
    </row>
    <row r="10" spans="2:15" ht="180">
      <c r="B10" s="14" t="s">
        <v>229</v>
      </c>
      <c r="C10" s="32" t="str">
        <f>"B4:P"&amp;$C$6</f>
        <v>B4:P(max)</v>
      </c>
      <c r="D10" s="14" t="s">
        <v>232</v>
      </c>
      <c r="E10" s="15" t="s">
        <v>254</v>
      </c>
      <c r="F10" s="13" t="s">
        <v>252</v>
      </c>
    </row>
    <row r="11" spans="2:15" ht="60">
      <c r="B11" s="14" t="s">
        <v>229</v>
      </c>
      <c r="C11" s="32" t="str">
        <f>"B4:S"&amp;$C$6</f>
        <v>B4:S(max)</v>
      </c>
      <c r="D11" s="14" t="s">
        <v>246</v>
      </c>
      <c r="E11" s="15" t="s">
        <v>253</v>
      </c>
      <c r="F11" s="15" t="s">
        <v>267</v>
      </c>
    </row>
    <row r="12" spans="2:15" ht="30">
      <c r="B12" s="14" t="s">
        <v>229</v>
      </c>
      <c r="C12" s="32" t="str">
        <f>"B4:I"&amp;$C$6</f>
        <v>B4:I(max)</v>
      </c>
      <c r="D12" s="14" t="s">
        <v>242</v>
      </c>
      <c r="E12" s="15" t="s">
        <v>243</v>
      </c>
    </row>
    <row r="13" spans="2:15" ht="210">
      <c r="B13" s="14" t="s">
        <v>229</v>
      </c>
      <c r="C13" s="32" t="str">
        <f>"B4:Z"&amp;$C$6</f>
        <v>B4:Z(max)</v>
      </c>
      <c r="D13" s="14" t="s">
        <v>255</v>
      </c>
      <c r="E13" s="15" t="s">
        <v>257</v>
      </c>
      <c r="F13" s="13" t="s">
        <v>256</v>
      </c>
      <c r="G13" s="13" t="s">
        <v>258</v>
      </c>
      <c r="H13" s="13" t="s">
        <v>259</v>
      </c>
      <c r="I13" s="13" t="s">
        <v>260</v>
      </c>
      <c r="J13" s="13" t="s">
        <v>261</v>
      </c>
      <c r="K13" s="13" t="s">
        <v>262</v>
      </c>
      <c r="L13" s="13" t="s">
        <v>263</v>
      </c>
      <c r="M13" s="13" t="s">
        <v>264</v>
      </c>
      <c r="N13" s="13" t="s">
        <v>265</v>
      </c>
      <c r="O13" s="13" t="s">
        <v>266</v>
      </c>
    </row>
    <row r="14" spans="2:15" ht="30">
      <c r="B14" s="14" t="s">
        <v>229</v>
      </c>
      <c r="C14" s="32" t="str">
        <f>"B4:N"&amp;$C$6</f>
        <v>B4:N(max)</v>
      </c>
      <c r="D14" s="14" t="s">
        <v>244</v>
      </c>
      <c r="E14" s="15" t="s">
        <v>245</v>
      </c>
    </row>
    <row r="15" spans="2:15" ht="90">
      <c r="B15" s="14" t="s">
        <v>230</v>
      </c>
      <c r="C15" s="12" t="s">
        <v>238</v>
      </c>
      <c r="D15" s="14" t="s">
        <v>233</v>
      </c>
      <c r="E15" s="15" t="s">
        <v>250</v>
      </c>
      <c r="F15" s="13" t="s">
        <v>247</v>
      </c>
    </row>
    <row r="16" spans="2:15" ht="75">
      <c r="B16" s="14" t="s">
        <v>230</v>
      </c>
      <c r="C16" s="12" t="s">
        <v>240</v>
      </c>
      <c r="D16" s="14" t="s">
        <v>239</v>
      </c>
      <c r="E16" s="15" t="s">
        <v>241</v>
      </c>
    </row>
    <row r="17" spans="2:5" ht="105">
      <c r="B17" s="14" t="s">
        <v>231</v>
      </c>
      <c r="C17" s="12" t="s">
        <v>235</v>
      </c>
      <c r="D17" s="14" t="s">
        <v>234</v>
      </c>
      <c r="E17" s="15" t="s">
        <v>236</v>
      </c>
    </row>
    <row r="18" spans="2:5" ht="45">
      <c r="B18" s="12" t="s">
        <v>212</v>
      </c>
      <c r="C18" s="12" t="s">
        <v>215</v>
      </c>
      <c r="D18" s="12" t="s">
        <v>210</v>
      </c>
      <c r="E18" s="13" t="s">
        <v>251</v>
      </c>
    </row>
    <row r="19" spans="2:5" ht="60">
      <c r="B19" s="12" t="s">
        <v>36</v>
      </c>
      <c r="C19" s="12" t="s">
        <v>218</v>
      </c>
      <c r="D19" s="12" t="s">
        <v>224</v>
      </c>
      <c r="E19" s="13" t="s">
        <v>301</v>
      </c>
    </row>
    <row r="20" spans="2:5" ht="120">
      <c r="B20" s="12" t="s">
        <v>225</v>
      </c>
      <c r="C20" s="12" t="s">
        <v>227</v>
      </c>
      <c r="D20" s="12" t="s">
        <v>226</v>
      </c>
      <c r="E20" s="13" t="s">
        <v>228</v>
      </c>
    </row>
    <row r="21" spans="2:5" ht="75">
      <c r="B21" s="12" t="s">
        <v>211</v>
      </c>
      <c r="C21" s="12" t="s">
        <v>214</v>
      </c>
      <c r="D21" s="12" t="s">
        <v>209</v>
      </c>
      <c r="E21" s="13" t="s">
        <v>219</v>
      </c>
    </row>
    <row r="22" spans="2:5" ht="60">
      <c r="B22" s="12" t="s">
        <v>216</v>
      </c>
      <c r="C22" s="12" t="s">
        <v>218</v>
      </c>
      <c r="D22" s="12" t="s">
        <v>217</v>
      </c>
      <c r="E22" s="13" t="s">
        <v>220</v>
      </c>
    </row>
    <row r="23" spans="2:5" ht="45">
      <c r="B23" s="12" t="s">
        <v>221</v>
      </c>
      <c r="C23" s="12" t="s">
        <v>215</v>
      </c>
      <c r="D23" s="12" t="s">
        <v>222</v>
      </c>
      <c r="E23" s="13" t="s">
        <v>223</v>
      </c>
    </row>
    <row r="24" spans="2:5">
      <c r="B24" s="12" t="s">
        <v>292</v>
      </c>
      <c r="C24" s="12" t="s">
        <v>297</v>
      </c>
      <c r="D24" s="12" t="s">
        <v>293</v>
      </c>
      <c r="E24" s="13" t="s">
        <v>294</v>
      </c>
    </row>
    <row r="25" spans="2:5" ht="45">
      <c r="B25" s="12" t="s">
        <v>295</v>
      </c>
      <c r="C25" s="12" t="s">
        <v>215</v>
      </c>
      <c r="D25" s="12" t="s">
        <v>296</v>
      </c>
      <c r="E25" s="13" t="s">
        <v>298</v>
      </c>
    </row>
    <row r="26" spans="2:5" ht="30">
      <c r="B26" s="12" t="s">
        <v>307</v>
      </c>
      <c r="C26" s="22" t="s">
        <v>308</v>
      </c>
      <c r="D26" s="12" t="s">
        <v>309</v>
      </c>
      <c r="E26" s="13" t="s">
        <v>310</v>
      </c>
    </row>
    <row r="27" spans="2:5">
      <c r="B27" s="12"/>
      <c r="C27" s="12"/>
      <c r="D27" s="12"/>
      <c r="E27" s="13"/>
    </row>
    <row r="28" spans="2:5">
      <c r="B28" s="12"/>
      <c r="C28" s="12"/>
      <c r="D28" s="12"/>
      <c r="E28" s="13"/>
    </row>
    <row r="29" spans="2:5">
      <c r="B29" s="12"/>
      <c r="C29" s="12"/>
      <c r="D29" s="12"/>
      <c r="E29" s="13"/>
    </row>
    <row r="30" spans="2:5">
      <c r="B30" s="12"/>
      <c r="C30" s="12"/>
      <c r="D30" s="12"/>
      <c r="E30" s="13"/>
    </row>
    <row r="31" spans="2:5">
      <c r="B31" s="12"/>
      <c r="C31" s="12"/>
      <c r="D31" s="12"/>
      <c r="E31" s="13"/>
    </row>
    <row r="32" spans="2:5">
      <c r="B32" s="12"/>
      <c r="C32" s="12"/>
      <c r="D32" s="12"/>
      <c r="E32" s="13"/>
    </row>
    <row r="33" spans="2:5">
      <c r="B33" s="12"/>
      <c r="C33" s="12"/>
      <c r="D33" s="12"/>
      <c r="E33" s="13"/>
    </row>
    <row r="34" spans="2:5">
      <c r="B34" s="12"/>
      <c r="C34" s="12"/>
      <c r="D34" s="12"/>
      <c r="E34" s="13"/>
    </row>
  </sheetData>
  <mergeCells count="5">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Z11"/>
  <sheetViews>
    <sheetView topLeftCell="A2" workbookViewId="0">
      <selection activeCell="C15" sqref="C15"/>
    </sheetView>
  </sheetViews>
  <sheetFormatPr baseColWidth="10" defaultRowHeight="15" x14ac:dyDescent="0"/>
  <cols>
    <col min="1" max="1" width="2.33203125" customWidth="1"/>
    <col min="3" max="3" width="28.33203125" customWidth="1"/>
    <col min="4" max="4" width="47.1640625" customWidth="1"/>
    <col min="9" max="12" width="9.5" customWidth="1"/>
    <col min="16" max="16" width="2.33203125" style="19" customWidth="1"/>
    <col min="18" max="18" width="9.5" customWidth="1"/>
    <col min="19" max="19" width="14.1640625" customWidth="1"/>
    <col min="20" max="20" width="2.33203125" customWidth="1"/>
    <col min="21" max="25" width="16.5" customWidth="1"/>
  </cols>
  <sheetData>
    <row r="2" spans="2:26">
      <c r="B2" s="9" t="s">
        <v>69</v>
      </c>
      <c r="C2" s="9"/>
      <c r="D2" s="9"/>
      <c r="E2" s="9"/>
      <c r="F2" s="9"/>
      <c r="G2" s="9"/>
      <c r="H2" s="9"/>
      <c r="I2" s="9"/>
      <c r="J2" s="9"/>
      <c r="K2" s="9"/>
      <c r="L2" s="9"/>
      <c r="M2" s="9"/>
      <c r="N2" s="5"/>
      <c r="O2" s="5"/>
      <c r="P2" s="20"/>
      <c r="Q2" s="27" t="s">
        <v>68</v>
      </c>
      <c r="R2" s="27"/>
      <c r="S2" s="27"/>
      <c r="U2" s="9"/>
      <c r="V2" s="24"/>
      <c r="W2" s="24"/>
      <c r="X2" s="24"/>
      <c r="Y2" s="24"/>
      <c r="Z2" s="24"/>
    </row>
    <row r="3" spans="2:26">
      <c r="B3" s="1" t="s">
        <v>2</v>
      </c>
      <c r="C3" s="1" t="s">
        <v>124</v>
      </c>
      <c r="D3" s="1" t="s">
        <v>126</v>
      </c>
      <c r="E3" s="1" t="s">
        <v>127</v>
      </c>
      <c r="F3" s="1" t="s">
        <v>142</v>
      </c>
      <c r="G3" s="1" t="s">
        <v>141</v>
      </c>
      <c r="H3" s="1" t="s">
        <v>156</v>
      </c>
      <c r="I3" s="1" t="s">
        <v>130</v>
      </c>
      <c r="J3" s="1" t="s">
        <v>131</v>
      </c>
      <c r="K3" s="1" t="s">
        <v>145</v>
      </c>
      <c r="L3" s="1" t="s">
        <v>132</v>
      </c>
      <c r="M3" s="1" t="s">
        <v>150</v>
      </c>
      <c r="N3" s="1" t="s">
        <v>160</v>
      </c>
      <c r="O3" s="1" t="s">
        <v>237</v>
      </c>
      <c r="P3" s="18"/>
      <c r="Q3" s="1" t="s">
        <v>35</v>
      </c>
      <c r="R3" s="1" t="s">
        <v>71</v>
      </c>
      <c r="S3" s="1" t="s">
        <v>70</v>
      </c>
      <c r="U3" s="27" t="s">
        <v>136</v>
      </c>
      <c r="V3" s="27"/>
      <c r="W3" s="27"/>
      <c r="X3" s="27"/>
      <c r="Y3" s="27"/>
      <c r="Z3" s="27"/>
    </row>
    <row r="4" spans="2:26">
      <c r="B4" t="s">
        <v>123</v>
      </c>
      <c r="C4" t="s">
        <v>125</v>
      </c>
      <c r="D4" t="s">
        <v>128</v>
      </c>
      <c r="E4" s="4" t="s">
        <v>129</v>
      </c>
      <c r="F4" t="s">
        <v>146</v>
      </c>
      <c r="G4" t="s">
        <v>146</v>
      </c>
      <c r="I4" t="s">
        <v>133</v>
      </c>
      <c r="J4" t="s">
        <v>134</v>
      </c>
      <c r="K4" t="s">
        <v>146</v>
      </c>
      <c r="L4" t="s">
        <v>135</v>
      </c>
      <c r="M4" t="s">
        <v>146</v>
      </c>
      <c r="N4" t="s">
        <v>146</v>
      </c>
      <c r="O4" s="16" t="str">
        <f>"citation:"&amp;B4&amp;"-01"</f>
        <v>citation:doc-1434-01</v>
      </c>
      <c r="P4" s="21" t="s">
        <v>146</v>
      </c>
      <c r="Q4" t="s">
        <v>137</v>
      </c>
      <c r="R4">
        <v>0</v>
      </c>
      <c r="S4" s="6" t="s">
        <v>187</v>
      </c>
      <c r="U4" s="4" t="s">
        <v>79</v>
      </c>
    </row>
    <row r="5" spans="2:26">
      <c r="B5" t="s">
        <v>138</v>
      </c>
      <c r="C5" t="s">
        <v>139</v>
      </c>
      <c r="D5" t="s">
        <v>140</v>
      </c>
      <c r="E5" t="s">
        <v>146</v>
      </c>
      <c r="F5" s="4" t="s">
        <v>54</v>
      </c>
      <c r="G5" s="4" t="s">
        <v>48</v>
      </c>
      <c r="H5" s="4"/>
      <c r="I5" t="s">
        <v>143</v>
      </c>
      <c r="J5" t="s">
        <v>144</v>
      </c>
      <c r="K5" t="s">
        <v>147</v>
      </c>
      <c r="L5" t="s">
        <v>148</v>
      </c>
      <c r="M5" t="s">
        <v>152</v>
      </c>
      <c r="N5" t="s">
        <v>146</v>
      </c>
      <c r="O5" s="16" t="str">
        <f t="shared" ref="O5:O11" si="0">"citation:"&amp;B5&amp;"-01"</f>
        <v>citation:doc-1855a-01</v>
      </c>
      <c r="P5" s="19" t="s">
        <v>146</v>
      </c>
      <c r="Q5" t="s">
        <v>149</v>
      </c>
      <c r="R5">
        <v>12</v>
      </c>
      <c r="S5" s="6" t="s">
        <v>188</v>
      </c>
      <c r="U5" t="s">
        <v>73</v>
      </c>
      <c r="V5" t="s">
        <v>87</v>
      </c>
      <c r="W5" t="s">
        <v>79</v>
      </c>
      <c r="X5" t="s">
        <v>82</v>
      </c>
    </row>
    <row r="6" spans="2:26">
      <c r="B6" t="s">
        <v>152</v>
      </c>
      <c r="C6" t="s">
        <v>151</v>
      </c>
      <c r="D6" t="s">
        <v>140</v>
      </c>
      <c r="E6" t="s">
        <v>146</v>
      </c>
      <c r="F6" t="s">
        <v>54</v>
      </c>
      <c r="G6" t="s">
        <v>42</v>
      </c>
      <c r="I6" t="s">
        <v>143</v>
      </c>
      <c r="J6" t="s">
        <v>144</v>
      </c>
      <c r="K6" t="s">
        <v>146</v>
      </c>
      <c r="L6" t="s">
        <v>153</v>
      </c>
      <c r="M6" t="s">
        <v>138</v>
      </c>
      <c r="N6" t="s">
        <v>146</v>
      </c>
      <c r="O6" s="16" t="str">
        <f t="shared" si="0"/>
        <v>citation:doc-1855c-01</v>
      </c>
      <c r="P6" s="19" t="s">
        <v>146</v>
      </c>
      <c r="Q6" t="s">
        <v>146</v>
      </c>
      <c r="R6">
        <v>0</v>
      </c>
      <c r="S6" s="6" t="s">
        <v>188</v>
      </c>
      <c r="U6" t="s">
        <v>73</v>
      </c>
      <c r="V6" t="s">
        <v>87</v>
      </c>
      <c r="W6" t="s">
        <v>79</v>
      </c>
      <c r="X6" t="s">
        <v>82</v>
      </c>
    </row>
    <row r="7" spans="2:26">
      <c r="B7" t="s">
        <v>154</v>
      </c>
      <c r="C7" t="s">
        <v>139</v>
      </c>
      <c r="D7" t="s">
        <v>155</v>
      </c>
      <c r="E7" s="2" t="s">
        <v>166</v>
      </c>
      <c r="F7" t="s">
        <v>57</v>
      </c>
      <c r="H7" t="s">
        <v>157</v>
      </c>
      <c r="I7" t="s">
        <v>169</v>
      </c>
      <c r="J7" t="s">
        <v>158</v>
      </c>
      <c r="K7" t="s">
        <v>146</v>
      </c>
      <c r="L7" t="s">
        <v>159</v>
      </c>
      <c r="M7" t="s">
        <v>146</v>
      </c>
      <c r="N7" t="s">
        <v>161</v>
      </c>
      <c r="O7" s="16" t="str">
        <f t="shared" si="0"/>
        <v>citation:doc-2377-01</v>
      </c>
      <c r="P7" s="19" t="s">
        <v>146</v>
      </c>
      <c r="Q7" t="s">
        <v>162</v>
      </c>
      <c r="R7">
        <v>1</v>
      </c>
      <c r="S7" s="6" t="s">
        <v>189</v>
      </c>
      <c r="U7" t="s">
        <v>73</v>
      </c>
      <c r="V7" t="s">
        <v>79</v>
      </c>
      <c r="W7" t="s">
        <v>87</v>
      </c>
      <c r="X7" t="s">
        <v>76</v>
      </c>
    </row>
    <row r="8" spans="2:26">
      <c r="B8" t="s">
        <v>163</v>
      </c>
      <c r="C8" t="s">
        <v>164</v>
      </c>
      <c r="D8" t="s">
        <v>165</v>
      </c>
      <c r="E8" s="2" t="s">
        <v>167</v>
      </c>
      <c r="F8" t="s">
        <v>57</v>
      </c>
      <c r="G8" t="s">
        <v>146</v>
      </c>
      <c r="H8" t="s">
        <v>168</v>
      </c>
      <c r="I8" t="s">
        <v>175</v>
      </c>
      <c r="J8" t="s">
        <v>170</v>
      </c>
      <c r="K8" t="s">
        <v>146</v>
      </c>
      <c r="L8" t="s">
        <v>171</v>
      </c>
      <c r="M8" t="s">
        <v>146</v>
      </c>
      <c r="O8" s="16" t="str">
        <f t="shared" si="0"/>
        <v>citation:doc-2630-01</v>
      </c>
      <c r="P8" s="19" t="s">
        <v>146</v>
      </c>
      <c r="Q8" t="s">
        <v>172</v>
      </c>
      <c r="R8">
        <v>10</v>
      </c>
      <c r="S8" s="6" t="s">
        <v>189</v>
      </c>
      <c r="U8" t="s">
        <v>73</v>
      </c>
      <c r="V8" t="s">
        <v>79</v>
      </c>
      <c r="W8" t="s">
        <v>87</v>
      </c>
    </row>
    <row r="9" spans="2:26">
      <c r="B9" t="s">
        <v>173</v>
      </c>
      <c r="C9" t="s">
        <v>139</v>
      </c>
      <c r="D9" t="s">
        <v>174</v>
      </c>
      <c r="E9" t="s">
        <v>146</v>
      </c>
      <c r="F9" t="s">
        <v>57</v>
      </c>
      <c r="G9" t="s">
        <v>46</v>
      </c>
      <c r="H9" t="s">
        <v>146</v>
      </c>
      <c r="I9" t="s">
        <v>176</v>
      </c>
      <c r="J9" t="s">
        <v>177</v>
      </c>
      <c r="K9" t="s">
        <v>146</v>
      </c>
      <c r="L9" t="s">
        <v>178</v>
      </c>
      <c r="M9" t="s">
        <v>146</v>
      </c>
      <c r="N9" t="s">
        <v>146</v>
      </c>
      <c r="O9" s="16" t="str">
        <f t="shared" si="0"/>
        <v>citation:doc-2697-01</v>
      </c>
      <c r="P9" s="19" t="s">
        <v>146</v>
      </c>
      <c r="Q9" t="s">
        <v>179</v>
      </c>
      <c r="R9">
        <v>4</v>
      </c>
      <c r="S9" s="6" t="s">
        <v>190</v>
      </c>
      <c r="U9" t="s">
        <v>79</v>
      </c>
      <c r="V9" t="s">
        <v>73</v>
      </c>
      <c r="W9" t="s">
        <v>90</v>
      </c>
      <c r="X9" t="s">
        <v>107</v>
      </c>
    </row>
    <row r="10" spans="2:26">
      <c r="B10" t="s">
        <v>180</v>
      </c>
      <c r="C10" t="s">
        <v>181</v>
      </c>
      <c r="D10" t="s">
        <v>182</v>
      </c>
      <c r="E10" t="s">
        <v>146</v>
      </c>
      <c r="F10" t="s">
        <v>57</v>
      </c>
      <c r="G10" t="s">
        <v>44</v>
      </c>
      <c r="I10" t="s">
        <v>183</v>
      </c>
      <c r="J10" t="s">
        <v>184</v>
      </c>
      <c r="K10" t="s">
        <v>146</v>
      </c>
      <c r="L10" t="s">
        <v>185</v>
      </c>
      <c r="M10" t="s">
        <v>146</v>
      </c>
      <c r="O10" s="16" t="str">
        <f t="shared" si="0"/>
        <v>citation:doc-2998-01</v>
      </c>
      <c r="P10" s="19" t="s">
        <v>146</v>
      </c>
      <c r="Q10" t="s">
        <v>186</v>
      </c>
      <c r="R10">
        <v>0</v>
      </c>
      <c r="S10" s="2" t="s">
        <v>200</v>
      </c>
      <c r="U10" t="s">
        <v>98</v>
      </c>
      <c r="V10" t="s">
        <v>95</v>
      </c>
      <c r="W10" t="s">
        <v>104</v>
      </c>
      <c r="X10" s="23" t="s">
        <v>79</v>
      </c>
      <c r="Y10" t="s">
        <v>73</v>
      </c>
    </row>
    <row r="11" spans="2:26">
      <c r="B11" t="s">
        <v>191</v>
      </c>
      <c r="C11" t="s">
        <v>192</v>
      </c>
      <c r="D11" t="s">
        <v>193</v>
      </c>
      <c r="E11" s="2" t="s">
        <v>194</v>
      </c>
      <c r="F11" t="s">
        <v>146</v>
      </c>
      <c r="G11" t="s">
        <v>146</v>
      </c>
      <c r="H11" t="s">
        <v>195</v>
      </c>
      <c r="I11" t="s">
        <v>146</v>
      </c>
      <c r="J11" t="s">
        <v>196</v>
      </c>
      <c r="K11" t="s">
        <v>146</v>
      </c>
      <c r="L11" t="s">
        <v>197</v>
      </c>
      <c r="M11" t="s">
        <v>146</v>
      </c>
      <c r="O11" s="16" t="str">
        <f t="shared" si="0"/>
        <v>citation:doc-x0406-01</v>
      </c>
      <c r="P11" s="19" t="s">
        <v>146</v>
      </c>
      <c r="Q11" t="s">
        <v>198</v>
      </c>
      <c r="R11">
        <v>0</v>
      </c>
      <c r="S11" s="6" t="s">
        <v>199</v>
      </c>
      <c r="U11" t="s">
        <v>92</v>
      </c>
      <c r="V11" t="s">
        <v>101</v>
      </c>
      <c r="W11" t="s">
        <v>85</v>
      </c>
    </row>
  </sheetData>
  <mergeCells count="2">
    <mergeCell ref="Q2:S2"/>
    <mergeCell ref="U3:Z3"/>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M16"/>
  <sheetViews>
    <sheetView workbookViewId="0">
      <selection activeCell="C29" sqref="C29"/>
    </sheetView>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8" width="47.1640625" customWidth="1"/>
    <col min="9" max="9" width="2.33203125" style="19" customWidth="1"/>
    <col min="10" max="10" width="9.5" customWidth="1"/>
    <col min="12" max="13" width="9.5" customWidth="1"/>
  </cols>
  <sheetData>
    <row r="2" spans="2:13">
      <c r="B2" s="27" t="s">
        <v>69</v>
      </c>
      <c r="C2" s="27"/>
      <c r="D2" s="27"/>
      <c r="E2" s="27"/>
      <c r="F2" s="27"/>
      <c r="G2" s="27"/>
      <c r="H2" s="5"/>
      <c r="I2" s="17"/>
      <c r="J2" s="27" t="s">
        <v>68</v>
      </c>
      <c r="K2" s="27"/>
      <c r="L2" s="27"/>
      <c r="M2" s="27"/>
    </row>
    <row r="3" spans="2:13">
      <c r="B3" s="1" t="s">
        <v>2</v>
      </c>
      <c r="C3" s="1" t="s">
        <v>64</v>
      </c>
      <c r="D3" s="1" t="s">
        <v>65</v>
      </c>
      <c r="E3" s="1" t="s">
        <v>32</v>
      </c>
      <c r="F3" s="1" t="s">
        <v>66</v>
      </c>
      <c r="G3" s="1" t="s">
        <v>67</v>
      </c>
      <c r="H3" s="1" t="s">
        <v>237</v>
      </c>
      <c r="I3" s="18"/>
      <c r="J3" s="1" t="s">
        <v>35</v>
      </c>
      <c r="K3" s="1" t="s">
        <v>71</v>
      </c>
      <c r="L3" s="1" t="s">
        <v>72</v>
      </c>
      <c r="M3" s="1" t="s">
        <v>70</v>
      </c>
    </row>
    <row r="4" spans="2:13">
      <c r="B4" t="s">
        <v>73</v>
      </c>
      <c r="C4" t="s">
        <v>74</v>
      </c>
      <c r="D4" t="s">
        <v>75</v>
      </c>
      <c r="E4" s="16" t="str">
        <f>C4&amp;" "&amp;D4</f>
        <v>Alun Preece</v>
      </c>
      <c r="F4" t="s">
        <v>20</v>
      </c>
      <c r="G4" t="s">
        <v>110</v>
      </c>
      <c r="H4" s="16" t="str">
        <f>"citation:"&amp;B4&amp;"-01"</f>
        <v>citation:alun_preece-01</v>
      </c>
      <c r="J4" t="s">
        <v>117</v>
      </c>
      <c r="K4">
        <v>3741</v>
      </c>
      <c r="L4">
        <v>34</v>
      </c>
      <c r="M4" t="s">
        <v>120</v>
      </c>
    </row>
    <row r="5" spans="2:13">
      <c r="B5" t="s">
        <v>76</v>
      </c>
      <c r="C5" t="s">
        <v>77</v>
      </c>
      <c r="D5" t="s">
        <v>78</v>
      </c>
      <c r="E5" s="16" t="str">
        <f t="shared" ref="E5:E16" si="0">C5&amp;" "&amp;D5</f>
        <v>Christos Parizas</v>
      </c>
      <c r="F5" t="s">
        <v>20</v>
      </c>
      <c r="H5" s="16" t="str">
        <f t="shared" ref="H5:H16" si="1">"citation:"&amp;B5&amp;"-01"</f>
        <v>citation:christos_parizas-01</v>
      </c>
      <c r="M5" t="s">
        <v>120</v>
      </c>
    </row>
    <row r="6" spans="2:13">
      <c r="B6" t="s">
        <v>79</v>
      </c>
      <c r="C6" t="s">
        <v>80</v>
      </c>
      <c r="D6" t="s">
        <v>81</v>
      </c>
      <c r="E6" s="16" t="str">
        <f t="shared" si="0"/>
        <v>Dave Braines</v>
      </c>
      <c r="F6" t="s">
        <v>23</v>
      </c>
      <c r="G6" t="s">
        <v>111</v>
      </c>
      <c r="H6" s="16" t="str">
        <f t="shared" si="1"/>
        <v>citation:dave_braines-01</v>
      </c>
      <c r="J6" t="s">
        <v>122</v>
      </c>
      <c r="K6">
        <v>491</v>
      </c>
      <c r="L6">
        <v>12</v>
      </c>
      <c r="M6" t="s">
        <v>120</v>
      </c>
    </row>
    <row r="7" spans="2:13">
      <c r="B7" t="s">
        <v>82</v>
      </c>
      <c r="C7" t="s">
        <v>83</v>
      </c>
      <c r="D7" t="s">
        <v>84</v>
      </c>
      <c r="E7" s="16" t="str">
        <f t="shared" si="0"/>
        <v>David Mott</v>
      </c>
      <c r="F7" t="s">
        <v>23</v>
      </c>
      <c r="G7" t="s">
        <v>112</v>
      </c>
      <c r="H7" s="16" t="str">
        <f t="shared" si="1"/>
        <v>citation:david_mott-01</v>
      </c>
      <c r="J7" t="s">
        <v>122</v>
      </c>
      <c r="K7">
        <v>317</v>
      </c>
      <c r="L7">
        <v>12</v>
      </c>
      <c r="M7" t="s">
        <v>121</v>
      </c>
    </row>
    <row r="8" spans="2:13">
      <c r="B8" t="s">
        <v>85</v>
      </c>
      <c r="C8" t="s">
        <v>83</v>
      </c>
      <c r="D8" t="s">
        <v>86</v>
      </c>
      <c r="E8" s="16" t="str">
        <f t="shared" si="0"/>
        <v>David Vyvyan</v>
      </c>
      <c r="F8" t="s">
        <v>23</v>
      </c>
      <c r="G8" t="s">
        <v>113</v>
      </c>
      <c r="H8" s="16" t="str">
        <f t="shared" si="1"/>
        <v>citation:david_vyvyan-01</v>
      </c>
      <c r="M8" t="s">
        <v>120</v>
      </c>
    </row>
    <row r="9" spans="2:13">
      <c r="B9" t="s">
        <v>87</v>
      </c>
      <c r="C9" t="s">
        <v>88</v>
      </c>
      <c r="D9" t="s">
        <v>89</v>
      </c>
      <c r="E9" s="16" t="str">
        <f t="shared" si="0"/>
        <v>Diego Pizzocaro</v>
      </c>
      <c r="F9" t="s">
        <v>20</v>
      </c>
      <c r="H9" s="16" t="str">
        <f t="shared" si="1"/>
        <v>citation:diego_pizzocaro-01</v>
      </c>
      <c r="J9" t="s">
        <v>118</v>
      </c>
      <c r="K9">
        <v>311</v>
      </c>
      <c r="L9">
        <v>10</v>
      </c>
      <c r="M9" t="s">
        <v>120</v>
      </c>
    </row>
    <row r="10" spans="2:13">
      <c r="B10" t="s">
        <v>90</v>
      </c>
      <c r="C10" t="s">
        <v>91</v>
      </c>
      <c r="D10" t="s">
        <v>268</v>
      </c>
      <c r="E10" s="16" t="str">
        <f t="shared" si="0"/>
        <v>Geeth de Mel</v>
      </c>
      <c r="F10" t="s">
        <v>24</v>
      </c>
      <c r="G10" t="s">
        <v>114</v>
      </c>
      <c r="H10" s="16" t="str">
        <f t="shared" si="1"/>
        <v>citation:geeth_de_mel-01</v>
      </c>
      <c r="J10" t="s">
        <v>119</v>
      </c>
      <c r="K10">
        <v>272</v>
      </c>
      <c r="L10">
        <v>9</v>
      </c>
      <c r="M10" t="s">
        <v>120</v>
      </c>
    </row>
    <row r="11" spans="2:13">
      <c r="B11" t="s">
        <v>92</v>
      </c>
      <c r="C11" t="s">
        <v>93</v>
      </c>
      <c r="D11" t="s">
        <v>94</v>
      </c>
      <c r="E11" s="16" t="str">
        <f t="shared" si="0"/>
        <v>Graham Bent</v>
      </c>
      <c r="F11" t="s">
        <v>23</v>
      </c>
      <c r="G11" t="s">
        <v>115</v>
      </c>
      <c r="H11" s="16" t="str">
        <f t="shared" si="1"/>
        <v>citation:graham_bent-01</v>
      </c>
      <c r="M11" t="s">
        <v>120</v>
      </c>
    </row>
    <row r="12" spans="2:13">
      <c r="B12" t="s">
        <v>95</v>
      </c>
      <c r="C12" t="s">
        <v>96</v>
      </c>
      <c r="D12" t="s">
        <v>97</v>
      </c>
      <c r="E12" s="16" t="str">
        <f t="shared" si="0"/>
        <v>Hannah Grosso</v>
      </c>
      <c r="F12" t="s">
        <v>25</v>
      </c>
      <c r="H12" s="16" t="str">
        <f t="shared" si="1"/>
        <v>citation:hannah_grosso-01</v>
      </c>
      <c r="M12" t="s">
        <v>120</v>
      </c>
    </row>
    <row r="13" spans="2:13">
      <c r="B13" t="s">
        <v>98</v>
      </c>
      <c r="C13" t="s">
        <v>99</v>
      </c>
      <c r="D13" t="s">
        <v>100</v>
      </c>
      <c r="E13" s="16" t="str">
        <f t="shared" si="0"/>
        <v>Jinny Yan</v>
      </c>
      <c r="F13" t="s">
        <v>25</v>
      </c>
      <c r="H13" s="16" t="str">
        <f t="shared" si="1"/>
        <v>citation:jinny_yan-01</v>
      </c>
      <c r="M13" t="s">
        <v>120</v>
      </c>
    </row>
    <row r="14" spans="2:13">
      <c r="B14" t="s">
        <v>101</v>
      </c>
      <c r="C14" t="s">
        <v>102</v>
      </c>
      <c r="D14" t="s">
        <v>103</v>
      </c>
      <c r="E14" s="16" t="str">
        <f t="shared" si="0"/>
        <v>Patrick Dantressangle</v>
      </c>
      <c r="F14" t="s">
        <v>23</v>
      </c>
      <c r="G14" t="s">
        <v>116</v>
      </c>
      <c r="H14" s="16" t="str">
        <f t="shared" si="1"/>
        <v>citation:patrick_dantressangle-01</v>
      </c>
      <c r="M14" t="s">
        <v>120</v>
      </c>
    </row>
    <row r="15" spans="2:13">
      <c r="B15" t="s">
        <v>104</v>
      </c>
      <c r="C15" t="s">
        <v>105</v>
      </c>
      <c r="D15" t="s">
        <v>106</v>
      </c>
      <c r="E15" s="16" t="str">
        <f t="shared" si="0"/>
        <v>Theodore Hoel</v>
      </c>
      <c r="F15" t="s">
        <v>25</v>
      </c>
      <c r="H15" s="16" t="str">
        <f t="shared" si="1"/>
        <v>citation:theodore_hoel-01</v>
      </c>
      <c r="M15" t="s">
        <v>120</v>
      </c>
    </row>
    <row r="16" spans="2:13">
      <c r="B16" t="s">
        <v>107</v>
      </c>
      <c r="C16" t="s">
        <v>108</v>
      </c>
      <c r="D16" t="s">
        <v>109</v>
      </c>
      <c r="E16" s="16" t="str">
        <f t="shared" si="0"/>
        <v>Tien Pham</v>
      </c>
      <c r="F16" t="s">
        <v>18</v>
      </c>
      <c r="H16" s="16" t="str">
        <f t="shared" si="1"/>
        <v>citation:tien_pham-01</v>
      </c>
      <c r="M16" t="s">
        <v>120</v>
      </c>
    </row>
  </sheetData>
  <mergeCells count="2">
    <mergeCell ref="B2:G2"/>
    <mergeCell ref="J2:M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7"/>
  <sheetViews>
    <sheetView workbookViewId="0">
      <selection activeCell="D42" sqref="D42"/>
    </sheetView>
  </sheetViews>
  <sheetFormatPr baseColWidth="10" defaultRowHeight="15" x14ac:dyDescent="0"/>
  <cols>
    <col min="1" max="1" width="2.33203125" customWidth="1"/>
    <col min="2" max="5" width="23.6640625" customWidth="1"/>
    <col min="8" max="8" width="33" customWidth="1"/>
  </cols>
  <sheetData>
    <row r="2" spans="2:8">
      <c r="B2" s="1" t="s">
        <v>2</v>
      </c>
      <c r="C2" s="1" t="s">
        <v>12</v>
      </c>
      <c r="D2" s="1" t="s">
        <v>13</v>
      </c>
      <c r="E2" s="1" t="s">
        <v>14</v>
      </c>
      <c r="F2" s="1" t="s">
        <v>15</v>
      </c>
      <c r="G2" s="1" t="s">
        <v>16</v>
      </c>
      <c r="H2" s="1" t="s">
        <v>17</v>
      </c>
    </row>
    <row r="3" spans="2:8">
      <c r="B3" t="s">
        <v>18</v>
      </c>
      <c r="C3" t="s">
        <v>28</v>
      </c>
      <c r="D3" t="s">
        <v>27</v>
      </c>
      <c r="E3" t="s">
        <v>269</v>
      </c>
      <c r="F3" t="s">
        <v>18</v>
      </c>
      <c r="G3" t="s">
        <v>19</v>
      </c>
      <c r="H3" t="s">
        <v>3</v>
      </c>
    </row>
    <row r="4" spans="2:8">
      <c r="B4" t="s">
        <v>20</v>
      </c>
      <c r="C4" t="s">
        <v>30</v>
      </c>
      <c r="D4" t="s">
        <v>27</v>
      </c>
      <c r="E4" t="s">
        <v>20</v>
      </c>
      <c r="F4" t="s">
        <v>21</v>
      </c>
      <c r="G4" t="s">
        <v>22</v>
      </c>
      <c r="H4" t="s">
        <v>6</v>
      </c>
    </row>
    <row r="5" spans="2:8">
      <c r="B5" t="s">
        <v>23</v>
      </c>
      <c r="C5" t="s">
        <v>29</v>
      </c>
      <c r="D5" t="s">
        <v>27</v>
      </c>
      <c r="E5" t="s">
        <v>23</v>
      </c>
      <c r="F5" t="s">
        <v>23</v>
      </c>
      <c r="G5" t="s">
        <v>22</v>
      </c>
      <c r="H5" t="s">
        <v>7</v>
      </c>
    </row>
    <row r="6" spans="2:8">
      <c r="B6" t="s">
        <v>24</v>
      </c>
      <c r="C6" t="s">
        <v>29</v>
      </c>
      <c r="D6" t="s">
        <v>27</v>
      </c>
      <c r="E6" t="s">
        <v>24</v>
      </c>
      <c r="F6" t="s">
        <v>24</v>
      </c>
      <c r="G6" t="s">
        <v>19</v>
      </c>
      <c r="H6" t="s">
        <v>8</v>
      </c>
    </row>
    <row r="7" spans="2:8">
      <c r="B7" t="s">
        <v>25</v>
      </c>
      <c r="C7" t="s">
        <v>28</v>
      </c>
      <c r="D7" t="s">
        <v>27</v>
      </c>
      <c r="E7" t="s">
        <v>25</v>
      </c>
      <c r="F7" t="s">
        <v>26</v>
      </c>
      <c r="G7" t="s">
        <v>19</v>
      </c>
      <c r="H7" t="s">
        <v>10</v>
      </c>
    </row>
  </sheetData>
  <sortState ref="B3:H7">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11"/>
  <sheetViews>
    <sheetView workbookViewId="0"/>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v>
      </c>
      <c r="C3">
        <v>38.908858000000002</v>
      </c>
      <c r="D3">
        <v>-77.043734999999998</v>
      </c>
    </row>
    <row r="4" spans="2:4">
      <c r="B4" t="s">
        <v>4</v>
      </c>
      <c r="C4">
        <v>39.285604999999997</v>
      </c>
      <c r="D4">
        <v>-76.616375300000001</v>
      </c>
    </row>
    <row r="5" spans="2:4">
      <c r="B5" t="s">
        <v>5</v>
      </c>
      <c r="C5">
        <v>50.931294700000002</v>
      </c>
      <c r="D5">
        <v>-1.2810664</v>
      </c>
    </row>
    <row r="6" spans="2:4">
      <c r="B6" t="s">
        <v>6</v>
      </c>
      <c r="C6">
        <v>51.4866271</v>
      </c>
      <c r="D6">
        <v>-3.1788641000000002</v>
      </c>
    </row>
    <row r="7" spans="2:4">
      <c r="B7" t="s">
        <v>7</v>
      </c>
      <c r="C7">
        <v>51.023866400000003</v>
      </c>
      <c r="D7">
        <v>-1.4008731999999999</v>
      </c>
    </row>
    <row r="8" spans="2:4">
      <c r="B8" t="s">
        <v>8</v>
      </c>
      <c r="C8">
        <v>41.210721900000003</v>
      </c>
      <c r="D8">
        <v>-73.803172799999999</v>
      </c>
    </row>
    <row r="9" spans="2:4">
      <c r="B9" t="s">
        <v>9</v>
      </c>
      <c r="C9">
        <v>40.9613376</v>
      </c>
      <c r="D9">
        <v>-5.6669251000000003</v>
      </c>
    </row>
    <row r="10" spans="2:4">
      <c r="B10" t="s">
        <v>11</v>
      </c>
      <c r="C10">
        <v>38.986463700000002</v>
      </c>
      <c r="D10">
        <v>-76.954310300000003</v>
      </c>
    </row>
    <row r="11" spans="2:4">
      <c r="B11" t="s">
        <v>10</v>
      </c>
      <c r="C11">
        <v>41.391837199999998</v>
      </c>
      <c r="D11">
        <v>-73.962503299999995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5"/>
  <sheetViews>
    <sheetView workbookViewId="0">
      <selection activeCell="C7" sqref="C7"/>
    </sheetView>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38</v>
      </c>
      <c r="C3" t="s">
        <v>282</v>
      </c>
      <c r="D3" t="s">
        <v>41</v>
      </c>
    </row>
    <row r="4" spans="2:5">
      <c r="B4" t="s">
        <v>39</v>
      </c>
      <c r="C4" t="s">
        <v>283</v>
      </c>
      <c r="D4" t="s">
        <v>40</v>
      </c>
    </row>
    <row r="5" spans="2:5">
      <c r="B5" t="s">
        <v>50</v>
      </c>
      <c r="C5" t="s">
        <v>299</v>
      </c>
      <c r="E5" t="s">
        <v>300</v>
      </c>
    </row>
  </sheetData>
  <pageMargins left="0.75" right="0.75" top="1" bottom="1" header="0.5" footer="0.5"/>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6"/>
  <sheetViews>
    <sheetView workbookViewId="0">
      <selection activeCell="C30" sqref="C30"/>
    </sheetView>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1" t="s">
        <v>2</v>
      </c>
      <c r="C2" s="1" t="s">
        <v>32</v>
      </c>
      <c r="D2" s="1" t="s">
        <v>17</v>
      </c>
      <c r="E2" s="1" t="s">
        <v>33</v>
      </c>
      <c r="F2" s="1" t="s">
        <v>34</v>
      </c>
      <c r="G2" s="1" t="s">
        <v>35</v>
      </c>
      <c r="H2" s="1" t="s">
        <v>36</v>
      </c>
      <c r="I2" s="1" t="s">
        <v>37</v>
      </c>
    </row>
    <row r="3" spans="2:9">
      <c r="B3" t="s">
        <v>42</v>
      </c>
      <c r="C3" t="s">
        <v>270</v>
      </c>
      <c r="D3" t="s">
        <v>5</v>
      </c>
      <c r="E3" t="s">
        <v>271</v>
      </c>
      <c r="F3" t="s">
        <v>272</v>
      </c>
      <c r="G3" t="s">
        <v>43</v>
      </c>
      <c r="H3" t="s">
        <v>38</v>
      </c>
      <c r="I3" s="2" t="s">
        <v>288</v>
      </c>
    </row>
    <row r="4" spans="2:9">
      <c r="B4" t="s">
        <v>44</v>
      </c>
      <c r="C4" t="s">
        <v>273</v>
      </c>
      <c r="D4" t="s">
        <v>11</v>
      </c>
      <c r="E4" t="s">
        <v>274</v>
      </c>
      <c r="F4" t="s">
        <v>275</v>
      </c>
      <c r="G4" t="s">
        <v>45</v>
      </c>
      <c r="H4" t="s">
        <v>38</v>
      </c>
      <c r="I4" s="2" t="s">
        <v>289</v>
      </c>
    </row>
    <row r="5" spans="2:9">
      <c r="B5" t="s">
        <v>46</v>
      </c>
      <c r="C5" t="s">
        <v>276</v>
      </c>
      <c r="D5" t="s">
        <v>9</v>
      </c>
      <c r="E5" t="s">
        <v>277</v>
      </c>
      <c r="F5" t="s">
        <v>278</v>
      </c>
      <c r="G5" t="s">
        <v>47</v>
      </c>
      <c r="H5" t="s">
        <v>39</v>
      </c>
      <c r="I5" s="2" t="s">
        <v>290</v>
      </c>
    </row>
    <row r="6" spans="2:9">
      <c r="B6" t="s">
        <v>48</v>
      </c>
      <c r="C6" t="s">
        <v>279</v>
      </c>
      <c r="D6" t="s">
        <v>4</v>
      </c>
      <c r="E6" t="s">
        <v>280</v>
      </c>
      <c r="F6" t="s">
        <v>281</v>
      </c>
      <c r="G6" t="s">
        <v>49</v>
      </c>
      <c r="H6" t="s">
        <v>50</v>
      </c>
      <c r="I6" s="2" t="s">
        <v>291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4"/>
  <sheetViews>
    <sheetView workbookViewId="0"/>
  </sheetViews>
  <sheetFormatPr baseColWidth="10" defaultRowHeight="15" x14ac:dyDescent="0"/>
  <cols>
    <col min="1" max="1" width="2.33203125" customWidth="1"/>
    <col min="2" max="3" width="14.1640625" customWidth="1"/>
    <col min="4" max="4" width="47.1640625" customWidth="1"/>
    <col min="5" max="6" width="14.1640625" customWidth="1"/>
  </cols>
  <sheetData>
    <row r="2" spans="2:6">
      <c r="B2" s="1" t="s">
        <v>2</v>
      </c>
      <c r="C2" s="1" t="s">
        <v>51</v>
      </c>
      <c r="D2" s="1" t="s">
        <v>14</v>
      </c>
      <c r="E2" s="1" t="s">
        <v>52</v>
      </c>
      <c r="F2" s="1" t="s">
        <v>53</v>
      </c>
    </row>
    <row r="3" spans="2:6">
      <c r="B3" t="s">
        <v>54</v>
      </c>
      <c r="C3" t="s">
        <v>54</v>
      </c>
      <c r="D3" t="s">
        <v>284</v>
      </c>
      <c r="E3" t="s">
        <v>55</v>
      </c>
      <c r="F3" t="s">
        <v>56</v>
      </c>
    </row>
    <row r="4" spans="2:6">
      <c r="B4" t="s">
        <v>57</v>
      </c>
      <c r="C4" t="s">
        <v>57</v>
      </c>
      <c r="D4" t="s">
        <v>285</v>
      </c>
      <c r="E4" t="s">
        <v>58</v>
      </c>
      <c r="F4" t="s">
        <v>56</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3"/>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56</v>
      </c>
      <c r="C3" t="s">
        <v>56</v>
      </c>
      <c r="D3" s="3" t="s">
        <v>286</v>
      </c>
      <c r="E3"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5"/>
  <sheetViews>
    <sheetView workbookViewId="0"/>
  </sheetViews>
  <sheetFormatPr baseColWidth="10" defaultRowHeight="15" x14ac:dyDescent="0"/>
  <cols>
    <col min="1" max="1" width="2.33203125" customWidth="1"/>
  </cols>
  <sheetData>
    <row r="2" spans="2:4">
      <c r="B2" s="1" t="s">
        <v>2</v>
      </c>
      <c r="C2" s="1" t="s">
        <v>51</v>
      </c>
      <c r="D2" s="1" t="s">
        <v>59</v>
      </c>
    </row>
    <row r="3" spans="2:4">
      <c r="B3" t="s">
        <v>55</v>
      </c>
      <c r="C3" t="s">
        <v>55</v>
      </c>
      <c r="D3" t="s">
        <v>62</v>
      </c>
    </row>
    <row r="4" spans="2:4">
      <c r="B4" t="s">
        <v>58</v>
      </c>
      <c r="C4" t="s">
        <v>58</v>
      </c>
      <c r="D4" t="s">
        <v>63</v>
      </c>
    </row>
    <row r="5" spans="2:4">
      <c r="B5" t="s">
        <v>60</v>
      </c>
      <c r="C5" t="s">
        <v>60</v>
      </c>
      <c r="D5" s="10">
        <v>2015</v>
      </c>
    </row>
  </sheetData>
  <pageMargins left="0.75" right="0.75" top="1" bottom="1" header="0.5" footer="0.5"/>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4"/>
  <sheetViews>
    <sheetView workbookViewId="0"/>
  </sheetViews>
  <sheetFormatPr baseColWidth="10" defaultRowHeight="15" x14ac:dyDescent="0"/>
  <cols>
    <col min="1" max="1" width="2.33203125" customWidth="1"/>
  </cols>
  <sheetData>
    <row r="2" spans="2:2">
      <c r="B2" s="1" t="s">
        <v>2</v>
      </c>
    </row>
    <row r="3" spans="2:2">
      <c r="B3" t="s">
        <v>19</v>
      </c>
    </row>
    <row r="4" spans="2:2">
      <c r="B4" t="s">
        <v>22</v>
      </c>
    </row>
  </sheetData>
  <pageMargins left="0.75" right="0.75" top="1" bottom="1" header="0.5" footer="0.5"/>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D48"/>
  <sheetViews>
    <sheetView workbookViewId="0"/>
  </sheetViews>
  <sheetFormatPr baseColWidth="10" defaultRowHeight="15" x14ac:dyDescent="0"/>
  <cols>
    <col min="1" max="1" width="2.33203125" customWidth="1"/>
  </cols>
  <sheetData>
    <row r="2" spans="2:4">
      <c r="B2" s="1" t="s">
        <v>2</v>
      </c>
      <c r="C2" s="1" t="s">
        <v>287</v>
      </c>
      <c r="D2" s="1" t="s">
        <v>59</v>
      </c>
    </row>
    <row r="3" spans="2:4">
      <c r="B3" s="10">
        <v>2009</v>
      </c>
      <c r="C3" s="10"/>
      <c r="D3" s="10">
        <v>2009</v>
      </c>
    </row>
    <row r="4" spans="2:4">
      <c r="B4" s="10">
        <v>2011</v>
      </c>
      <c r="C4" s="10"/>
      <c r="D4" s="10">
        <v>2011</v>
      </c>
    </row>
    <row r="5" spans="2:4">
      <c r="B5" s="10">
        <v>2012</v>
      </c>
      <c r="C5" s="10"/>
      <c r="D5" s="10">
        <v>2012</v>
      </c>
    </row>
    <row r="6" spans="2:4">
      <c r="B6" s="10">
        <v>2013</v>
      </c>
      <c r="C6" s="10"/>
      <c r="D6" s="10">
        <v>2013</v>
      </c>
    </row>
    <row r="7" spans="2:4">
      <c r="B7" s="10">
        <v>2014</v>
      </c>
      <c r="C7" s="10"/>
      <c r="D7" s="10">
        <v>2014</v>
      </c>
    </row>
    <row r="8" spans="2:4">
      <c r="B8" s="10">
        <v>2015</v>
      </c>
      <c r="C8" s="10"/>
      <c r="D8" s="10">
        <v>2015</v>
      </c>
    </row>
    <row r="9" spans="2:4">
      <c r="B9" s="10">
        <v>2016</v>
      </c>
      <c r="C9" s="10"/>
      <c r="D9" s="10">
        <v>2016</v>
      </c>
    </row>
    <row r="10" spans="2:4">
      <c r="B10" s="25" t="s">
        <v>129</v>
      </c>
      <c r="C10" s="10">
        <v>2</v>
      </c>
      <c r="D10" s="10">
        <v>2009</v>
      </c>
    </row>
    <row r="11" spans="2:4">
      <c r="B11" s="25" t="s">
        <v>291</v>
      </c>
      <c r="C11" s="10">
        <v>4</v>
      </c>
      <c r="D11" s="10">
        <v>2012</v>
      </c>
    </row>
    <row r="12" spans="2:4">
      <c r="B12" s="26" t="s">
        <v>288</v>
      </c>
      <c r="C12" s="10">
        <v>9</v>
      </c>
      <c r="D12" s="10">
        <v>2012</v>
      </c>
    </row>
    <row r="13" spans="2:4">
      <c r="B13" s="26" t="s">
        <v>166</v>
      </c>
      <c r="C13" s="10">
        <v>10</v>
      </c>
      <c r="D13" s="10">
        <v>2013</v>
      </c>
    </row>
    <row r="14" spans="2:4">
      <c r="B14" s="26" t="s">
        <v>167</v>
      </c>
      <c r="C14" s="10">
        <v>1</v>
      </c>
      <c r="D14" s="10">
        <v>2014</v>
      </c>
    </row>
    <row r="15" spans="2:4">
      <c r="B15" s="26" t="s">
        <v>290</v>
      </c>
      <c r="C15" s="10">
        <v>7</v>
      </c>
      <c r="D15" s="10">
        <v>2014</v>
      </c>
    </row>
    <row r="16" spans="2:4">
      <c r="B16" s="26" t="s">
        <v>289</v>
      </c>
      <c r="C16" s="10">
        <v>9</v>
      </c>
      <c r="D16" s="10">
        <v>2015</v>
      </c>
    </row>
    <row r="17" spans="2:4">
      <c r="B17" s="10"/>
      <c r="C17" s="10"/>
      <c r="D17" s="10"/>
    </row>
    <row r="18" spans="2:4">
      <c r="B18" s="10"/>
      <c r="C18" s="10"/>
      <c r="D18" s="10"/>
    </row>
    <row r="19" spans="2:4">
      <c r="B19" s="10"/>
      <c r="C19" s="10"/>
      <c r="D19" s="10"/>
    </row>
    <row r="20" spans="2:4">
      <c r="B20" s="10"/>
      <c r="C20" s="10"/>
      <c r="D20" s="10"/>
    </row>
    <row r="21" spans="2:4">
      <c r="B21" s="10"/>
      <c r="C21" s="10"/>
      <c r="D21" s="10"/>
    </row>
    <row r="22" spans="2:4">
      <c r="B22" s="10"/>
      <c r="C22" s="10"/>
      <c r="D22" s="10"/>
    </row>
    <row r="23" spans="2:4">
      <c r="B23" s="10"/>
      <c r="C23" s="10"/>
      <c r="D23" s="10"/>
    </row>
    <row r="24" spans="2:4">
      <c r="B24" s="10"/>
      <c r="C24" s="10"/>
      <c r="D24" s="10"/>
    </row>
    <row r="25" spans="2:4">
      <c r="B25" s="10"/>
      <c r="C25" s="10"/>
      <c r="D25" s="10"/>
    </row>
    <row r="26" spans="2:4">
      <c r="B26" s="10"/>
      <c r="C26" s="10"/>
      <c r="D26" s="10"/>
    </row>
    <row r="27" spans="2:4">
      <c r="B27" s="10"/>
      <c r="C27" s="10"/>
      <c r="D27" s="10"/>
    </row>
    <row r="28" spans="2:4">
      <c r="B28" s="10"/>
      <c r="C28" s="10"/>
      <c r="D28" s="10"/>
    </row>
    <row r="29" spans="2:4">
      <c r="B29" s="10"/>
      <c r="C29" s="10"/>
      <c r="D29" s="10"/>
    </row>
    <row r="30" spans="2:4">
      <c r="B30" s="10"/>
      <c r="C30" s="10"/>
      <c r="D30" s="10"/>
    </row>
    <row r="31" spans="2:4">
      <c r="B31" s="10"/>
      <c r="C31" s="10"/>
      <c r="D31" s="10"/>
    </row>
    <row r="32" spans="2:4">
      <c r="B32" s="10"/>
      <c r="C32" s="10"/>
      <c r="D32" s="10"/>
    </row>
    <row r="33" spans="2:4">
      <c r="B33" s="10"/>
      <c r="C33" s="10"/>
      <c r="D33" s="10"/>
    </row>
    <row r="34" spans="2:4">
      <c r="B34" s="10"/>
      <c r="C34" s="10"/>
      <c r="D34" s="10"/>
    </row>
    <row r="35" spans="2:4">
      <c r="B35" s="10"/>
      <c r="C35" s="10"/>
      <c r="D35" s="10"/>
    </row>
    <row r="36" spans="2:4">
      <c r="B36" s="10"/>
      <c r="C36" s="10"/>
      <c r="D36" s="10"/>
    </row>
    <row r="37" spans="2:4">
      <c r="B37" s="10"/>
      <c r="C37" s="10"/>
      <c r="D37" s="10"/>
    </row>
    <row r="38" spans="2:4">
      <c r="B38" s="10"/>
      <c r="C38" s="10"/>
      <c r="D38" s="10"/>
    </row>
    <row r="39" spans="2:4">
      <c r="B39" s="10"/>
      <c r="C39" s="10"/>
      <c r="D39" s="10"/>
    </row>
    <row r="40" spans="2:4">
      <c r="B40" s="10"/>
      <c r="C40" s="10"/>
      <c r="D40" s="10"/>
    </row>
    <row r="41" spans="2:4">
      <c r="B41" s="10"/>
      <c r="C41" s="10"/>
      <c r="D41" s="10"/>
    </row>
    <row r="42" spans="2:4">
      <c r="B42" s="10"/>
      <c r="C42" s="10"/>
      <c r="D42" s="10"/>
    </row>
    <row r="43" spans="2:4">
      <c r="B43" s="10"/>
      <c r="C43" s="10"/>
      <c r="D43" s="10"/>
    </row>
    <row r="44" spans="2:4">
      <c r="B44" s="10"/>
      <c r="C44" s="10"/>
      <c r="D44" s="10"/>
    </row>
    <row r="45" spans="2:4">
      <c r="B45" s="10"/>
      <c r="C45" s="10"/>
      <c r="D45" s="10"/>
    </row>
    <row r="46" spans="2:4">
      <c r="B46" s="10"/>
      <c r="C46" s="10"/>
      <c r="D46" s="10"/>
    </row>
    <row r="47" spans="2:4">
      <c r="B47" s="10"/>
      <c r="C47" s="10"/>
      <c r="D47" s="10"/>
    </row>
    <row r="48" spans="2:4">
      <c r="B48" s="10"/>
      <c r="C48" s="10"/>
      <c r="D48" s="10"/>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C3"/>
  <sheetViews>
    <sheetView workbookViewId="0"/>
  </sheetViews>
  <sheetFormatPr baseColWidth="10" defaultRowHeight="15" x14ac:dyDescent="0"/>
  <cols>
    <col min="1" max="1" width="2.33203125" customWidth="1"/>
    <col min="3" max="3" width="94.5" customWidth="1"/>
  </cols>
  <sheetData>
    <row r="2" spans="2:3">
      <c r="B2" s="1" t="s">
        <v>2</v>
      </c>
      <c r="C2" s="1" t="s">
        <v>305</v>
      </c>
    </row>
    <row r="3" spans="2:3">
      <c r="B3" t="s">
        <v>306</v>
      </c>
      <c r="C3" t="str">
        <f>"The data shown is accurate as of " &amp; "09:00" &amp; " GMT on " &amp; "Tuesday 15th March, 2016"</f>
        <v>The data shown is accurate as of 09:00 GMT on Tuesday 15th March, 2016</v>
      </c>
    </row>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dashboard</vt:lpstr>
      <vt:lpstr>papers</vt:lpstr>
      <vt:lpstr>people</vt:lpstr>
      <vt:lpstr>organisations</vt:lpstr>
      <vt:lpstr>places</vt:lpstr>
      <vt:lpstr>event series</vt:lpstr>
      <vt:lpstr>events</vt:lpstr>
      <vt:lpstr>projects</vt:lpstr>
      <vt:lpstr>technical areas</vt:lpstr>
      <vt:lpstr>project plans</vt:lpstr>
      <vt:lpstr>countries</vt:lpstr>
      <vt:lpstr>dates</vt:lpstr>
      <vt:lpstr>messages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2016-04-20T11:23:43Z</dcterms:modified>
</cp:coreProperties>
</file>