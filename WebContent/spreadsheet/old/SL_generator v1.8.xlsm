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6929" codeName="{00000000-0000-0000-0000-000000000000}"/>
  <workbookPr showInkAnnotation="0" codeName="ThisWorkbook" autoCompressPictures="0"/>
  <bookViews>
    <workbookView xWindow="5140" yWindow="2240" windowWidth="25600" windowHeight="16060" tabRatio="620"/>
  </bookViews>
  <sheets>
    <sheet name="dashboard" sheetId="2" r:id="rId1"/>
    <sheet name="papers" sheetId="10" r:id="rId2"/>
    <sheet name="people" sheetId="9" r:id="rId3"/>
    <sheet name="organisations" sheetId="3" r:id="rId4"/>
    <sheet name="places" sheetId="1" r:id="rId5"/>
    <sheet name="event series" sheetId="4" r:id="rId6"/>
    <sheet name="events" sheetId="5" r:id="rId7"/>
    <sheet name="projects" sheetId="6" r:id="rId8"/>
    <sheet name="technical areas" sheetId="7" r:id="rId9"/>
    <sheet name="project plans" sheetId="8" r:id="rId10"/>
    <sheet name="countries" sheetId="11" r:id="rId11"/>
    <sheet name="dates" sheetId="12" r:id="rId12"/>
    <sheet name="messages" sheetId="13" r:id="rId13"/>
    <sheet name="linguistics" sheetId="15" r:id="rId14"/>
    <sheet name="x - quarters" sheetId="16" r:id="rId15"/>
    <sheet name="x - paper citations" sheetId="17" r:id="rId16"/>
    <sheet name="x - authors" sheetId="18" r:id="rId17"/>
  </sheet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AI210" i="10" l="1"/>
  <c r="AH210" i="10"/>
  <c r="AG210" i="10"/>
  <c r="AF210" i="10"/>
  <c r="AE210" i="10"/>
  <c r="AD210" i="10"/>
  <c r="AC210" i="10"/>
  <c r="AB210" i="10"/>
  <c r="AA210" i="10"/>
  <c r="Z210" i="10"/>
  <c r="Y210" i="10"/>
  <c r="X210" i="10"/>
  <c r="W210" i="10"/>
  <c r="V210" i="10"/>
  <c r="U210" i="10"/>
  <c r="AI209" i="10"/>
  <c r="AH209" i="10"/>
  <c r="AG209" i="10"/>
  <c r="AF209" i="10"/>
  <c r="AE209" i="10"/>
  <c r="AD209" i="10"/>
  <c r="AC209" i="10"/>
  <c r="AB209" i="10"/>
  <c r="AA209" i="10"/>
  <c r="Z209" i="10"/>
  <c r="Y209" i="10"/>
  <c r="X209" i="10"/>
  <c r="W209" i="10"/>
  <c r="V209" i="10"/>
  <c r="U209" i="10"/>
  <c r="AI208" i="10"/>
  <c r="AH208" i="10"/>
  <c r="AG208" i="10"/>
  <c r="AF208" i="10"/>
  <c r="AE208" i="10"/>
  <c r="AD208" i="10"/>
  <c r="AC208" i="10"/>
  <c r="AB208" i="10"/>
  <c r="AA208" i="10"/>
  <c r="Z208" i="10"/>
  <c r="Y208" i="10"/>
  <c r="X208" i="10"/>
  <c r="W208" i="10"/>
  <c r="V208" i="10"/>
  <c r="U208" i="10"/>
  <c r="AI207" i="10"/>
  <c r="AH207" i="10"/>
  <c r="AG207" i="10"/>
  <c r="AF207" i="10"/>
  <c r="AE207" i="10"/>
  <c r="AD207" i="10"/>
  <c r="AC207" i="10"/>
  <c r="AB207" i="10"/>
  <c r="AA207" i="10"/>
  <c r="Z207" i="10"/>
  <c r="Y207" i="10"/>
  <c r="X207" i="10"/>
  <c r="W207" i="10"/>
  <c r="V207" i="10"/>
  <c r="U207" i="10"/>
  <c r="AI206" i="10"/>
  <c r="AH206" i="10"/>
  <c r="AG206" i="10"/>
  <c r="AF206" i="10"/>
  <c r="AE206" i="10"/>
  <c r="AD206" i="10"/>
  <c r="AC206" i="10"/>
  <c r="AB206" i="10"/>
  <c r="AA206" i="10"/>
  <c r="Z206" i="10"/>
  <c r="Y206" i="10"/>
  <c r="X206" i="10"/>
  <c r="W206" i="10"/>
  <c r="V206" i="10"/>
  <c r="U206" i="10"/>
  <c r="AI205" i="10"/>
  <c r="AH205" i="10"/>
  <c r="AG205" i="10"/>
  <c r="AF205" i="10"/>
  <c r="AE205" i="10"/>
  <c r="AD205" i="10"/>
  <c r="AC205" i="10"/>
  <c r="AB205" i="10"/>
  <c r="AA205" i="10"/>
  <c r="Z205" i="10"/>
  <c r="Y205" i="10"/>
  <c r="X205" i="10"/>
  <c r="W205" i="10"/>
  <c r="V205" i="10"/>
  <c r="U205" i="10"/>
  <c r="AI204" i="10"/>
  <c r="AH204" i="10"/>
  <c r="AG204" i="10"/>
  <c r="AF204" i="10"/>
  <c r="AE204" i="10"/>
  <c r="AD204" i="10"/>
  <c r="AC204" i="10"/>
  <c r="AB204" i="10"/>
  <c r="AA204" i="10"/>
  <c r="Z204" i="10"/>
  <c r="Y204" i="10"/>
  <c r="X204" i="10"/>
  <c r="W204" i="10"/>
  <c r="V204" i="10"/>
  <c r="U204" i="10"/>
  <c r="AI203" i="10"/>
  <c r="AH203" i="10"/>
  <c r="AG203" i="10"/>
  <c r="AF203" i="10"/>
  <c r="AE203" i="10"/>
  <c r="AD203" i="10"/>
  <c r="AC203" i="10"/>
  <c r="AB203" i="10"/>
  <c r="AA203" i="10"/>
  <c r="Z203" i="10"/>
  <c r="Y203" i="10"/>
  <c r="X203" i="10"/>
  <c r="W203" i="10"/>
  <c r="V203" i="10"/>
  <c r="U203" i="10"/>
  <c r="AI202" i="10"/>
  <c r="AH202" i="10"/>
  <c r="AG202" i="10"/>
  <c r="AF202" i="10"/>
  <c r="AE202" i="10"/>
  <c r="AD202" i="10"/>
  <c r="AC202" i="10"/>
  <c r="AB202" i="10"/>
  <c r="AA202" i="10"/>
  <c r="Z202" i="10"/>
  <c r="Y202" i="10"/>
  <c r="X202" i="10"/>
  <c r="W202" i="10"/>
  <c r="V202" i="10"/>
  <c r="U202" i="10"/>
  <c r="AI201" i="10"/>
  <c r="AH201" i="10"/>
  <c r="AG201" i="10"/>
  <c r="AF201" i="10"/>
  <c r="AE201" i="10"/>
  <c r="AD201" i="10"/>
  <c r="AC201" i="10"/>
  <c r="AB201" i="10"/>
  <c r="AA201" i="10"/>
  <c r="Z201" i="10"/>
  <c r="Y201" i="10"/>
  <c r="X201" i="10"/>
  <c r="W201" i="10"/>
  <c r="V201" i="10"/>
  <c r="U201" i="10"/>
  <c r="AI200" i="10"/>
  <c r="AH200" i="10"/>
  <c r="AG200" i="10"/>
  <c r="AF200" i="10"/>
  <c r="AE200" i="10"/>
  <c r="AD200" i="10"/>
  <c r="AC200" i="10"/>
  <c r="AB200" i="10"/>
  <c r="AA200" i="10"/>
  <c r="Z200" i="10"/>
  <c r="Y200" i="10"/>
  <c r="X200" i="10"/>
  <c r="W200" i="10"/>
  <c r="V200" i="10"/>
  <c r="U200" i="10"/>
  <c r="AI199" i="10"/>
  <c r="AH199" i="10"/>
  <c r="AG199" i="10"/>
  <c r="AF199" i="10"/>
  <c r="AE199" i="10"/>
  <c r="AD199" i="10"/>
  <c r="AC199" i="10"/>
  <c r="AB199" i="10"/>
  <c r="AA199" i="10"/>
  <c r="Z199" i="10"/>
  <c r="Y199" i="10"/>
  <c r="X199" i="10"/>
  <c r="W199" i="10"/>
  <c r="V199" i="10"/>
  <c r="U199" i="10"/>
  <c r="AI198" i="10"/>
  <c r="AH198" i="10"/>
  <c r="AG198" i="10"/>
  <c r="AF198" i="10"/>
  <c r="AE198" i="10"/>
  <c r="AD198" i="10"/>
  <c r="AC198" i="10"/>
  <c r="AB198" i="10"/>
  <c r="AA198" i="10"/>
  <c r="Z198" i="10"/>
  <c r="Y198" i="10"/>
  <c r="X198" i="10"/>
  <c r="W198" i="10"/>
  <c r="V198" i="10"/>
  <c r="U198" i="10"/>
  <c r="AI197" i="10"/>
  <c r="AH197" i="10"/>
  <c r="AG197" i="10"/>
  <c r="AF197" i="10"/>
  <c r="AE197" i="10"/>
  <c r="AD197" i="10"/>
  <c r="AC197" i="10"/>
  <c r="AB197" i="10"/>
  <c r="AA197" i="10"/>
  <c r="Z197" i="10"/>
  <c r="Y197" i="10"/>
  <c r="X197" i="10"/>
  <c r="W197" i="10"/>
  <c r="V197" i="10"/>
  <c r="U197" i="10"/>
  <c r="AI196" i="10"/>
  <c r="AH196" i="10"/>
  <c r="AG196" i="10"/>
  <c r="AF196" i="10"/>
  <c r="AE196" i="10"/>
  <c r="AD196" i="10"/>
  <c r="AC196" i="10"/>
  <c r="AB196" i="10"/>
  <c r="AA196" i="10"/>
  <c r="Z196" i="10"/>
  <c r="Y196" i="10"/>
  <c r="X196" i="10"/>
  <c r="W196" i="10"/>
  <c r="V196" i="10"/>
  <c r="U196" i="10"/>
  <c r="AI195" i="10"/>
  <c r="AH195" i="10"/>
  <c r="AG195" i="10"/>
  <c r="AF195" i="10"/>
  <c r="AE195" i="10"/>
  <c r="AD195" i="10"/>
  <c r="AC195" i="10"/>
  <c r="AB195" i="10"/>
  <c r="AA195" i="10"/>
  <c r="Z195" i="10"/>
  <c r="Y195" i="10"/>
  <c r="X195" i="10"/>
  <c r="W195" i="10"/>
  <c r="V195" i="10"/>
  <c r="U195" i="10"/>
  <c r="AI194" i="10"/>
  <c r="AH194" i="10"/>
  <c r="AG194" i="10"/>
  <c r="AF194" i="10"/>
  <c r="AE194" i="10"/>
  <c r="AD194" i="10"/>
  <c r="AC194" i="10"/>
  <c r="AB194" i="10"/>
  <c r="AA194" i="10"/>
  <c r="Z194" i="10"/>
  <c r="Y194" i="10"/>
  <c r="X194" i="10"/>
  <c r="W194" i="10"/>
  <c r="V194" i="10"/>
  <c r="U194" i="10"/>
  <c r="AI193" i="10"/>
  <c r="AH193" i="10"/>
  <c r="AG193" i="10"/>
  <c r="AF193" i="10"/>
  <c r="AE193" i="10"/>
  <c r="AD193" i="10"/>
  <c r="AC193" i="10"/>
  <c r="AB193" i="10"/>
  <c r="AA193" i="10"/>
  <c r="Z193" i="10"/>
  <c r="Y193" i="10"/>
  <c r="X193" i="10"/>
  <c r="W193" i="10"/>
  <c r="V193" i="10"/>
  <c r="U193" i="10"/>
  <c r="AI192" i="10"/>
  <c r="AH192" i="10"/>
  <c r="AG192" i="10"/>
  <c r="AF192" i="10"/>
  <c r="AE192" i="10"/>
  <c r="AD192" i="10"/>
  <c r="AC192" i="10"/>
  <c r="AB192" i="10"/>
  <c r="AA192" i="10"/>
  <c r="Z192" i="10"/>
  <c r="Y192" i="10"/>
  <c r="X192" i="10"/>
  <c r="W192" i="10"/>
  <c r="V192" i="10"/>
  <c r="U192" i="10"/>
  <c r="AI191" i="10"/>
  <c r="AH191" i="10"/>
  <c r="AG191" i="10"/>
  <c r="AF191" i="10"/>
  <c r="AE191" i="10"/>
  <c r="AD191" i="10"/>
  <c r="AC191" i="10"/>
  <c r="AB191" i="10"/>
  <c r="AA191" i="10"/>
  <c r="Z191" i="10"/>
  <c r="Y191" i="10"/>
  <c r="X191" i="10"/>
  <c r="W191" i="10"/>
  <c r="V191" i="10"/>
  <c r="U191" i="10"/>
  <c r="AI190" i="10"/>
  <c r="AH190" i="10"/>
  <c r="AG190" i="10"/>
  <c r="AF190" i="10"/>
  <c r="AE190" i="10"/>
  <c r="AD190" i="10"/>
  <c r="AC190" i="10"/>
  <c r="AB190" i="10"/>
  <c r="AA190" i="10"/>
  <c r="Z190" i="10"/>
  <c r="Y190" i="10"/>
  <c r="X190" i="10"/>
  <c r="W190" i="10"/>
  <c r="V190" i="10"/>
  <c r="U190" i="10"/>
  <c r="AI189" i="10"/>
  <c r="AH189" i="10"/>
  <c r="AG189" i="10"/>
  <c r="AF189" i="10"/>
  <c r="AE189" i="10"/>
  <c r="AD189" i="10"/>
  <c r="AC189" i="10"/>
  <c r="AB189" i="10"/>
  <c r="AA189" i="10"/>
  <c r="Z189" i="10"/>
  <c r="Y189" i="10"/>
  <c r="X189" i="10"/>
  <c r="W189" i="10"/>
  <c r="V189" i="10"/>
  <c r="U189" i="10"/>
  <c r="AI188" i="10"/>
  <c r="AH188" i="10"/>
  <c r="AG188" i="10"/>
  <c r="AF188" i="10"/>
  <c r="AE188" i="10"/>
  <c r="AD188" i="10"/>
  <c r="AC188" i="10"/>
  <c r="AB188" i="10"/>
  <c r="AA188" i="10"/>
  <c r="Z188" i="10"/>
  <c r="Y188" i="10"/>
  <c r="X188" i="10"/>
  <c r="W188" i="10"/>
  <c r="V188" i="10"/>
  <c r="U188" i="10"/>
  <c r="AI187" i="10"/>
  <c r="AH187" i="10"/>
  <c r="AG187" i="10"/>
  <c r="AF187" i="10"/>
  <c r="AE187" i="10"/>
  <c r="AD187" i="10"/>
  <c r="AC187" i="10"/>
  <c r="AB187" i="10"/>
  <c r="AA187" i="10"/>
  <c r="Z187" i="10"/>
  <c r="Y187" i="10"/>
  <c r="X187" i="10"/>
  <c r="W187" i="10"/>
  <c r="V187" i="10"/>
  <c r="U187" i="10"/>
  <c r="AI186" i="10"/>
  <c r="AH186" i="10"/>
  <c r="AG186" i="10"/>
  <c r="AF186" i="10"/>
  <c r="AE186" i="10"/>
  <c r="AD186" i="10"/>
  <c r="AC186" i="10"/>
  <c r="AB186" i="10"/>
  <c r="AA186" i="10"/>
  <c r="Z186" i="10"/>
  <c r="Y186" i="10"/>
  <c r="X186" i="10"/>
  <c r="W186" i="10"/>
  <c r="V186" i="10"/>
  <c r="U186" i="10"/>
  <c r="AI185" i="10"/>
  <c r="AH185" i="10"/>
  <c r="AG185" i="10"/>
  <c r="AF185" i="10"/>
  <c r="AE185" i="10"/>
  <c r="AD185" i="10"/>
  <c r="AC185" i="10"/>
  <c r="AB185" i="10"/>
  <c r="AA185" i="10"/>
  <c r="Z185" i="10"/>
  <c r="Y185" i="10"/>
  <c r="X185" i="10"/>
  <c r="W185" i="10"/>
  <c r="V185" i="10"/>
  <c r="U185" i="10"/>
  <c r="AI184" i="10"/>
  <c r="AH184" i="10"/>
  <c r="AG184" i="10"/>
  <c r="AF184" i="10"/>
  <c r="AE184" i="10"/>
  <c r="AD184" i="10"/>
  <c r="AC184" i="10"/>
  <c r="AB184" i="10"/>
  <c r="AA184" i="10"/>
  <c r="Z184" i="10"/>
  <c r="Y184" i="10"/>
  <c r="X184" i="10"/>
  <c r="W184" i="10"/>
  <c r="V184" i="10"/>
  <c r="U184" i="10"/>
  <c r="AI183" i="10"/>
  <c r="AH183" i="10"/>
  <c r="AG183" i="10"/>
  <c r="AF183" i="10"/>
  <c r="AE183" i="10"/>
  <c r="AD183" i="10"/>
  <c r="AC183" i="10"/>
  <c r="AB183" i="10"/>
  <c r="AA183" i="10"/>
  <c r="Z183" i="10"/>
  <c r="Y183" i="10"/>
  <c r="X183" i="10"/>
  <c r="W183" i="10"/>
  <c r="V183" i="10"/>
  <c r="U183" i="10"/>
  <c r="AI182" i="10"/>
  <c r="AH182" i="10"/>
  <c r="AG182" i="10"/>
  <c r="AF182" i="10"/>
  <c r="AE182" i="10"/>
  <c r="AD182" i="10"/>
  <c r="AC182" i="10"/>
  <c r="AB182" i="10"/>
  <c r="AA182" i="10"/>
  <c r="Z182" i="10"/>
  <c r="Y182" i="10"/>
  <c r="X182" i="10"/>
  <c r="W182" i="10"/>
  <c r="V182" i="10"/>
  <c r="U182" i="10"/>
  <c r="AI181" i="10"/>
  <c r="AH181" i="10"/>
  <c r="AG181" i="10"/>
  <c r="AF181" i="10"/>
  <c r="AE181" i="10"/>
  <c r="AD181" i="10"/>
  <c r="AC181" i="10"/>
  <c r="AB181" i="10"/>
  <c r="AA181" i="10"/>
  <c r="Z181" i="10"/>
  <c r="Y181" i="10"/>
  <c r="X181" i="10"/>
  <c r="W181" i="10"/>
  <c r="V181" i="10"/>
  <c r="U181" i="10"/>
  <c r="AI180" i="10"/>
  <c r="AH180" i="10"/>
  <c r="AG180" i="10"/>
  <c r="AF180" i="10"/>
  <c r="AE180" i="10"/>
  <c r="AD180" i="10"/>
  <c r="AC180" i="10"/>
  <c r="AB180" i="10"/>
  <c r="AA180" i="10"/>
  <c r="Z180" i="10"/>
  <c r="Y180" i="10"/>
  <c r="X180" i="10"/>
  <c r="W180" i="10"/>
  <c r="V180" i="10"/>
  <c r="U180" i="10"/>
  <c r="AI179" i="10"/>
  <c r="AH179" i="10"/>
  <c r="AG179" i="10"/>
  <c r="AF179" i="10"/>
  <c r="AE179" i="10"/>
  <c r="AD179" i="10"/>
  <c r="AC179" i="10"/>
  <c r="AB179" i="10"/>
  <c r="AA179" i="10"/>
  <c r="Z179" i="10"/>
  <c r="Y179" i="10"/>
  <c r="X179" i="10"/>
  <c r="W179" i="10"/>
  <c r="V179" i="10"/>
  <c r="U179" i="10"/>
  <c r="AI178" i="10"/>
  <c r="AH178" i="10"/>
  <c r="AG178" i="10"/>
  <c r="AF178" i="10"/>
  <c r="AE178" i="10"/>
  <c r="AD178" i="10"/>
  <c r="AC178" i="10"/>
  <c r="AB178" i="10"/>
  <c r="AA178" i="10"/>
  <c r="Z178" i="10"/>
  <c r="Y178" i="10"/>
  <c r="X178" i="10"/>
  <c r="W178" i="10"/>
  <c r="V178" i="10"/>
  <c r="U178" i="10"/>
  <c r="AI177" i="10"/>
  <c r="AH177" i="10"/>
  <c r="AG177" i="10"/>
  <c r="AF177" i="10"/>
  <c r="AE177" i="10"/>
  <c r="AD177" i="10"/>
  <c r="AC177" i="10"/>
  <c r="AB177" i="10"/>
  <c r="AA177" i="10"/>
  <c r="Z177" i="10"/>
  <c r="Y177" i="10"/>
  <c r="X177" i="10"/>
  <c r="W177" i="10"/>
  <c r="V177" i="10"/>
  <c r="U177" i="10"/>
  <c r="AI176" i="10"/>
  <c r="AH176" i="10"/>
  <c r="AG176" i="10"/>
  <c r="AF176" i="10"/>
  <c r="AE176" i="10"/>
  <c r="AD176" i="10"/>
  <c r="AC176" i="10"/>
  <c r="AB176" i="10"/>
  <c r="AA176" i="10"/>
  <c r="Z176" i="10"/>
  <c r="Y176" i="10"/>
  <c r="X176" i="10"/>
  <c r="W176" i="10"/>
  <c r="V176" i="10"/>
  <c r="U176" i="10"/>
  <c r="AI175" i="10"/>
  <c r="AH175" i="10"/>
  <c r="AG175" i="10"/>
  <c r="AF175" i="10"/>
  <c r="AE175" i="10"/>
  <c r="AD175" i="10"/>
  <c r="AC175" i="10"/>
  <c r="AB175" i="10"/>
  <c r="AA175" i="10"/>
  <c r="Z175" i="10"/>
  <c r="Y175" i="10"/>
  <c r="X175" i="10"/>
  <c r="W175" i="10"/>
  <c r="V175" i="10"/>
  <c r="U175" i="10"/>
  <c r="AI174" i="10"/>
  <c r="AH174" i="10"/>
  <c r="AG174" i="10"/>
  <c r="AF174" i="10"/>
  <c r="AE174" i="10"/>
  <c r="AD174" i="10"/>
  <c r="AC174" i="10"/>
  <c r="AB174" i="10"/>
  <c r="AA174" i="10"/>
  <c r="Z174" i="10"/>
  <c r="Y174" i="10"/>
  <c r="X174" i="10"/>
  <c r="W174" i="10"/>
  <c r="V174" i="10"/>
  <c r="U174" i="10"/>
  <c r="AI173" i="10"/>
  <c r="AH173" i="10"/>
  <c r="AG173" i="10"/>
  <c r="AF173" i="10"/>
  <c r="AE173" i="10"/>
  <c r="AD173" i="10"/>
  <c r="AC173" i="10"/>
  <c r="AB173" i="10"/>
  <c r="AA173" i="10"/>
  <c r="Z173" i="10"/>
  <c r="Y173" i="10"/>
  <c r="X173" i="10"/>
  <c r="W173" i="10"/>
  <c r="V173" i="10"/>
  <c r="U173" i="10"/>
  <c r="AI172" i="10"/>
  <c r="AH172" i="10"/>
  <c r="AG172" i="10"/>
  <c r="AF172" i="10"/>
  <c r="AE172" i="10"/>
  <c r="AD172" i="10"/>
  <c r="AC172" i="10"/>
  <c r="AB172" i="10"/>
  <c r="AA172" i="10"/>
  <c r="Z172" i="10"/>
  <c r="Y172" i="10"/>
  <c r="X172" i="10"/>
  <c r="W172" i="10"/>
  <c r="V172" i="10"/>
  <c r="U172" i="10"/>
  <c r="AI171" i="10"/>
  <c r="AH171" i="10"/>
  <c r="AG171" i="10"/>
  <c r="AF171" i="10"/>
  <c r="AE171" i="10"/>
  <c r="AD171" i="10"/>
  <c r="AC171" i="10"/>
  <c r="AB171" i="10"/>
  <c r="AA171" i="10"/>
  <c r="Z171" i="10"/>
  <c r="Y171" i="10"/>
  <c r="X171" i="10"/>
  <c r="W171" i="10"/>
  <c r="V171" i="10"/>
  <c r="U171" i="10"/>
  <c r="AI170" i="10"/>
  <c r="AH170" i="10"/>
  <c r="AG170" i="10"/>
  <c r="AF170" i="10"/>
  <c r="AE170" i="10"/>
  <c r="AD170" i="10"/>
  <c r="AC170" i="10"/>
  <c r="AB170" i="10"/>
  <c r="AA170" i="10"/>
  <c r="Z170" i="10"/>
  <c r="Y170" i="10"/>
  <c r="X170" i="10"/>
  <c r="W170" i="10"/>
  <c r="V170" i="10"/>
  <c r="U170" i="10"/>
  <c r="AI169" i="10"/>
  <c r="AH169" i="10"/>
  <c r="AG169" i="10"/>
  <c r="AF169" i="10"/>
  <c r="AE169" i="10"/>
  <c r="AD169" i="10"/>
  <c r="AC169" i="10"/>
  <c r="AB169" i="10"/>
  <c r="AA169" i="10"/>
  <c r="Z169" i="10"/>
  <c r="Y169" i="10"/>
  <c r="X169" i="10"/>
  <c r="W169" i="10"/>
  <c r="V169" i="10"/>
  <c r="U169" i="10"/>
  <c r="AI168" i="10"/>
  <c r="AH168" i="10"/>
  <c r="AG168" i="10"/>
  <c r="AF168" i="10"/>
  <c r="AE168" i="10"/>
  <c r="AD168" i="10"/>
  <c r="AC168" i="10"/>
  <c r="AB168" i="10"/>
  <c r="AA168" i="10"/>
  <c r="Z168" i="10"/>
  <c r="Y168" i="10"/>
  <c r="X168" i="10"/>
  <c r="W168" i="10"/>
  <c r="V168" i="10"/>
  <c r="U168" i="10"/>
  <c r="AI167" i="10"/>
  <c r="AH167" i="10"/>
  <c r="AG167" i="10"/>
  <c r="AF167" i="10"/>
  <c r="AE167" i="10"/>
  <c r="AD167" i="10"/>
  <c r="AC167" i="10"/>
  <c r="AB167" i="10"/>
  <c r="AA167" i="10"/>
  <c r="Z167" i="10"/>
  <c r="Y167" i="10"/>
  <c r="X167" i="10"/>
  <c r="W167" i="10"/>
  <c r="V167" i="10"/>
  <c r="U167" i="10"/>
  <c r="AI166" i="10"/>
  <c r="AH166" i="10"/>
  <c r="AG166" i="10"/>
  <c r="AF166" i="10"/>
  <c r="AE166" i="10"/>
  <c r="AD166" i="10"/>
  <c r="AC166" i="10"/>
  <c r="AB166" i="10"/>
  <c r="AA166" i="10"/>
  <c r="Z166" i="10"/>
  <c r="Y166" i="10"/>
  <c r="X166" i="10"/>
  <c r="W166" i="10"/>
  <c r="V166" i="10"/>
  <c r="U166" i="10"/>
  <c r="AI165" i="10"/>
  <c r="AH165" i="10"/>
  <c r="AG165" i="10"/>
  <c r="AF165" i="10"/>
  <c r="AE165" i="10"/>
  <c r="AD165" i="10"/>
  <c r="AC165" i="10"/>
  <c r="AB165" i="10"/>
  <c r="AA165" i="10"/>
  <c r="Z165" i="10"/>
  <c r="Y165" i="10"/>
  <c r="X165" i="10"/>
  <c r="W165" i="10"/>
  <c r="V165" i="10"/>
  <c r="U165" i="10"/>
  <c r="AI164" i="10"/>
  <c r="AH164" i="10"/>
  <c r="AG164" i="10"/>
  <c r="AF164" i="10"/>
  <c r="AE164" i="10"/>
  <c r="AD164" i="10"/>
  <c r="AC164" i="10"/>
  <c r="AB164" i="10"/>
  <c r="AA164" i="10"/>
  <c r="Z164" i="10"/>
  <c r="Y164" i="10"/>
  <c r="X164" i="10"/>
  <c r="W164" i="10"/>
  <c r="V164" i="10"/>
  <c r="U164" i="10"/>
  <c r="AI163" i="10"/>
  <c r="AH163" i="10"/>
  <c r="AG163" i="10"/>
  <c r="AF163" i="10"/>
  <c r="AE163" i="10"/>
  <c r="AD163" i="10"/>
  <c r="AC163" i="10"/>
  <c r="AB163" i="10"/>
  <c r="AA163" i="10"/>
  <c r="Z163" i="10"/>
  <c r="Y163" i="10"/>
  <c r="X163" i="10"/>
  <c r="W163" i="10"/>
  <c r="V163" i="10"/>
  <c r="U163" i="10"/>
  <c r="AI162" i="10"/>
  <c r="AH162" i="10"/>
  <c r="AG162" i="10"/>
  <c r="AF162" i="10"/>
  <c r="AE162" i="10"/>
  <c r="AD162" i="10"/>
  <c r="AC162" i="10"/>
  <c r="AB162" i="10"/>
  <c r="AA162" i="10"/>
  <c r="Z162" i="10"/>
  <c r="Y162" i="10"/>
  <c r="X162" i="10"/>
  <c r="W162" i="10"/>
  <c r="V162" i="10"/>
  <c r="U162" i="10"/>
  <c r="AI161" i="10"/>
  <c r="AH161" i="10"/>
  <c r="AG161" i="10"/>
  <c r="AF161" i="10"/>
  <c r="AE161" i="10"/>
  <c r="AD161" i="10"/>
  <c r="AC161" i="10"/>
  <c r="AB161" i="10"/>
  <c r="AA161" i="10"/>
  <c r="Z161" i="10"/>
  <c r="Y161" i="10"/>
  <c r="X161" i="10"/>
  <c r="W161" i="10"/>
  <c r="V161" i="10"/>
  <c r="U161" i="10"/>
  <c r="AI160" i="10"/>
  <c r="AH160" i="10"/>
  <c r="AG160" i="10"/>
  <c r="AF160" i="10"/>
  <c r="AE160" i="10"/>
  <c r="AD160" i="10"/>
  <c r="AC160" i="10"/>
  <c r="AB160" i="10"/>
  <c r="AA160" i="10"/>
  <c r="Z160" i="10"/>
  <c r="Y160" i="10"/>
  <c r="X160" i="10"/>
  <c r="W160" i="10"/>
  <c r="V160" i="10"/>
  <c r="U160" i="10"/>
  <c r="AI159" i="10"/>
  <c r="AH159" i="10"/>
  <c r="AG159" i="10"/>
  <c r="AF159" i="10"/>
  <c r="AE159" i="10"/>
  <c r="AD159" i="10"/>
  <c r="AC159" i="10"/>
  <c r="AB159" i="10"/>
  <c r="AA159" i="10"/>
  <c r="Z159" i="10"/>
  <c r="Y159" i="10"/>
  <c r="X159" i="10"/>
  <c r="W159" i="10"/>
  <c r="V159" i="10"/>
  <c r="U159" i="10"/>
  <c r="AI158" i="10"/>
  <c r="AH158" i="10"/>
  <c r="AG158" i="10"/>
  <c r="AF158" i="10"/>
  <c r="AE158" i="10"/>
  <c r="AD158" i="10"/>
  <c r="AC158" i="10"/>
  <c r="AB158" i="10"/>
  <c r="AA158" i="10"/>
  <c r="Z158" i="10"/>
  <c r="Y158" i="10"/>
  <c r="X158" i="10"/>
  <c r="W158" i="10"/>
  <c r="V158" i="10"/>
  <c r="U158" i="10"/>
  <c r="AI157" i="10"/>
  <c r="AH157" i="10"/>
  <c r="AG157" i="10"/>
  <c r="AF157" i="10"/>
  <c r="AE157" i="10"/>
  <c r="AD157" i="10"/>
  <c r="AC157" i="10"/>
  <c r="AB157" i="10"/>
  <c r="AA157" i="10"/>
  <c r="Z157" i="10"/>
  <c r="Y157" i="10"/>
  <c r="X157" i="10"/>
  <c r="W157" i="10"/>
  <c r="V157" i="10"/>
  <c r="U157" i="10"/>
  <c r="AI156" i="10"/>
  <c r="AH156" i="10"/>
  <c r="AG156" i="10"/>
  <c r="AF156" i="10"/>
  <c r="AE156" i="10"/>
  <c r="AD156" i="10"/>
  <c r="AC156" i="10"/>
  <c r="AB156" i="10"/>
  <c r="AA156" i="10"/>
  <c r="Z156" i="10"/>
  <c r="Y156" i="10"/>
  <c r="X156" i="10"/>
  <c r="W156" i="10"/>
  <c r="V156" i="10"/>
  <c r="U156" i="10"/>
  <c r="AI155" i="10"/>
  <c r="AH155" i="10"/>
  <c r="AG155" i="10"/>
  <c r="AF155" i="10"/>
  <c r="AE155" i="10"/>
  <c r="AD155" i="10"/>
  <c r="AC155" i="10"/>
  <c r="AB155" i="10"/>
  <c r="AA155" i="10"/>
  <c r="Z155" i="10"/>
  <c r="Y155" i="10"/>
  <c r="X155" i="10"/>
  <c r="W155" i="10"/>
  <c r="V155" i="10"/>
  <c r="U155" i="10"/>
  <c r="AI154" i="10"/>
  <c r="AH154" i="10"/>
  <c r="AG154" i="10"/>
  <c r="AF154" i="10"/>
  <c r="AE154" i="10"/>
  <c r="AD154" i="10"/>
  <c r="AC154" i="10"/>
  <c r="AB154" i="10"/>
  <c r="AA154" i="10"/>
  <c r="Z154" i="10"/>
  <c r="Y154" i="10"/>
  <c r="X154" i="10"/>
  <c r="W154" i="10"/>
  <c r="V154" i="10"/>
  <c r="U154" i="10"/>
  <c r="AI153" i="10"/>
  <c r="AH153" i="10"/>
  <c r="AG153" i="10"/>
  <c r="AF153" i="10"/>
  <c r="AE153" i="10"/>
  <c r="AD153" i="10"/>
  <c r="AC153" i="10"/>
  <c r="AB153" i="10"/>
  <c r="AA153" i="10"/>
  <c r="Z153" i="10"/>
  <c r="Y153" i="10"/>
  <c r="X153" i="10"/>
  <c r="W153" i="10"/>
  <c r="V153" i="10"/>
  <c r="U153" i="10"/>
  <c r="AI152" i="10"/>
  <c r="AH152" i="10"/>
  <c r="AG152" i="10"/>
  <c r="AF152" i="10"/>
  <c r="AE152" i="10"/>
  <c r="AD152" i="10"/>
  <c r="AC152" i="10"/>
  <c r="AB152" i="10"/>
  <c r="AA152" i="10"/>
  <c r="Z152" i="10"/>
  <c r="Y152" i="10"/>
  <c r="X152" i="10"/>
  <c r="W152" i="10"/>
  <c r="V152" i="10"/>
  <c r="U152" i="10"/>
  <c r="AI151" i="10"/>
  <c r="AH151" i="10"/>
  <c r="AG151" i="10"/>
  <c r="AF151" i="10"/>
  <c r="AE151" i="10"/>
  <c r="AD151" i="10"/>
  <c r="AC151" i="10"/>
  <c r="AB151" i="10"/>
  <c r="AA151" i="10"/>
  <c r="Z151" i="10"/>
  <c r="Y151" i="10"/>
  <c r="X151" i="10"/>
  <c r="W151" i="10"/>
  <c r="V151" i="10"/>
  <c r="U151" i="10"/>
  <c r="AI150" i="10"/>
  <c r="AH150" i="10"/>
  <c r="AG150" i="10"/>
  <c r="AF150" i="10"/>
  <c r="AE150" i="10"/>
  <c r="AD150" i="10"/>
  <c r="AC150" i="10"/>
  <c r="AB150" i="10"/>
  <c r="AA150" i="10"/>
  <c r="Z150" i="10"/>
  <c r="Y150" i="10"/>
  <c r="X150" i="10"/>
  <c r="W150" i="10"/>
  <c r="V150" i="10"/>
  <c r="U150" i="10"/>
  <c r="AI149" i="10"/>
  <c r="AH149" i="10"/>
  <c r="AG149" i="10"/>
  <c r="AF149" i="10"/>
  <c r="AE149" i="10"/>
  <c r="AD149" i="10"/>
  <c r="AC149" i="10"/>
  <c r="AB149" i="10"/>
  <c r="AA149" i="10"/>
  <c r="Z149" i="10"/>
  <c r="Y149" i="10"/>
  <c r="X149" i="10"/>
  <c r="W149" i="10"/>
  <c r="V149" i="10"/>
  <c r="U149" i="10"/>
  <c r="AI148" i="10"/>
  <c r="AH148" i="10"/>
  <c r="AG148" i="10"/>
  <c r="AF148" i="10"/>
  <c r="AE148" i="10"/>
  <c r="AD148" i="10"/>
  <c r="AC148" i="10"/>
  <c r="AB148" i="10"/>
  <c r="AA148" i="10"/>
  <c r="Z148" i="10"/>
  <c r="Y148" i="10"/>
  <c r="X148" i="10"/>
  <c r="W148" i="10"/>
  <c r="V148" i="10"/>
  <c r="U148" i="10"/>
  <c r="AI147" i="10"/>
  <c r="AH147" i="10"/>
  <c r="AG147" i="10"/>
  <c r="AF147" i="10"/>
  <c r="AE147" i="10"/>
  <c r="AD147" i="10"/>
  <c r="AC147" i="10"/>
  <c r="AB147" i="10"/>
  <c r="AA147" i="10"/>
  <c r="Z147" i="10"/>
  <c r="Y147" i="10"/>
  <c r="X147" i="10"/>
  <c r="W147" i="10"/>
  <c r="V147" i="10"/>
  <c r="U147" i="10"/>
  <c r="AI146" i="10"/>
  <c r="AH146" i="10"/>
  <c r="AG146" i="10"/>
  <c r="AF146" i="10"/>
  <c r="AE146" i="10"/>
  <c r="AD146" i="10"/>
  <c r="AC146" i="10"/>
  <c r="AB146" i="10"/>
  <c r="AA146" i="10"/>
  <c r="Z146" i="10"/>
  <c r="Y146" i="10"/>
  <c r="X146" i="10"/>
  <c r="W146" i="10"/>
  <c r="V146" i="10"/>
  <c r="U146" i="10"/>
  <c r="AI145" i="10"/>
  <c r="AH145" i="10"/>
  <c r="AG145" i="10"/>
  <c r="AF145" i="10"/>
  <c r="AE145" i="10"/>
  <c r="AD145" i="10"/>
  <c r="AC145" i="10"/>
  <c r="AB145" i="10"/>
  <c r="AA145" i="10"/>
  <c r="Z145" i="10"/>
  <c r="Y145" i="10"/>
  <c r="X145" i="10"/>
  <c r="W145" i="10"/>
  <c r="V145" i="10"/>
  <c r="U145" i="10"/>
  <c r="AI144" i="10"/>
  <c r="AH144" i="10"/>
  <c r="AG144" i="10"/>
  <c r="AF144" i="10"/>
  <c r="AE144" i="10"/>
  <c r="AD144" i="10"/>
  <c r="AC144" i="10"/>
  <c r="AB144" i="10"/>
  <c r="AA144" i="10"/>
  <c r="Z144" i="10"/>
  <c r="Y144" i="10"/>
  <c r="X144" i="10"/>
  <c r="W144" i="10"/>
  <c r="V144" i="10"/>
  <c r="U144" i="10"/>
  <c r="AI143" i="10"/>
  <c r="AH143" i="10"/>
  <c r="AG143" i="10"/>
  <c r="AF143" i="10"/>
  <c r="AE143" i="10"/>
  <c r="AD143" i="10"/>
  <c r="AC143" i="10"/>
  <c r="AB143" i="10"/>
  <c r="AA143" i="10"/>
  <c r="Z143" i="10"/>
  <c r="Y143" i="10"/>
  <c r="X143" i="10"/>
  <c r="W143" i="10"/>
  <c r="V143" i="10"/>
  <c r="U143" i="10"/>
  <c r="AI142" i="10"/>
  <c r="AH142" i="10"/>
  <c r="AG142" i="10"/>
  <c r="AF142" i="10"/>
  <c r="AE142" i="10"/>
  <c r="AD142" i="10"/>
  <c r="AC142" i="10"/>
  <c r="AB142" i="10"/>
  <c r="AA142" i="10"/>
  <c r="Z142" i="10"/>
  <c r="Y142" i="10"/>
  <c r="X142" i="10"/>
  <c r="W142" i="10"/>
  <c r="V142" i="10"/>
  <c r="U142" i="10"/>
  <c r="AI141" i="10"/>
  <c r="AH141" i="10"/>
  <c r="AG141" i="10"/>
  <c r="AF141" i="10"/>
  <c r="AE141" i="10"/>
  <c r="AD141" i="10"/>
  <c r="AC141" i="10"/>
  <c r="AB141" i="10"/>
  <c r="AA141" i="10"/>
  <c r="Z141" i="10"/>
  <c r="Y141" i="10"/>
  <c r="X141" i="10"/>
  <c r="W141" i="10"/>
  <c r="V141" i="10"/>
  <c r="U141" i="10"/>
  <c r="AI140" i="10"/>
  <c r="AH140" i="10"/>
  <c r="AG140" i="10"/>
  <c r="AF140" i="10"/>
  <c r="AE140" i="10"/>
  <c r="AD140" i="10"/>
  <c r="AC140" i="10"/>
  <c r="AB140" i="10"/>
  <c r="AA140" i="10"/>
  <c r="Z140" i="10"/>
  <c r="Y140" i="10"/>
  <c r="X140" i="10"/>
  <c r="W140" i="10"/>
  <c r="V140" i="10"/>
  <c r="U140" i="10"/>
  <c r="AI139" i="10"/>
  <c r="AH139" i="10"/>
  <c r="AG139" i="10"/>
  <c r="AF139" i="10"/>
  <c r="AE139" i="10"/>
  <c r="AD139" i="10"/>
  <c r="AC139" i="10"/>
  <c r="AB139" i="10"/>
  <c r="AA139" i="10"/>
  <c r="Z139" i="10"/>
  <c r="Y139" i="10"/>
  <c r="X139" i="10"/>
  <c r="W139" i="10"/>
  <c r="V139" i="10"/>
  <c r="U139" i="10"/>
  <c r="AI138" i="10"/>
  <c r="AH138" i="10"/>
  <c r="AG138" i="10"/>
  <c r="AF138" i="10"/>
  <c r="AE138" i="10"/>
  <c r="AD138" i="10"/>
  <c r="AC138" i="10"/>
  <c r="AB138" i="10"/>
  <c r="AA138" i="10"/>
  <c r="Z138" i="10"/>
  <c r="Y138" i="10"/>
  <c r="X138" i="10"/>
  <c r="W138" i="10"/>
  <c r="V138" i="10"/>
  <c r="U138" i="10"/>
  <c r="AI137" i="10"/>
  <c r="AH137" i="10"/>
  <c r="AG137" i="10"/>
  <c r="AF137" i="10"/>
  <c r="AE137" i="10"/>
  <c r="AD137" i="10"/>
  <c r="AC137" i="10"/>
  <c r="AB137" i="10"/>
  <c r="AA137" i="10"/>
  <c r="Z137" i="10"/>
  <c r="Y137" i="10"/>
  <c r="X137" i="10"/>
  <c r="W137" i="10"/>
  <c r="V137" i="10"/>
  <c r="U137" i="10"/>
  <c r="AI136" i="10"/>
  <c r="AH136" i="10"/>
  <c r="AG136" i="10"/>
  <c r="AF136" i="10"/>
  <c r="AE136" i="10"/>
  <c r="AD136" i="10"/>
  <c r="AC136" i="10"/>
  <c r="AB136" i="10"/>
  <c r="AA136" i="10"/>
  <c r="Z136" i="10"/>
  <c r="Y136" i="10"/>
  <c r="X136" i="10"/>
  <c r="W136" i="10"/>
  <c r="V136" i="10"/>
  <c r="U136" i="10"/>
  <c r="AI135" i="10"/>
  <c r="AH135" i="10"/>
  <c r="AG135" i="10"/>
  <c r="AF135" i="10"/>
  <c r="AE135" i="10"/>
  <c r="AD135" i="10"/>
  <c r="AC135" i="10"/>
  <c r="AB135" i="10"/>
  <c r="AA135" i="10"/>
  <c r="Z135" i="10"/>
  <c r="Y135" i="10"/>
  <c r="X135" i="10"/>
  <c r="W135" i="10"/>
  <c r="V135" i="10"/>
  <c r="U135" i="10"/>
  <c r="AI134" i="10"/>
  <c r="AH134" i="10"/>
  <c r="AG134" i="10"/>
  <c r="AF134" i="10"/>
  <c r="AE134" i="10"/>
  <c r="AD134" i="10"/>
  <c r="AC134" i="10"/>
  <c r="AB134" i="10"/>
  <c r="AA134" i="10"/>
  <c r="Z134" i="10"/>
  <c r="Y134" i="10"/>
  <c r="X134" i="10"/>
  <c r="W134" i="10"/>
  <c r="V134" i="10"/>
  <c r="U134" i="10"/>
  <c r="AI133" i="10"/>
  <c r="AH133" i="10"/>
  <c r="AG133" i="10"/>
  <c r="AF133" i="10"/>
  <c r="AE133" i="10"/>
  <c r="AD133" i="10"/>
  <c r="AC133" i="10"/>
  <c r="AB133" i="10"/>
  <c r="AA133" i="10"/>
  <c r="Z133" i="10"/>
  <c r="Y133" i="10"/>
  <c r="X133" i="10"/>
  <c r="W133" i="10"/>
  <c r="V133" i="10"/>
  <c r="U133" i="10"/>
  <c r="AI132" i="10"/>
  <c r="AH132" i="10"/>
  <c r="AG132" i="10"/>
  <c r="AF132" i="10"/>
  <c r="AE132" i="10"/>
  <c r="AD132" i="10"/>
  <c r="AC132" i="10"/>
  <c r="AB132" i="10"/>
  <c r="AA132" i="10"/>
  <c r="Z132" i="10"/>
  <c r="Y132" i="10"/>
  <c r="X132" i="10"/>
  <c r="W132" i="10"/>
  <c r="V132" i="10"/>
  <c r="U132" i="10"/>
  <c r="AI131" i="10"/>
  <c r="AH131" i="10"/>
  <c r="AG131" i="10"/>
  <c r="AF131" i="10"/>
  <c r="AE131" i="10"/>
  <c r="AD131" i="10"/>
  <c r="AC131" i="10"/>
  <c r="AB131" i="10"/>
  <c r="AA131" i="10"/>
  <c r="Z131" i="10"/>
  <c r="Y131" i="10"/>
  <c r="X131" i="10"/>
  <c r="W131" i="10"/>
  <c r="V131" i="10"/>
  <c r="U131" i="10"/>
  <c r="AI130" i="10"/>
  <c r="AH130" i="10"/>
  <c r="AG130" i="10"/>
  <c r="AF130" i="10"/>
  <c r="AE130" i="10"/>
  <c r="AD130" i="10"/>
  <c r="AC130" i="10"/>
  <c r="AB130" i="10"/>
  <c r="AA130" i="10"/>
  <c r="Z130" i="10"/>
  <c r="Y130" i="10"/>
  <c r="X130" i="10"/>
  <c r="W130" i="10"/>
  <c r="V130" i="10"/>
  <c r="U130" i="10"/>
  <c r="AI129" i="10"/>
  <c r="AH129" i="10"/>
  <c r="AG129" i="10"/>
  <c r="AF129" i="10"/>
  <c r="AE129" i="10"/>
  <c r="AD129" i="10"/>
  <c r="AC129" i="10"/>
  <c r="AB129" i="10"/>
  <c r="AA129" i="10"/>
  <c r="Z129" i="10"/>
  <c r="Y129" i="10"/>
  <c r="X129" i="10"/>
  <c r="W129" i="10"/>
  <c r="V129" i="10"/>
  <c r="U129" i="10"/>
  <c r="AI128" i="10"/>
  <c r="AH128" i="10"/>
  <c r="AG128" i="10"/>
  <c r="AF128" i="10"/>
  <c r="AE128" i="10"/>
  <c r="AD128" i="10"/>
  <c r="AC128" i="10"/>
  <c r="AB128" i="10"/>
  <c r="AA128" i="10"/>
  <c r="Z128" i="10"/>
  <c r="Y128" i="10"/>
  <c r="X128" i="10"/>
  <c r="W128" i="10"/>
  <c r="V128" i="10"/>
  <c r="U128" i="10"/>
  <c r="AI127" i="10"/>
  <c r="AH127" i="10"/>
  <c r="AG127" i="10"/>
  <c r="AF127" i="10"/>
  <c r="AE127" i="10"/>
  <c r="AD127" i="10"/>
  <c r="AC127" i="10"/>
  <c r="AB127" i="10"/>
  <c r="AA127" i="10"/>
  <c r="Z127" i="10"/>
  <c r="Y127" i="10"/>
  <c r="X127" i="10"/>
  <c r="W127" i="10"/>
  <c r="V127" i="10"/>
  <c r="U127" i="10"/>
  <c r="AI126" i="10"/>
  <c r="AH126" i="10"/>
  <c r="AG126" i="10"/>
  <c r="AF126" i="10"/>
  <c r="AE126" i="10"/>
  <c r="AD126" i="10"/>
  <c r="AC126" i="10"/>
  <c r="AB126" i="10"/>
  <c r="AA126" i="10"/>
  <c r="Z126" i="10"/>
  <c r="Y126" i="10"/>
  <c r="X126" i="10"/>
  <c r="W126" i="10"/>
  <c r="V126" i="10"/>
  <c r="U126" i="10"/>
  <c r="AI125" i="10"/>
  <c r="AH125" i="10"/>
  <c r="AG125" i="10"/>
  <c r="AF125" i="10"/>
  <c r="AE125" i="10"/>
  <c r="AD125" i="10"/>
  <c r="AC125" i="10"/>
  <c r="AB125" i="10"/>
  <c r="AA125" i="10"/>
  <c r="Z125" i="10"/>
  <c r="Y125" i="10"/>
  <c r="X125" i="10"/>
  <c r="W125" i="10"/>
  <c r="V125" i="10"/>
  <c r="U125" i="10"/>
  <c r="AI124" i="10"/>
  <c r="AH124" i="10"/>
  <c r="AG124" i="10"/>
  <c r="AF124" i="10"/>
  <c r="AE124" i="10"/>
  <c r="AD124" i="10"/>
  <c r="AC124" i="10"/>
  <c r="AB124" i="10"/>
  <c r="AA124" i="10"/>
  <c r="Z124" i="10"/>
  <c r="Y124" i="10"/>
  <c r="X124" i="10"/>
  <c r="W124" i="10"/>
  <c r="V124" i="10"/>
  <c r="U124" i="10"/>
  <c r="AI123" i="10"/>
  <c r="AH123" i="10"/>
  <c r="AG123" i="10"/>
  <c r="AF123" i="10"/>
  <c r="AE123" i="10"/>
  <c r="AD123" i="10"/>
  <c r="AC123" i="10"/>
  <c r="AB123" i="10"/>
  <c r="AA123" i="10"/>
  <c r="Z123" i="10"/>
  <c r="Y123" i="10"/>
  <c r="X123" i="10"/>
  <c r="W123" i="10"/>
  <c r="V123" i="10"/>
  <c r="U123" i="10"/>
  <c r="AI122" i="10"/>
  <c r="AH122" i="10"/>
  <c r="AG122" i="10"/>
  <c r="AF122" i="10"/>
  <c r="AE122" i="10"/>
  <c r="AD122" i="10"/>
  <c r="AC122" i="10"/>
  <c r="AB122" i="10"/>
  <c r="AA122" i="10"/>
  <c r="Z122" i="10"/>
  <c r="Y122" i="10"/>
  <c r="X122" i="10"/>
  <c r="W122" i="10"/>
  <c r="V122" i="10"/>
  <c r="U122" i="10"/>
  <c r="AI121" i="10"/>
  <c r="AH121" i="10"/>
  <c r="AG121" i="10"/>
  <c r="AF121" i="10"/>
  <c r="AE121" i="10"/>
  <c r="AD121" i="10"/>
  <c r="AC121" i="10"/>
  <c r="AB121" i="10"/>
  <c r="AA121" i="10"/>
  <c r="Z121" i="10"/>
  <c r="Y121" i="10"/>
  <c r="X121" i="10"/>
  <c r="W121" i="10"/>
  <c r="V121" i="10"/>
  <c r="U121" i="10"/>
  <c r="AI120" i="10"/>
  <c r="AH120" i="10"/>
  <c r="AG120" i="10"/>
  <c r="AF120" i="10"/>
  <c r="AE120" i="10"/>
  <c r="AD120" i="10"/>
  <c r="AC120" i="10"/>
  <c r="AB120" i="10"/>
  <c r="AA120" i="10"/>
  <c r="Z120" i="10"/>
  <c r="Y120" i="10"/>
  <c r="X120" i="10"/>
  <c r="W120" i="10"/>
  <c r="V120" i="10"/>
  <c r="U120" i="10"/>
  <c r="AI119" i="10"/>
  <c r="AH119" i="10"/>
  <c r="AG119" i="10"/>
  <c r="AF119" i="10"/>
  <c r="AE119" i="10"/>
  <c r="AD119" i="10"/>
  <c r="AC119" i="10"/>
  <c r="AB119" i="10"/>
  <c r="AA119" i="10"/>
  <c r="Z119" i="10"/>
  <c r="Y119" i="10"/>
  <c r="X119" i="10"/>
  <c r="W119" i="10"/>
  <c r="V119" i="10"/>
  <c r="U119" i="10"/>
  <c r="AI118" i="10"/>
  <c r="AH118" i="10"/>
  <c r="AG118" i="10"/>
  <c r="AF118" i="10"/>
  <c r="AE118" i="10"/>
  <c r="AD118" i="10"/>
  <c r="AC118" i="10"/>
  <c r="AB118" i="10"/>
  <c r="AA118" i="10"/>
  <c r="Z118" i="10"/>
  <c r="Y118" i="10"/>
  <c r="X118" i="10"/>
  <c r="W118" i="10"/>
  <c r="V118" i="10"/>
  <c r="U118" i="10"/>
  <c r="AI117" i="10"/>
  <c r="AH117" i="10"/>
  <c r="AG117" i="10"/>
  <c r="AF117" i="10"/>
  <c r="AE117" i="10"/>
  <c r="AD117" i="10"/>
  <c r="AC117" i="10"/>
  <c r="AB117" i="10"/>
  <c r="AA117" i="10"/>
  <c r="Z117" i="10"/>
  <c r="Y117" i="10"/>
  <c r="X117" i="10"/>
  <c r="W117" i="10"/>
  <c r="V117" i="10"/>
  <c r="U117" i="10"/>
  <c r="AI116" i="10"/>
  <c r="AH116" i="10"/>
  <c r="AG116" i="10"/>
  <c r="AF116" i="10"/>
  <c r="AE116" i="10"/>
  <c r="AD116" i="10"/>
  <c r="AC116" i="10"/>
  <c r="AB116" i="10"/>
  <c r="AA116" i="10"/>
  <c r="Z116" i="10"/>
  <c r="Y116" i="10"/>
  <c r="X116" i="10"/>
  <c r="W116" i="10"/>
  <c r="V116" i="10"/>
  <c r="U116" i="10"/>
  <c r="AI115" i="10"/>
  <c r="AH115" i="10"/>
  <c r="AG115" i="10"/>
  <c r="AF115" i="10"/>
  <c r="AE115" i="10"/>
  <c r="AD115" i="10"/>
  <c r="AC115" i="10"/>
  <c r="AB115" i="10"/>
  <c r="AA115" i="10"/>
  <c r="Z115" i="10"/>
  <c r="Y115" i="10"/>
  <c r="X115" i="10"/>
  <c r="W115" i="10"/>
  <c r="V115" i="10"/>
  <c r="U115" i="10"/>
  <c r="AI114" i="10"/>
  <c r="AH114" i="10"/>
  <c r="AG114" i="10"/>
  <c r="AF114" i="10"/>
  <c r="AE114" i="10"/>
  <c r="AD114" i="10"/>
  <c r="AC114" i="10"/>
  <c r="AB114" i="10"/>
  <c r="AA114" i="10"/>
  <c r="Z114" i="10"/>
  <c r="Y114" i="10"/>
  <c r="X114" i="10"/>
  <c r="W114" i="10"/>
  <c r="V114" i="10"/>
  <c r="U114" i="10"/>
  <c r="AI113" i="10"/>
  <c r="AH113" i="10"/>
  <c r="AG113" i="10"/>
  <c r="AF113" i="10"/>
  <c r="AE113" i="10"/>
  <c r="AD113" i="10"/>
  <c r="AC113" i="10"/>
  <c r="AB113" i="10"/>
  <c r="AA113" i="10"/>
  <c r="Z113" i="10"/>
  <c r="Y113" i="10"/>
  <c r="X113" i="10"/>
  <c r="W113" i="10"/>
  <c r="V113" i="10"/>
  <c r="U113" i="10"/>
  <c r="AI112" i="10"/>
  <c r="AH112" i="10"/>
  <c r="AG112" i="10"/>
  <c r="AF112" i="10"/>
  <c r="AE112" i="10"/>
  <c r="AD112" i="10"/>
  <c r="AC112" i="10"/>
  <c r="AB112" i="10"/>
  <c r="AA112" i="10"/>
  <c r="Z112" i="10"/>
  <c r="Y112" i="10"/>
  <c r="X112" i="10"/>
  <c r="W112" i="10"/>
  <c r="V112" i="10"/>
  <c r="U112" i="10"/>
  <c r="AI111" i="10"/>
  <c r="AH111" i="10"/>
  <c r="AG111" i="10"/>
  <c r="AF111" i="10"/>
  <c r="AE111" i="10"/>
  <c r="AD111" i="10"/>
  <c r="AC111" i="10"/>
  <c r="AB111" i="10"/>
  <c r="AA111" i="10"/>
  <c r="Z111" i="10"/>
  <c r="Y111" i="10"/>
  <c r="X111" i="10"/>
  <c r="W111" i="10"/>
  <c r="V111" i="10"/>
  <c r="U111" i="10"/>
  <c r="AI110" i="10"/>
  <c r="AH110" i="10"/>
  <c r="AG110" i="10"/>
  <c r="AF110" i="10"/>
  <c r="AE110" i="10"/>
  <c r="AD110" i="10"/>
  <c r="AC110" i="10"/>
  <c r="AB110" i="10"/>
  <c r="AA110" i="10"/>
  <c r="Z110" i="10"/>
  <c r="Y110" i="10"/>
  <c r="X110" i="10"/>
  <c r="W110" i="10"/>
  <c r="V110" i="10"/>
  <c r="U110" i="10"/>
  <c r="AI109" i="10"/>
  <c r="AH109" i="10"/>
  <c r="AG109" i="10"/>
  <c r="AF109" i="10"/>
  <c r="AE109" i="10"/>
  <c r="AD109" i="10"/>
  <c r="AC109" i="10"/>
  <c r="AB109" i="10"/>
  <c r="AA109" i="10"/>
  <c r="Z109" i="10"/>
  <c r="Y109" i="10"/>
  <c r="X109" i="10"/>
  <c r="W109" i="10"/>
  <c r="V109" i="10"/>
  <c r="U109" i="10"/>
  <c r="AI108" i="10"/>
  <c r="AH108" i="10"/>
  <c r="AG108" i="10"/>
  <c r="AF108" i="10"/>
  <c r="AE108" i="10"/>
  <c r="AD108" i="10"/>
  <c r="AC108" i="10"/>
  <c r="AB108" i="10"/>
  <c r="AA108" i="10"/>
  <c r="Z108" i="10"/>
  <c r="Y108" i="10"/>
  <c r="X108" i="10"/>
  <c r="W108" i="10"/>
  <c r="V108" i="10"/>
  <c r="U108" i="10"/>
  <c r="AI107" i="10"/>
  <c r="AH107" i="10"/>
  <c r="AG107" i="10"/>
  <c r="AF107" i="10"/>
  <c r="AE107" i="10"/>
  <c r="AD107" i="10"/>
  <c r="AC107" i="10"/>
  <c r="AB107" i="10"/>
  <c r="AA107" i="10"/>
  <c r="Z107" i="10"/>
  <c r="Y107" i="10"/>
  <c r="X107" i="10"/>
  <c r="W107" i="10"/>
  <c r="V107" i="10"/>
  <c r="U107" i="10"/>
  <c r="AI106" i="10"/>
  <c r="AH106" i="10"/>
  <c r="AG106" i="10"/>
  <c r="AF106" i="10"/>
  <c r="AE106" i="10"/>
  <c r="AD106" i="10"/>
  <c r="AC106" i="10"/>
  <c r="AB106" i="10"/>
  <c r="AA106" i="10"/>
  <c r="Z106" i="10"/>
  <c r="Y106" i="10"/>
  <c r="X106" i="10"/>
  <c r="W106" i="10"/>
  <c r="V106" i="10"/>
  <c r="U106" i="10"/>
  <c r="AI105" i="10"/>
  <c r="AH105" i="10"/>
  <c r="AG105" i="10"/>
  <c r="AF105" i="10"/>
  <c r="AE105" i="10"/>
  <c r="AD105" i="10"/>
  <c r="AC105" i="10"/>
  <c r="AB105" i="10"/>
  <c r="AA105" i="10"/>
  <c r="Z105" i="10"/>
  <c r="Y105" i="10"/>
  <c r="X105" i="10"/>
  <c r="W105" i="10"/>
  <c r="V105" i="10"/>
  <c r="U105" i="10"/>
  <c r="AI104" i="10"/>
  <c r="AH104" i="10"/>
  <c r="AG104" i="10"/>
  <c r="AF104" i="10"/>
  <c r="AE104" i="10"/>
  <c r="AD104" i="10"/>
  <c r="AC104" i="10"/>
  <c r="AB104" i="10"/>
  <c r="AA104" i="10"/>
  <c r="Z104" i="10"/>
  <c r="Y104" i="10"/>
  <c r="X104" i="10"/>
  <c r="W104" i="10"/>
  <c r="V104" i="10"/>
  <c r="U104" i="10"/>
  <c r="AI103" i="10"/>
  <c r="AH103" i="10"/>
  <c r="AG103" i="10"/>
  <c r="AF103" i="10"/>
  <c r="AE103" i="10"/>
  <c r="AD103" i="10"/>
  <c r="AC103" i="10"/>
  <c r="AB103" i="10"/>
  <c r="AA103" i="10"/>
  <c r="Z103" i="10"/>
  <c r="Y103" i="10"/>
  <c r="X103" i="10"/>
  <c r="W103" i="10"/>
  <c r="V103" i="10"/>
  <c r="U103" i="10"/>
  <c r="AI102" i="10"/>
  <c r="AH102" i="10"/>
  <c r="AG102" i="10"/>
  <c r="AF102" i="10"/>
  <c r="AE102" i="10"/>
  <c r="AD102" i="10"/>
  <c r="AC102" i="10"/>
  <c r="AB102" i="10"/>
  <c r="AA102" i="10"/>
  <c r="Z102" i="10"/>
  <c r="Y102" i="10"/>
  <c r="X102" i="10"/>
  <c r="W102" i="10"/>
  <c r="V102" i="10"/>
  <c r="U102" i="10"/>
  <c r="AI101" i="10"/>
  <c r="AH101" i="10"/>
  <c r="AG101" i="10"/>
  <c r="AF101" i="10"/>
  <c r="AE101" i="10"/>
  <c r="AD101" i="10"/>
  <c r="AC101" i="10"/>
  <c r="AB101" i="10"/>
  <c r="AA101" i="10"/>
  <c r="Z101" i="10"/>
  <c r="Y101" i="10"/>
  <c r="X101" i="10"/>
  <c r="W101" i="10"/>
  <c r="V101" i="10"/>
  <c r="U101" i="10"/>
  <c r="AI100" i="10"/>
  <c r="AH100" i="10"/>
  <c r="AG100" i="10"/>
  <c r="AF100" i="10"/>
  <c r="AE100" i="10"/>
  <c r="AD100" i="10"/>
  <c r="AC100" i="10"/>
  <c r="AB100" i="10"/>
  <c r="AA100" i="10"/>
  <c r="Z100" i="10"/>
  <c r="Y100" i="10"/>
  <c r="X100" i="10"/>
  <c r="W100" i="10"/>
  <c r="V100" i="10"/>
  <c r="U100" i="10"/>
  <c r="AI99" i="10"/>
  <c r="AH99" i="10"/>
  <c r="AG99" i="10"/>
  <c r="AF99" i="10"/>
  <c r="AE99" i="10"/>
  <c r="AD99" i="10"/>
  <c r="AC99" i="10"/>
  <c r="AB99" i="10"/>
  <c r="AA99" i="10"/>
  <c r="Z99" i="10"/>
  <c r="Y99" i="10"/>
  <c r="X99" i="10"/>
  <c r="W99" i="10"/>
  <c r="V99" i="10"/>
  <c r="U99" i="10"/>
  <c r="AI98" i="10"/>
  <c r="AH98" i="10"/>
  <c r="AG98" i="10"/>
  <c r="AF98" i="10"/>
  <c r="AE98" i="10"/>
  <c r="AD98" i="10"/>
  <c r="AC98" i="10"/>
  <c r="AB98" i="10"/>
  <c r="AA98" i="10"/>
  <c r="Z98" i="10"/>
  <c r="Y98" i="10"/>
  <c r="X98" i="10"/>
  <c r="W98" i="10"/>
  <c r="V98" i="10"/>
  <c r="U98" i="10"/>
  <c r="AI97" i="10"/>
  <c r="AH97" i="10"/>
  <c r="AG97" i="10"/>
  <c r="AF97" i="10"/>
  <c r="AE97" i="10"/>
  <c r="AD97" i="10"/>
  <c r="AC97" i="10"/>
  <c r="AB97" i="10"/>
  <c r="AA97" i="10"/>
  <c r="Z97" i="10"/>
  <c r="Y97" i="10"/>
  <c r="X97" i="10"/>
  <c r="W97" i="10"/>
  <c r="V97" i="10"/>
  <c r="U97" i="10"/>
  <c r="AI96" i="10"/>
  <c r="AH96" i="10"/>
  <c r="AG96" i="10"/>
  <c r="AF96" i="10"/>
  <c r="AE96" i="10"/>
  <c r="AD96" i="10"/>
  <c r="AC96" i="10"/>
  <c r="AB96" i="10"/>
  <c r="AA96" i="10"/>
  <c r="Z96" i="10"/>
  <c r="Y96" i="10"/>
  <c r="X96" i="10"/>
  <c r="W96" i="10"/>
  <c r="V96" i="10"/>
  <c r="U96" i="10"/>
  <c r="AI95" i="10"/>
  <c r="AH95" i="10"/>
  <c r="AG95" i="10"/>
  <c r="AF95" i="10"/>
  <c r="AE95" i="10"/>
  <c r="AD95" i="10"/>
  <c r="AC95" i="10"/>
  <c r="AB95" i="10"/>
  <c r="AA95" i="10"/>
  <c r="Z95" i="10"/>
  <c r="Y95" i="10"/>
  <c r="X95" i="10"/>
  <c r="W95" i="10"/>
  <c r="V95" i="10"/>
  <c r="U95" i="10"/>
  <c r="AI94" i="10"/>
  <c r="AH94" i="10"/>
  <c r="AG94" i="10"/>
  <c r="AF94" i="10"/>
  <c r="AE94" i="10"/>
  <c r="AD94" i="10"/>
  <c r="AC94" i="10"/>
  <c r="AB94" i="10"/>
  <c r="AA94" i="10"/>
  <c r="Z94" i="10"/>
  <c r="Y94" i="10"/>
  <c r="X94" i="10"/>
  <c r="W94" i="10"/>
  <c r="V94" i="10"/>
  <c r="U94" i="10"/>
  <c r="AI93" i="10"/>
  <c r="AH93" i="10"/>
  <c r="AG93" i="10"/>
  <c r="AF93" i="10"/>
  <c r="AE93" i="10"/>
  <c r="AD93" i="10"/>
  <c r="AC93" i="10"/>
  <c r="AB93" i="10"/>
  <c r="AA93" i="10"/>
  <c r="Z93" i="10"/>
  <c r="Y93" i="10"/>
  <c r="X93" i="10"/>
  <c r="W93" i="10"/>
  <c r="V93" i="10"/>
  <c r="U93" i="10"/>
  <c r="AI92" i="10"/>
  <c r="AH92" i="10"/>
  <c r="AG92" i="10"/>
  <c r="AF92" i="10"/>
  <c r="AE92" i="10"/>
  <c r="AD92" i="10"/>
  <c r="AC92" i="10"/>
  <c r="AB92" i="10"/>
  <c r="AA92" i="10"/>
  <c r="Z92" i="10"/>
  <c r="Y92" i="10"/>
  <c r="X92" i="10"/>
  <c r="W92" i="10"/>
  <c r="V92" i="10"/>
  <c r="U92" i="10"/>
  <c r="AI91" i="10"/>
  <c r="AH91" i="10"/>
  <c r="AG91" i="10"/>
  <c r="AF91" i="10"/>
  <c r="AE91" i="10"/>
  <c r="AD91" i="10"/>
  <c r="AC91" i="10"/>
  <c r="AB91" i="10"/>
  <c r="AA91" i="10"/>
  <c r="Z91" i="10"/>
  <c r="Y91" i="10"/>
  <c r="X91" i="10"/>
  <c r="W91" i="10"/>
  <c r="V91" i="10"/>
  <c r="U91" i="10"/>
  <c r="AI90" i="10"/>
  <c r="AH90" i="10"/>
  <c r="AG90" i="10"/>
  <c r="AF90" i="10"/>
  <c r="AE90" i="10"/>
  <c r="AD90" i="10"/>
  <c r="AC90" i="10"/>
  <c r="AB90" i="10"/>
  <c r="AA90" i="10"/>
  <c r="Z90" i="10"/>
  <c r="Y90" i="10"/>
  <c r="X90" i="10"/>
  <c r="W90" i="10"/>
  <c r="V90" i="10"/>
  <c r="U90" i="10"/>
  <c r="AI89" i="10"/>
  <c r="AH89" i="10"/>
  <c r="AG89" i="10"/>
  <c r="AF89" i="10"/>
  <c r="AE89" i="10"/>
  <c r="AD89" i="10"/>
  <c r="AC89" i="10"/>
  <c r="AB89" i="10"/>
  <c r="AA89" i="10"/>
  <c r="Z89" i="10"/>
  <c r="Y89" i="10"/>
  <c r="X89" i="10"/>
  <c r="W89" i="10"/>
  <c r="V89" i="10"/>
  <c r="U89" i="10"/>
  <c r="AI88" i="10"/>
  <c r="AH88" i="10"/>
  <c r="AG88" i="10"/>
  <c r="AF88" i="10"/>
  <c r="AE88" i="10"/>
  <c r="AD88" i="10"/>
  <c r="AC88" i="10"/>
  <c r="AB88" i="10"/>
  <c r="AA88" i="10"/>
  <c r="Z88" i="10"/>
  <c r="Y88" i="10"/>
  <c r="X88" i="10"/>
  <c r="W88" i="10"/>
  <c r="V88" i="10"/>
  <c r="U88" i="10"/>
  <c r="AI87" i="10"/>
  <c r="AH87" i="10"/>
  <c r="AG87" i="10"/>
  <c r="AF87" i="10"/>
  <c r="AE87" i="10"/>
  <c r="AD87" i="10"/>
  <c r="AC87" i="10"/>
  <c r="AB87" i="10"/>
  <c r="AA87" i="10"/>
  <c r="Z87" i="10"/>
  <c r="Y87" i="10"/>
  <c r="X87" i="10"/>
  <c r="W87" i="10"/>
  <c r="V87" i="10"/>
  <c r="U87" i="10"/>
  <c r="AI86" i="10"/>
  <c r="AH86" i="10"/>
  <c r="AG86" i="10"/>
  <c r="AF86" i="10"/>
  <c r="AE86" i="10"/>
  <c r="AD86" i="10"/>
  <c r="AC86" i="10"/>
  <c r="AB86" i="10"/>
  <c r="AA86" i="10"/>
  <c r="Z86" i="10"/>
  <c r="Y86" i="10"/>
  <c r="X86" i="10"/>
  <c r="W86" i="10"/>
  <c r="V86" i="10"/>
  <c r="U86" i="10"/>
  <c r="AI85" i="10"/>
  <c r="AH85" i="10"/>
  <c r="AG85" i="10"/>
  <c r="AF85" i="10"/>
  <c r="AE85" i="10"/>
  <c r="AD85" i="10"/>
  <c r="AC85" i="10"/>
  <c r="AB85" i="10"/>
  <c r="AA85" i="10"/>
  <c r="Z85" i="10"/>
  <c r="Y85" i="10"/>
  <c r="X85" i="10"/>
  <c r="W85" i="10"/>
  <c r="V85" i="10"/>
  <c r="U85" i="10"/>
  <c r="AI84" i="10"/>
  <c r="AH84" i="10"/>
  <c r="AG84" i="10"/>
  <c r="AF84" i="10"/>
  <c r="AE84" i="10"/>
  <c r="AD84" i="10"/>
  <c r="AC84" i="10"/>
  <c r="AB84" i="10"/>
  <c r="AA84" i="10"/>
  <c r="Z84" i="10"/>
  <c r="Y84" i="10"/>
  <c r="X84" i="10"/>
  <c r="W84" i="10"/>
  <c r="V84" i="10"/>
  <c r="U84" i="10"/>
  <c r="AI83" i="10"/>
  <c r="AH83" i="10"/>
  <c r="AG83" i="10"/>
  <c r="AF83" i="10"/>
  <c r="AE83" i="10"/>
  <c r="AD83" i="10"/>
  <c r="AC83" i="10"/>
  <c r="AB83" i="10"/>
  <c r="AA83" i="10"/>
  <c r="Z83" i="10"/>
  <c r="Y83" i="10"/>
  <c r="X83" i="10"/>
  <c r="W83" i="10"/>
  <c r="V83" i="10"/>
  <c r="U83" i="10"/>
  <c r="AI82" i="10"/>
  <c r="AH82" i="10"/>
  <c r="AG82" i="10"/>
  <c r="AF82" i="10"/>
  <c r="AE82" i="10"/>
  <c r="AD82" i="10"/>
  <c r="AC82" i="10"/>
  <c r="AB82" i="10"/>
  <c r="AA82" i="10"/>
  <c r="Z82" i="10"/>
  <c r="Y82" i="10"/>
  <c r="X82" i="10"/>
  <c r="W82" i="10"/>
  <c r="V82" i="10"/>
  <c r="U82" i="10"/>
  <c r="AI81" i="10"/>
  <c r="AH81" i="10"/>
  <c r="AG81" i="10"/>
  <c r="AF81" i="10"/>
  <c r="AE81" i="10"/>
  <c r="AD81" i="10"/>
  <c r="AC81" i="10"/>
  <c r="AB81" i="10"/>
  <c r="AA81" i="10"/>
  <c r="Z81" i="10"/>
  <c r="Y81" i="10"/>
  <c r="X81" i="10"/>
  <c r="W81" i="10"/>
  <c r="V81" i="10"/>
  <c r="U81" i="10"/>
  <c r="AI80" i="10"/>
  <c r="AH80" i="10"/>
  <c r="AG80" i="10"/>
  <c r="AF80" i="10"/>
  <c r="AE80" i="10"/>
  <c r="AD80" i="10"/>
  <c r="AC80" i="10"/>
  <c r="AB80" i="10"/>
  <c r="AA80" i="10"/>
  <c r="Z80" i="10"/>
  <c r="Y80" i="10"/>
  <c r="X80" i="10"/>
  <c r="W80" i="10"/>
  <c r="V80" i="10"/>
  <c r="U80" i="10"/>
  <c r="AI79" i="10"/>
  <c r="AH79" i="10"/>
  <c r="AG79" i="10"/>
  <c r="AF79" i="10"/>
  <c r="AE79" i="10"/>
  <c r="AD79" i="10"/>
  <c r="AC79" i="10"/>
  <c r="AB79" i="10"/>
  <c r="AA79" i="10"/>
  <c r="Z79" i="10"/>
  <c r="Y79" i="10"/>
  <c r="X79" i="10"/>
  <c r="W79" i="10"/>
  <c r="V79" i="10"/>
  <c r="U79" i="10"/>
  <c r="AI78" i="10"/>
  <c r="AH78" i="10"/>
  <c r="AG78" i="10"/>
  <c r="AF78" i="10"/>
  <c r="AE78" i="10"/>
  <c r="AD78" i="10"/>
  <c r="AC78" i="10"/>
  <c r="AB78" i="10"/>
  <c r="AA78" i="10"/>
  <c r="Z78" i="10"/>
  <c r="Y78" i="10"/>
  <c r="X78" i="10"/>
  <c r="W78" i="10"/>
  <c r="V78" i="10"/>
  <c r="U78" i="10"/>
  <c r="AI77" i="10"/>
  <c r="AH77" i="10"/>
  <c r="AG77" i="10"/>
  <c r="AF77" i="10"/>
  <c r="AE77" i="10"/>
  <c r="AD77" i="10"/>
  <c r="AC77" i="10"/>
  <c r="AB77" i="10"/>
  <c r="AA77" i="10"/>
  <c r="Z77" i="10"/>
  <c r="Y77" i="10"/>
  <c r="X77" i="10"/>
  <c r="W77" i="10"/>
  <c r="V77" i="10"/>
  <c r="U77" i="10"/>
  <c r="AI76" i="10"/>
  <c r="AH76" i="10"/>
  <c r="AG76" i="10"/>
  <c r="AF76" i="10"/>
  <c r="AE76" i="10"/>
  <c r="AD76" i="10"/>
  <c r="AC76" i="10"/>
  <c r="AB76" i="10"/>
  <c r="AA76" i="10"/>
  <c r="Z76" i="10"/>
  <c r="Y76" i="10"/>
  <c r="X76" i="10"/>
  <c r="W76" i="10"/>
  <c r="V76" i="10"/>
  <c r="U76" i="10"/>
  <c r="AI75" i="10"/>
  <c r="AH75" i="10"/>
  <c r="AG75" i="10"/>
  <c r="AF75" i="10"/>
  <c r="AE75" i="10"/>
  <c r="AD75" i="10"/>
  <c r="AC75" i="10"/>
  <c r="AB75" i="10"/>
  <c r="AA75" i="10"/>
  <c r="Z75" i="10"/>
  <c r="Y75" i="10"/>
  <c r="X75" i="10"/>
  <c r="W75" i="10"/>
  <c r="V75" i="10"/>
  <c r="U75" i="10"/>
  <c r="AI74" i="10"/>
  <c r="AH74" i="10"/>
  <c r="AG74" i="10"/>
  <c r="AF74" i="10"/>
  <c r="AE74" i="10"/>
  <c r="AD74" i="10"/>
  <c r="AC74" i="10"/>
  <c r="AB74" i="10"/>
  <c r="AA74" i="10"/>
  <c r="Z74" i="10"/>
  <c r="Y74" i="10"/>
  <c r="X74" i="10"/>
  <c r="W74" i="10"/>
  <c r="V74" i="10"/>
  <c r="U74" i="10"/>
  <c r="AI73" i="10"/>
  <c r="AH73" i="10"/>
  <c r="AG73" i="10"/>
  <c r="AF73" i="10"/>
  <c r="AE73" i="10"/>
  <c r="AD73" i="10"/>
  <c r="AC73" i="10"/>
  <c r="AB73" i="10"/>
  <c r="AA73" i="10"/>
  <c r="Z73" i="10"/>
  <c r="Y73" i="10"/>
  <c r="X73" i="10"/>
  <c r="W73" i="10"/>
  <c r="V73" i="10"/>
  <c r="U73" i="10"/>
  <c r="AI72" i="10"/>
  <c r="AH72" i="10"/>
  <c r="AG72" i="10"/>
  <c r="AF72" i="10"/>
  <c r="AE72" i="10"/>
  <c r="AD72" i="10"/>
  <c r="AC72" i="10"/>
  <c r="AB72" i="10"/>
  <c r="AA72" i="10"/>
  <c r="Z72" i="10"/>
  <c r="Y72" i="10"/>
  <c r="X72" i="10"/>
  <c r="W72" i="10"/>
  <c r="V72" i="10"/>
  <c r="U72" i="10"/>
  <c r="AI71" i="10"/>
  <c r="AH71" i="10"/>
  <c r="AG71" i="10"/>
  <c r="AF71" i="10"/>
  <c r="AE71" i="10"/>
  <c r="AD71" i="10"/>
  <c r="AC71" i="10"/>
  <c r="AB71" i="10"/>
  <c r="AA71" i="10"/>
  <c r="Z71" i="10"/>
  <c r="Y71" i="10"/>
  <c r="X71" i="10"/>
  <c r="W71" i="10"/>
  <c r="V71" i="10"/>
  <c r="U71" i="10"/>
  <c r="AI70" i="10"/>
  <c r="AH70" i="10"/>
  <c r="AG70" i="10"/>
  <c r="AF70" i="10"/>
  <c r="AE70" i="10"/>
  <c r="AD70" i="10"/>
  <c r="AC70" i="10"/>
  <c r="AB70" i="10"/>
  <c r="AA70" i="10"/>
  <c r="Z70" i="10"/>
  <c r="Y70" i="10"/>
  <c r="X70" i="10"/>
  <c r="W70" i="10"/>
  <c r="V70" i="10"/>
  <c r="U70" i="10"/>
  <c r="AI69" i="10"/>
  <c r="AH69" i="10"/>
  <c r="AG69" i="10"/>
  <c r="AF69" i="10"/>
  <c r="AE69" i="10"/>
  <c r="AD69" i="10"/>
  <c r="AC69" i="10"/>
  <c r="AB69" i="10"/>
  <c r="AA69" i="10"/>
  <c r="Z69" i="10"/>
  <c r="Y69" i="10"/>
  <c r="X69" i="10"/>
  <c r="W69" i="10"/>
  <c r="V69" i="10"/>
  <c r="U69" i="10"/>
  <c r="AI68" i="10"/>
  <c r="AH68" i="10"/>
  <c r="AG68" i="10"/>
  <c r="AF68" i="10"/>
  <c r="AE68" i="10"/>
  <c r="AD68" i="10"/>
  <c r="AC68" i="10"/>
  <c r="AB68" i="10"/>
  <c r="AA68" i="10"/>
  <c r="Z68" i="10"/>
  <c r="Y68" i="10"/>
  <c r="X68" i="10"/>
  <c r="W68" i="10"/>
  <c r="V68" i="10"/>
  <c r="U68" i="10"/>
  <c r="AI67" i="10"/>
  <c r="AH67" i="10"/>
  <c r="AG67" i="10"/>
  <c r="AF67" i="10"/>
  <c r="AE67" i="10"/>
  <c r="AD67" i="10"/>
  <c r="AC67" i="10"/>
  <c r="AB67" i="10"/>
  <c r="AA67" i="10"/>
  <c r="Z67" i="10"/>
  <c r="Y67" i="10"/>
  <c r="X67" i="10"/>
  <c r="W67" i="10"/>
  <c r="V67" i="10"/>
  <c r="U67" i="10"/>
  <c r="AI66" i="10"/>
  <c r="AH66" i="10"/>
  <c r="AG66" i="10"/>
  <c r="AF66" i="10"/>
  <c r="AE66" i="10"/>
  <c r="AD66" i="10"/>
  <c r="AC66" i="10"/>
  <c r="AB66" i="10"/>
  <c r="AA66" i="10"/>
  <c r="Z66" i="10"/>
  <c r="Y66" i="10"/>
  <c r="X66" i="10"/>
  <c r="W66" i="10"/>
  <c r="V66" i="10"/>
  <c r="U66" i="10"/>
  <c r="AI65" i="10"/>
  <c r="AH65" i="10"/>
  <c r="AG65" i="10"/>
  <c r="AF65" i="10"/>
  <c r="AE65" i="10"/>
  <c r="AD65" i="10"/>
  <c r="AC65" i="10"/>
  <c r="AB65" i="10"/>
  <c r="AA65" i="10"/>
  <c r="Z65" i="10"/>
  <c r="Y65" i="10"/>
  <c r="X65" i="10"/>
  <c r="W65" i="10"/>
  <c r="V65" i="10"/>
  <c r="U65" i="10"/>
  <c r="AI64" i="10"/>
  <c r="AH64" i="10"/>
  <c r="AG64" i="10"/>
  <c r="AF64" i="10"/>
  <c r="AE64" i="10"/>
  <c r="AD64" i="10"/>
  <c r="AC64" i="10"/>
  <c r="AB64" i="10"/>
  <c r="AA64" i="10"/>
  <c r="Z64" i="10"/>
  <c r="Y64" i="10"/>
  <c r="X64" i="10"/>
  <c r="W64" i="10"/>
  <c r="V64" i="10"/>
  <c r="U64" i="10"/>
  <c r="AI63" i="10"/>
  <c r="AH63" i="10"/>
  <c r="AG63" i="10"/>
  <c r="AF63" i="10"/>
  <c r="AE63" i="10"/>
  <c r="AD63" i="10"/>
  <c r="AC63" i="10"/>
  <c r="AB63" i="10"/>
  <c r="AA63" i="10"/>
  <c r="Z63" i="10"/>
  <c r="Y63" i="10"/>
  <c r="X63" i="10"/>
  <c r="W63" i="10"/>
  <c r="V63" i="10"/>
  <c r="U63" i="10"/>
  <c r="AI62" i="10"/>
  <c r="AH62" i="10"/>
  <c r="AG62" i="10"/>
  <c r="AF62" i="10"/>
  <c r="AE62" i="10"/>
  <c r="AD62" i="10"/>
  <c r="AC62" i="10"/>
  <c r="AB62" i="10"/>
  <c r="AA62" i="10"/>
  <c r="Z62" i="10"/>
  <c r="Y62" i="10"/>
  <c r="X62" i="10"/>
  <c r="W62" i="10"/>
  <c r="V62" i="10"/>
  <c r="U62" i="10"/>
  <c r="AI61" i="10"/>
  <c r="AH61" i="10"/>
  <c r="AG61" i="10"/>
  <c r="AF61" i="10"/>
  <c r="AE61" i="10"/>
  <c r="AD61" i="10"/>
  <c r="AC61" i="10"/>
  <c r="AB61" i="10"/>
  <c r="AA61" i="10"/>
  <c r="Z61" i="10"/>
  <c r="Y61" i="10"/>
  <c r="X61" i="10"/>
  <c r="W61" i="10"/>
  <c r="V61" i="10"/>
  <c r="U61" i="10"/>
  <c r="AI60" i="10"/>
  <c r="AH60" i="10"/>
  <c r="AG60" i="10"/>
  <c r="AF60" i="10"/>
  <c r="AE60" i="10"/>
  <c r="AD60" i="10"/>
  <c r="AC60" i="10"/>
  <c r="AB60" i="10"/>
  <c r="AA60" i="10"/>
  <c r="Z60" i="10"/>
  <c r="Y60" i="10"/>
  <c r="X60" i="10"/>
  <c r="W60" i="10"/>
  <c r="V60" i="10"/>
  <c r="U60" i="10"/>
  <c r="AI59" i="10"/>
  <c r="AH59" i="10"/>
  <c r="AG59" i="10"/>
  <c r="AF59" i="10"/>
  <c r="AE59" i="10"/>
  <c r="AD59" i="10"/>
  <c r="AC59" i="10"/>
  <c r="AB59" i="10"/>
  <c r="AA59" i="10"/>
  <c r="Z59" i="10"/>
  <c r="Y59" i="10"/>
  <c r="X59" i="10"/>
  <c r="W59" i="10"/>
  <c r="V59" i="10"/>
  <c r="U59" i="10"/>
  <c r="AI58" i="10"/>
  <c r="AH58" i="10"/>
  <c r="AG58" i="10"/>
  <c r="AF58" i="10"/>
  <c r="AE58" i="10"/>
  <c r="AD58" i="10"/>
  <c r="AC58" i="10"/>
  <c r="AB58" i="10"/>
  <c r="AA58" i="10"/>
  <c r="Z58" i="10"/>
  <c r="Y58" i="10"/>
  <c r="X58" i="10"/>
  <c r="W58" i="10"/>
  <c r="V58" i="10"/>
  <c r="U58" i="10"/>
  <c r="AI57" i="10"/>
  <c r="AH57" i="10"/>
  <c r="AG57" i="10"/>
  <c r="AF57" i="10"/>
  <c r="AE57" i="10"/>
  <c r="AD57" i="10"/>
  <c r="AC57" i="10"/>
  <c r="AB57" i="10"/>
  <c r="AA57" i="10"/>
  <c r="Z57" i="10"/>
  <c r="Y57" i="10"/>
  <c r="X57" i="10"/>
  <c r="W57" i="10"/>
  <c r="V57" i="10"/>
  <c r="U57" i="10"/>
  <c r="AI56" i="10"/>
  <c r="AH56" i="10"/>
  <c r="AG56" i="10"/>
  <c r="AF56" i="10"/>
  <c r="AE56" i="10"/>
  <c r="AD56" i="10"/>
  <c r="AC56" i="10"/>
  <c r="AB56" i="10"/>
  <c r="AA56" i="10"/>
  <c r="Z56" i="10"/>
  <c r="Y56" i="10"/>
  <c r="X56" i="10"/>
  <c r="W56" i="10"/>
  <c r="V56" i="10"/>
  <c r="U56" i="10"/>
  <c r="AI55" i="10"/>
  <c r="AH55" i="10"/>
  <c r="AG55" i="10"/>
  <c r="AF55" i="10"/>
  <c r="AE55" i="10"/>
  <c r="AD55" i="10"/>
  <c r="AC55" i="10"/>
  <c r="AB55" i="10"/>
  <c r="AA55" i="10"/>
  <c r="Z55" i="10"/>
  <c r="Y55" i="10"/>
  <c r="X55" i="10"/>
  <c r="W55" i="10"/>
  <c r="V55" i="10"/>
  <c r="U55" i="10"/>
  <c r="AI54" i="10"/>
  <c r="AH54" i="10"/>
  <c r="AG54" i="10"/>
  <c r="AF54" i="10"/>
  <c r="AE54" i="10"/>
  <c r="AD54" i="10"/>
  <c r="AC54" i="10"/>
  <c r="AB54" i="10"/>
  <c r="AA54" i="10"/>
  <c r="Z54" i="10"/>
  <c r="Y54" i="10"/>
  <c r="X54" i="10"/>
  <c r="W54" i="10"/>
  <c r="V54" i="10"/>
  <c r="U54" i="10"/>
  <c r="AI53" i="10"/>
  <c r="AH53" i="10"/>
  <c r="AG53" i="10"/>
  <c r="AF53" i="10"/>
  <c r="AE53" i="10"/>
  <c r="AD53" i="10"/>
  <c r="AC53" i="10"/>
  <c r="AB53" i="10"/>
  <c r="AA53" i="10"/>
  <c r="Z53" i="10"/>
  <c r="Y53" i="10"/>
  <c r="X53" i="10"/>
  <c r="W53" i="10"/>
  <c r="V53" i="10"/>
  <c r="U53" i="10"/>
  <c r="AI52" i="10"/>
  <c r="AH52" i="10"/>
  <c r="AG52" i="10"/>
  <c r="AF52" i="10"/>
  <c r="AE52" i="10"/>
  <c r="AD52" i="10"/>
  <c r="AC52" i="10"/>
  <c r="AB52" i="10"/>
  <c r="AA52" i="10"/>
  <c r="Z52" i="10"/>
  <c r="Y52" i="10"/>
  <c r="X52" i="10"/>
  <c r="W52" i="10"/>
  <c r="V52" i="10"/>
  <c r="U52" i="10"/>
  <c r="AI51" i="10"/>
  <c r="AH51" i="10"/>
  <c r="AG51" i="10"/>
  <c r="AF51" i="10"/>
  <c r="AE51" i="10"/>
  <c r="AD51" i="10"/>
  <c r="AC51" i="10"/>
  <c r="AB51" i="10"/>
  <c r="AA51" i="10"/>
  <c r="Z51" i="10"/>
  <c r="Y51" i="10"/>
  <c r="X51" i="10"/>
  <c r="W51" i="10"/>
  <c r="V51" i="10"/>
  <c r="U51" i="10"/>
  <c r="AI50" i="10"/>
  <c r="AH50" i="10"/>
  <c r="AG50" i="10"/>
  <c r="AF50" i="10"/>
  <c r="AE50" i="10"/>
  <c r="AD50" i="10"/>
  <c r="AC50" i="10"/>
  <c r="AB50" i="10"/>
  <c r="AA50" i="10"/>
  <c r="Z50" i="10"/>
  <c r="Y50" i="10"/>
  <c r="X50" i="10"/>
  <c r="W50" i="10"/>
  <c r="V50" i="10"/>
  <c r="U50" i="10"/>
  <c r="AI49" i="10"/>
  <c r="AH49" i="10"/>
  <c r="AG49" i="10"/>
  <c r="AF49" i="10"/>
  <c r="AE49" i="10"/>
  <c r="AD49" i="10"/>
  <c r="AC49" i="10"/>
  <c r="AB49" i="10"/>
  <c r="AA49" i="10"/>
  <c r="Z49" i="10"/>
  <c r="Y49" i="10"/>
  <c r="X49" i="10"/>
  <c r="W49" i="10"/>
  <c r="V49" i="10"/>
  <c r="U49" i="10"/>
  <c r="AI48" i="10"/>
  <c r="AH48" i="10"/>
  <c r="AG48" i="10"/>
  <c r="AF48" i="10"/>
  <c r="AE48" i="10"/>
  <c r="AD48" i="10"/>
  <c r="AC48" i="10"/>
  <c r="AB48" i="10"/>
  <c r="AA48" i="10"/>
  <c r="Z48" i="10"/>
  <c r="Y48" i="10"/>
  <c r="X48" i="10"/>
  <c r="W48" i="10"/>
  <c r="V48" i="10"/>
  <c r="U48" i="10"/>
  <c r="AI47" i="10"/>
  <c r="AH47" i="10"/>
  <c r="AG47" i="10"/>
  <c r="AF47" i="10"/>
  <c r="AE47" i="10"/>
  <c r="AD47" i="10"/>
  <c r="AC47" i="10"/>
  <c r="AB47" i="10"/>
  <c r="AA47" i="10"/>
  <c r="Z47" i="10"/>
  <c r="Y47" i="10"/>
  <c r="X47" i="10"/>
  <c r="W47" i="10"/>
  <c r="V47" i="10"/>
  <c r="U47" i="10"/>
  <c r="AI46" i="10"/>
  <c r="AH46" i="10"/>
  <c r="AG46" i="10"/>
  <c r="AF46" i="10"/>
  <c r="AE46" i="10"/>
  <c r="AD46" i="10"/>
  <c r="AC46" i="10"/>
  <c r="AB46" i="10"/>
  <c r="AA46" i="10"/>
  <c r="Z46" i="10"/>
  <c r="Y46" i="10"/>
  <c r="X46" i="10"/>
  <c r="W46" i="10"/>
  <c r="V46" i="10"/>
  <c r="U46" i="10"/>
  <c r="AI45" i="10"/>
  <c r="AH45" i="10"/>
  <c r="AG45" i="10"/>
  <c r="AF45" i="10"/>
  <c r="AE45" i="10"/>
  <c r="AD45" i="10"/>
  <c r="AC45" i="10"/>
  <c r="AB45" i="10"/>
  <c r="AA45" i="10"/>
  <c r="Z45" i="10"/>
  <c r="Y45" i="10"/>
  <c r="X45" i="10"/>
  <c r="W45" i="10"/>
  <c r="V45" i="10"/>
  <c r="U45" i="10"/>
  <c r="AI44" i="10"/>
  <c r="AH44" i="10"/>
  <c r="AG44" i="10"/>
  <c r="AF44" i="10"/>
  <c r="AE44" i="10"/>
  <c r="AD44" i="10"/>
  <c r="AC44" i="10"/>
  <c r="AB44" i="10"/>
  <c r="AA44" i="10"/>
  <c r="Z44" i="10"/>
  <c r="Y44" i="10"/>
  <c r="X44" i="10"/>
  <c r="W44" i="10"/>
  <c r="V44" i="10"/>
  <c r="U44" i="10"/>
  <c r="AI43" i="10"/>
  <c r="AH43" i="10"/>
  <c r="AG43" i="10"/>
  <c r="AF43" i="10"/>
  <c r="AE43" i="10"/>
  <c r="AD43" i="10"/>
  <c r="AC43" i="10"/>
  <c r="AB43" i="10"/>
  <c r="AA43" i="10"/>
  <c r="Z43" i="10"/>
  <c r="Y43" i="10"/>
  <c r="X43" i="10"/>
  <c r="W43" i="10"/>
  <c r="V43" i="10"/>
  <c r="U43" i="10"/>
  <c r="AI42" i="10"/>
  <c r="AH42" i="10"/>
  <c r="AG42" i="10"/>
  <c r="AF42" i="10"/>
  <c r="AE42" i="10"/>
  <c r="AD42" i="10"/>
  <c r="AC42" i="10"/>
  <c r="AB42" i="10"/>
  <c r="AA42" i="10"/>
  <c r="Z42" i="10"/>
  <c r="Y42" i="10"/>
  <c r="X42" i="10"/>
  <c r="W42" i="10"/>
  <c r="V42" i="10"/>
  <c r="U42" i="10"/>
  <c r="AI41" i="10"/>
  <c r="AH41" i="10"/>
  <c r="AG41" i="10"/>
  <c r="AF41" i="10"/>
  <c r="AE41" i="10"/>
  <c r="AD41" i="10"/>
  <c r="AC41" i="10"/>
  <c r="AB41" i="10"/>
  <c r="AA41" i="10"/>
  <c r="Z41" i="10"/>
  <c r="Y41" i="10"/>
  <c r="X41" i="10"/>
  <c r="W41" i="10"/>
  <c r="V41" i="10"/>
  <c r="U41" i="10"/>
  <c r="AI40" i="10"/>
  <c r="AH40" i="10"/>
  <c r="AG40" i="10"/>
  <c r="AF40" i="10"/>
  <c r="AE40" i="10"/>
  <c r="AD40" i="10"/>
  <c r="AC40" i="10"/>
  <c r="AB40" i="10"/>
  <c r="AA40" i="10"/>
  <c r="Z40" i="10"/>
  <c r="Y40" i="10"/>
  <c r="X40" i="10"/>
  <c r="W40" i="10"/>
  <c r="V40" i="10"/>
  <c r="U40" i="10"/>
  <c r="AI39" i="10"/>
  <c r="AH39" i="10"/>
  <c r="AG39" i="10"/>
  <c r="AF39" i="10"/>
  <c r="AE39" i="10"/>
  <c r="AD39" i="10"/>
  <c r="AC39" i="10"/>
  <c r="AB39" i="10"/>
  <c r="AA39" i="10"/>
  <c r="Z39" i="10"/>
  <c r="Y39" i="10"/>
  <c r="X39" i="10"/>
  <c r="W39" i="10"/>
  <c r="V39" i="10"/>
  <c r="U39" i="10"/>
  <c r="AI38" i="10"/>
  <c r="AH38" i="10"/>
  <c r="AG38" i="10"/>
  <c r="AF38" i="10"/>
  <c r="AE38" i="10"/>
  <c r="AD38" i="10"/>
  <c r="AC38" i="10"/>
  <c r="AB38" i="10"/>
  <c r="AA38" i="10"/>
  <c r="Z38" i="10"/>
  <c r="Y38" i="10"/>
  <c r="X38" i="10"/>
  <c r="W38" i="10"/>
  <c r="V38" i="10"/>
  <c r="U38" i="10"/>
  <c r="AI37" i="10"/>
  <c r="AH37" i="10"/>
  <c r="AG37" i="10"/>
  <c r="AF37" i="10"/>
  <c r="AE37" i="10"/>
  <c r="AD37" i="10"/>
  <c r="AC37" i="10"/>
  <c r="AB37" i="10"/>
  <c r="AA37" i="10"/>
  <c r="Z37" i="10"/>
  <c r="Y37" i="10"/>
  <c r="X37" i="10"/>
  <c r="W37" i="10"/>
  <c r="V37" i="10"/>
  <c r="U37" i="10"/>
  <c r="AI36" i="10"/>
  <c r="AH36" i="10"/>
  <c r="AG36" i="10"/>
  <c r="AF36" i="10"/>
  <c r="AE36" i="10"/>
  <c r="AD36" i="10"/>
  <c r="AC36" i="10"/>
  <c r="AB36" i="10"/>
  <c r="AA36" i="10"/>
  <c r="Z36" i="10"/>
  <c r="Y36" i="10"/>
  <c r="X36" i="10"/>
  <c r="W36" i="10"/>
  <c r="V36" i="10"/>
  <c r="U36" i="10"/>
  <c r="AI35" i="10"/>
  <c r="AH35" i="10"/>
  <c r="AG35" i="10"/>
  <c r="AF35" i="10"/>
  <c r="AE35" i="10"/>
  <c r="AD35" i="10"/>
  <c r="AC35" i="10"/>
  <c r="AB35" i="10"/>
  <c r="AA35" i="10"/>
  <c r="Z35" i="10"/>
  <c r="Y35" i="10"/>
  <c r="X35" i="10"/>
  <c r="W35" i="10"/>
  <c r="V35" i="10"/>
  <c r="U35" i="10"/>
  <c r="AI34" i="10"/>
  <c r="AH34" i="10"/>
  <c r="AG34" i="10"/>
  <c r="AF34" i="10"/>
  <c r="AE34" i="10"/>
  <c r="AD34" i="10"/>
  <c r="AC34" i="10"/>
  <c r="AB34" i="10"/>
  <c r="AA34" i="10"/>
  <c r="Z34" i="10"/>
  <c r="Y34" i="10"/>
  <c r="X34" i="10"/>
  <c r="W34" i="10"/>
  <c r="V34" i="10"/>
  <c r="U34" i="10"/>
  <c r="AI33" i="10"/>
  <c r="AH33" i="10"/>
  <c r="AG33" i="10"/>
  <c r="AF33" i="10"/>
  <c r="AE33" i="10"/>
  <c r="AD33" i="10"/>
  <c r="AC33" i="10"/>
  <c r="AB33" i="10"/>
  <c r="AA33" i="10"/>
  <c r="Z33" i="10"/>
  <c r="Y33" i="10"/>
  <c r="X33" i="10"/>
  <c r="W33" i="10"/>
  <c r="V33" i="10"/>
  <c r="U33" i="10"/>
  <c r="AI32" i="10"/>
  <c r="AH32" i="10"/>
  <c r="AG32" i="10"/>
  <c r="AF32" i="10"/>
  <c r="AE32" i="10"/>
  <c r="AD32" i="10"/>
  <c r="AC32" i="10"/>
  <c r="AB32" i="10"/>
  <c r="AA32" i="10"/>
  <c r="Z32" i="10"/>
  <c r="Y32" i="10"/>
  <c r="X32" i="10"/>
  <c r="W32" i="10"/>
  <c r="V32" i="10"/>
  <c r="U32" i="10"/>
  <c r="AI31" i="10"/>
  <c r="AH31" i="10"/>
  <c r="AG31" i="10"/>
  <c r="AF31" i="10"/>
  <c r="AE31" i="10"/>
  <c r="AD31" i="10"/>
  <c r="AC31" i="10"/>
  <c r="AB31" i="10"/>
  <c r="AA31" i="10"/>
  <c r="Z31" i="10"/>
  <c r="Y31" i="10"/>
  <c r="X31" i="10"/>
  <c r="W31" i="10"/>
  <c r="V31" i="10"/>
  <c r="U31" i="10"/>
  <c r="AI30" i="10"/>
  <c r="AH30" i="10"/>
  <c r="AG30" i="10"/>
  <c r="AF30" i="10"/>
  <c r="AE30" i="10"/>
  <c r="AD30" i="10"/>
  <c r="AC30" i="10"/>
  <c r="AB30" i="10"/>
  <c r="AA30" i="10"/>
  <c r="Z30" i="10"/>
  <c r="Y30" i="10"/>
  <c r="X30" i="10"/>
  <c r="W30" i="10"/>
  <c r="V30" i="10"/>
  <c r="U30" i="10"/>
  <c r="AI29" i="10"/>
  <c r="AH29" i="10"/>
  <c r="AG29" i="10"/>
  <c r="AF29" i="10"/>
  <c r="AE29" i="10"/>
  <c r="AD29" i="10"/>
  <c r="AC29" i="10"/>
  <c r="AB29" i="10"/>
  <c r="AA29" i="10"/>
  <c r="Z29" i="10"/>
  <c r="Y29" i="10"/>
  <c r="X29" i="10"/>
  <c r="W29" i="10"/>
  <c r="V29" i="10"/>
  <c r="U29" i="10"/>
  <c r="AI28" i="10"/>
  <c r="AH28" i="10"/>
  <c r="AG28" i="10"/>
  <c r="AF28" i="10"/>
  <c r="AE28" i="10"/>
  <c r="AD28" i="10"/>
  <c r="AC28" i="10"/>
  <c r="AB28" i="10"/>
  <c r="AA28" i="10"/>
  <c r="Z28" i="10"/>
  <c r="Y28" i="10"/>
  <c r="X28" i="10"/>
  <c r="W28" i="10"/>
  <c r="V28" i="10"/>
  <c r="U28" i="10"/>
  <c r="AI27" i="10"/>
  <c r="AH27" i="10"/>
  <c r="AG27" i="10"/>
  <c r="AF27" i="10"/>
  <c r="AE27" i="10"/>
  <c r="AD27" i="10"/>
  <c r="AC27" i="10"/>
  <c r="AB27" i="10"/>
  <c r="AA27" i="10"/>
  <c r="Z27" i="10"/>
  <c r="Y27" i="10"/>
  <c r="X27" i="10"/>
  <c r="W27" i="10"/>
  <c r="V27" i="10"/>
  <c r="U27" i="10"/>
  <c r="AI26" i="10"/>
  <c r="AH26" i="10"/>
  <c r="AG26" i="10"/>
  <c r="AF26" i="10"/>
  <c r="AE26" i="10"/>
  <c r="AD26" i="10"/>
  <c r="AC26" i="10"/>
  <c r="AB26" i="10"/>
  <c r="AA26" i="10"/>
  <c r="Z26" i="10"/>
  <c r="Y26" i="10"/>
  <c r="X26" i="10"/>
  <c r="W26" i="10"/>
  <c r="V26" i="10"/>
  <c r="U26" i="10"/>
  <c r="AI25" i="10"/>
  <c r="AH25" i="10"/>
  <c r="AG25" i="10"/>
  <c r="AF25" i="10"/>
  <c r="AE25" i="10"/>
  <c r="AD25" i="10"/>
  <c r="AC25" i="10"/>
  <c r="AB25" i="10"/>
  <c r="AA25" i="10"/>
  <c r="Z25" i="10"/>
  <c r="Y25" i="10"/>
  <c r="X25" i="10"/>
  <c r="W25" i="10"/>
  <c r="V25" i="10"/>
  <c r="U25" i="10"/>
  <c r="AI24" i="10"/>
  <c r="AH24" i="10"/>
  <c r="AG24" i="10"/>
  <c r="AF24" i="10"/>
  <c r="AE24" i="10"/>
  <c r="AD24" i="10"/>
  <c r="AC24" i="10"/>
  <c r="AB24" i="10"/>
  <c r="AA24" i="10"/>
  <c r="Z24" i="10"/>
  <c r="Y24" i="10"/>
  <c r="X24" i="10"/>
  <c r="W24" i="10"/>
  <c r="V24" i="10"/>
  <c r="U24" i="10"/>
  <c r="AI23" i="10"/>
  <c r="AH23" i="10"/>
  <c r="AG23" i="10"/>
  <c r="AF23" i="10"/>
  <c r="AE23" i="10"/>
  <c r="AD23" i="10"/>
  <c r="AC23" i="10"/>
  <c r="AB23" i="10"/>
  <c r="AA23" i="10"/>
  <c r="Z23" i="10"/>
  <c r="Y23" i="10"/>
  <c r="X23" i="10"/>
  <c r="W23" i="10"/>
  <c r="V23" i="10"/>
  <c r="U23" i="10"/>
  <c r="AI22" i="10"/>
  <c r="AH22" i="10"/>
  <c r="AG22" i="10"/>
  <c r="AF22" i="10"/>
  <c r="AE22" i="10"/>
  <c r="AD22" i="10"/>
  <c r="AC22" i="10"/>
  <c r="AB22" i="10"/>
  <c r="AA22" i="10"/>
  <c r="Z22" i="10"/>
  <c r="Y22" i="10"/>
  <c r="X22" i="10"/>
  <c r="W22" i="10"/>
  <c r="V22" i="10"/>
  <c r="U22" i="10"/>
  <c r="AI21" i="10"/>
  <c r="AH21" i="10"/>
  <c r="AG21" i="10"/>
  <c r="AF21" i="10"/>
  <c r="AE21" i="10"/>
  <c r="AD21" i="10"/>
  <c r="AC21" i="10"/>
  <c r="AB21" i="10"/>
  <c r="AA21" i="10"/>
  <c r="Z21" i="10"/>
  <c r="Y21" i="10"/>
  <c r="X21" i="10"/>
  <c r="W21" i="10"/>
  <c r="V21" i="10"/>
  <c r="U21" i="10"/>
  <c r="AI20" i="10"/>
  <c r="AH20" i="10"/>
  <c r="AG20" i="10"/>
  <c r="AF20" i="10"/>
  <c r="AE20" i="10"/>
  <c r="AD20" i="10"/>
  <c r="AC20" i="10"/>
  <c r="AB20" i="10"/>
  <c r="AA20" i="10"/>
  <c r="Z20" i="10"/>
  <c r="Y20" i="10"/>
  <c r="X20" i="10"/>
  <c r="W20" i="10"/>
  <c r="V20" i="10"/>
  <c r="U20" i="10"/>
  <c r="AI19" i="10"/>
  <c r="AH19" i="10"/>
  <c r="AG19" i="10"/>
  <c r="AF19" i="10"/>
  <c r="AE19" i="10"/>
  <c r="AD19" i="10"/>
  <c r="AC19" i="10"/>
  <c r="AB19" i="10"/>
  <c r="AA19" i="10"/>
  <c r="Z19" i="10"/>
  <c r="Y19" i="10"/>
  <c r="X19" i="10"/>
  <c r="W19" i="10"/>
  <c r="V19" i="10"/>
  <c r="U19" i="10"/>
  <c r="AI18" i="10"/>
  <c r="AH18" i="10"/>
  <c r="AG18" i="10"/>
  <c r="AF18" i="10"/>
  <c r="AE18" i="10"/>
  <c r="AD18" i="10"/>
  <c r="AC18" i="10"/>
  <c r="AB18" i="10"/>
  <c r="AA18" i="10"/>
  <c r="Z18" i="10"/>
  <c r="Y18" i="10"/>
  <c r="X18" i="10"/>
  <c r="W18" i="10"/>
  <c r="V18" i="10"/>
  <c r="U18" i="10"/>
  <c r="AI17" i="10"/>
  <c r="AH17" i="10"/>
  <c r="AG17" i="10"/>
  <c r="AF17" i="10"/>
  <c r="AE17" i="10"/>
  <c r="AD17" i="10"/>
  <c r="AC17" i="10"/>
  <c r="AB17" i="10"/>
  <c r="AA17" i="10"/>
  <c r="Z17" i="10"/>
  <c r="Y17" i="10"/>
  <c r="X17" i="10"/>
  <c r="W17" i="10"/>
  <c r="V17" i="10"/>
  <c r="U17" i="10"/>
  <c r="AI16" i="10"/>
  <c r="AH16" i="10"/>
  <c r="AG16" i="10"/>
  <c r="AF16" i="10"/>
  <c r="AE16" i="10"/>
  <c r="AD16" i="10"/>
  <c r="AC16" i="10"/>
  <c r="AB16" i="10"/>
  <c r="AA16" i="10"/>
  <c r="Z16" i="10"/>
  <c r="Y16" i="10"/>
  <c r="X16" i="10"/>
  <c r="W16" i="10"/>
  <c r="V16" i="10"/>
  <c r="U16" i="10"/>
  <c r="AI15" i="10"/>
  <c r="AH15" i="10"/>
  <c r="AG15" i="10"/>
  <c r="AF15" i="10"/>
  <c r="AE15" i="10"/>
  <c r="AD15" i="10"/>
  <c r="AC15" i="10"/>
  <c r="AB15" i="10"/>
  <c r="AA15" i="10"/>
  <c r="Z15" i="10"/>
  <c r="Y15" i="10"/>
  <c r="X15" i="10"/>
  <c r="W15" i="10"/>
  <c r="V15" i="10"/>
  <c r="U15" i="10"/>
  <c r="AI14" i="10"/>
  <c r="AH14" i="10"/>
  <c r="AG14" i="10"/>
  <c r="AF14" i="10"/>
  <c r="AE14" i="10"/>
  <c r="AD14" i="10"/>
  <c r="AC14" i="10"/>
  <c r="AB14" i="10"/>
  <c r="AA14" i="10"/>
  <c r="Z14" i="10"/>
  <c r="Y14" i="10"/>
  <c r="X14" i="10"/>
  <c r="W14" i="10"/>
  <c r="V14" i="10"/>
  <c r="U14" i="10"/>
  <c r="AI13" i="10"/>
  <c r="AH13" i="10"/>
  <c r="AG13" i="10"/>
  <c r="AF13" i="10"/>
  <c r="AE13" i="10"/>
  <c r="AD13" i="10"/>
  <c r="AC13" i="10"/>
  <c r="AB13" i="10"/>
  <c r="AA13" i="10"/>
  <c r="Z13" i="10"/>
  <c r="Y13" i="10"/>
  <c r="X13" i="10"/>
  <c r="W13" i="10"/>
  <c r="V13" i="10"/>
  <c r="U13" i="10"/>
  <c r="AI12" i="10"/>
  <c r="AH12" i="10"/>
  <c r="AG12" i="10"/>
  <c r="AF12" i="10"/>
  <c r="AE12" i="10"/>
  <c r="AD12" i="10"/>
  <c r="AC12" i="10"/>
  <c r="AB12" i="10"/>
  <c r="AA12" i="10"/>
  <c r="Z12" i="10"/>
  <c r="Y12" i="10"/>
  <c r="X12" i="10"/>
  <c r="W12" i="10"/>
  <c r="V12" i="10"/>
  <c r="U12" i="10"/>
  <c r="AI11" i="10"/>
  <c r="AH11" i="10"/>
  <c r="AG11" i="10"/>
  <c r="AF11" i="10"/>
  <c r="AE11" i="10"/>
  <c r="AD11" i="10"/>
  <c r="AC11" i="10"/>
  <c r="AB11" i="10"/>
  <c r="AA11" i="10"/>
  <c r="Z11" i="10"/>
  <c r="Y11" i="10"/>
  <c r="X11" i="10"/>
  <c r="W11" i="10"/>
  <c r="V11" i="10"/>
  <c r="U11" i="10"/>
  <c r="AI10" i="10"/>
  <c r="AH10" i="10"/>
  <c r="AG10" i="10"/>
  <c r="AF10" i="10"/>
  <c r="AE10" i="10"/>
  <c r="AD10" i="10"/>
  <c r="AC10" i="10"/>
  <c r="AB10" i="10"/>
  <c r="AA10" i="10"/>
  <c r="Z10" i="10"/>
  <c r="Y10" i="10"/>
  <c r="X10" i="10"/>
  <c r="W10" i="10"/>
  <c r="V10" i="10"/>
  <c r="U10" i="10"/>
  <c r="AI9" i="10"/>
  <c r="AH9" i="10"/>
  <c r="AG9" i="10"/>
  <c r="AF9" i="10"/>
  <c r="AE9" i="10"/>
  <c r="AD9" i="10"/>
  <c r="AC9" i="10"/>
  <c r="AB9" i="10"/>
  <c r="AA9" i="10"/>
  <c r="Z9" i="10"/>
  <c r="Y9" i="10"/>
  <c r="X9" i="10"/>
  <c r="W9" i="10"/>
  <c r="V9" i="10"/>
  <c r="U9" i="10"/>
  <c r="AI8" i="10"/>
  <c r="AH8" i="10"/>
  <c r="AG8" i="10"/>
  <c r="AF8" i="10"/>
  <c r="AE8" i="10"/>
  <c r="AD8" i="10"/>
  <c r="AC8" i="10"/>
  <c r="AB8" i="10"/>
  <c r="AA8" i="10"/>
  <c r="Z8" i="10"/>
  <c r="Y8" i="10"/>
  <c r="X8" i="10"/>
  <c r="W8" i="10"/>
  <c r="V8" i="10"/>
  <c r="U8" i="10"/>
  <c r="AI7" i="10"/>
  <c r="AH7" i="10"/>
  <c r="AG7" i="10"/>
  <c r="AF7" i="10"/>
  <c r="AE7" i="10"/>
  <c r="AD7" i="10"/>
  <c r="AC7" i="10"/>
  <c r="AB7" i="10"/>
  <c r="AA7" i="10"/>
  <c r="Z7" i="10"/>
  <c r="Y7" i="10"/>
  <c r="X7" i="10"/>
  <c r="W7" i="10"/>
  <c r="V7" i="10"/>
  <c r="U7" i="10"/>
  <c r="AI6" i="10"/>
  <c r="AH6" i="10"/>
  <c r="AG6" i="10"/>
  <c r="AF6" i="10"/>
  <c r="AE6" i="10"/>
  <c r="AD6" i="10"/>
  <c r="AC6" i="10"/>
  <c r="AB6" i="10"/>
  <c r="AA6" i="10"/>
  <c r="Z6" i="10"/>
  <c r="Y6" i="10"/>
  <c r="X6" i="10"/>
  <c r="W6" i="10"/>
  <c r="V6" i="10"/>
  <c r="U6" i="10"/>
  <c r="AI5" i="10"/>
  <c r="AH5" i="10"/>
  <c r="AG5" i="10"/>
  <c r="AF5" i="10"/>
  <c r="AE5" i="10"/>
  <c r="AD5" i="10"/>
  <c r="AC5" i="10"/>
  <c r="AB5" i="10"/>
  <c r="AA5" i="10"/>
  <c r="Z5" i="10"/>
  <c r="Y5" i="10"/>
  <c r="X5" i="10"/>
  <c r="W5" i="10"/>
  <c r="V5" i="10"/>
  <c r="U5" i="10"/>
  <c r="AI4" i="10"/>
  <c r="AH4" i="10"/>
  <c r="AG4" i="10"/>
  <c r="AF4" i="10"/>
  <c r="AE4" i="10"/>
  <c r="AD4" i="10"/>
  <c r="AC4" i="10"/>
  <c r="AB4" i="10"/>
  <c r="AA4" i="10"/>
  <c r="Z4" i="10"/>
  <c r="Y4" i="10"/>
  <c r="X4" i="10"/>
  <c r="W4" i="10"/>
  <c r="V4" i="10"/>
  <c r="U4" i="10"/>
  <c r="B6320" i="18"/>
  <c r="B6319" i="18"/>
  <c r="B6318" i="18"/>
  <c r="B6317" i="18"/>
  <c r="B6316" i="18"/>
  <c r="B6315" i="18"/>
  <c r="B6314" i="18"/>
  <c r="B6313" i="18"/>
  <c r="B6312" i="18"/>
  <c r="B6311" i="18"/>
  <c r="B6310" i="18"/>
  <c r="B6309" i="18"/>
  <c r="B6308" i="18"/>
  <c r="B6307" i="18"/>
  <c r="B6306" i="18"/>
  <c r="B6305" i="18"/>
  <c r="B6304" i="18"/>
  <c r="B6303" i="18"/>
  <c r="B6302" i="18"/>
  <c r="B6301" i="18"/>
  <c r="B6300" i="18"/>
  <c r="B6299" i="18"/>
  <c r="B6298" i="18"/>
  <c r="B6297" i="18"/>
  <c r="B6296" i="18"/>
  <c r="B6295" i="18"/>
  <c r="B6294" i="18"/>
  <c r="B6293" i="18"/>
  <c r="B6292" i="18"/>
  <c r="B6291" i="18"/>
  <c r="B6290" i="18"/>
  <c r="B6289" i="18"/>
  <c r="B6288" i="18"/>
  <c r="B6287" i="18"/>
  <c r="B6286" i="18"/>
  <c r="B6285" i="18"/>
  <c r="B6284" i="18"/>
  <c r="B6283" i="18"/>
  <c r="B6282" i="18"/>
  <c r="B6281" i="18"/>
  <c r="B6280" i="18"/>
  <c r="B6279" i="18"/>
  <c r="B6278" i="18"/>
  <c r="B6277" i="18"/>
  <c r="B6276" i="18"/>
  <c r="B6275" i="18"/>
  <c r="B6274" i="18"/>
  <c r="B6273" i="18"/>
  <c r="B6272" i="18"/>
  <c r="B6271" i="18"/>
  <c r="B6270" i="18"/>
  <c r="B6269" i="18"/>
  <c r="B6268" i="18"/>
  <c r="B6267" i="18"/>
  <c r="B6266" i="18"/>
  <c r="B6265" i="18"/>
  <c r="B6264" i="18"/>
  <c r="B6263" i="18"/>
  <c r="B6262" i="18"/>
  <c r="B6261" i="18"/>
  <c r="B6260" i="18"/>
  <c r="B6259" i="18"/>
  <c r="B6258" i="18"/>
  <c r="B6257" i="18"/>
  <c r="B6256" i="18"/>
  <c r="B6255" i="18"/>
  <c r="B6254" i="18"/>
  <c r="B6253" i="18"/>
  <c r="B6252" i="18"/>
  <c r="B6251" i="18"/>
  <c r="B6250" i="18"/>
  <c r="B6249" i="18"/>
  <c r="B6248" i="18"/>
  <c r="B6247" i="18"/>
  <c r="B6246" i="18"/>
  <c r="B6245" i="18"/>
  <c r="B6244" i="18"/>
  <c r="B6243" i="18"/>
  <c r="B6242" i="18"/>
  <c r="B6241" i="18"/>
  <c r="B6240" i="18"/>
  <c r="B6239" i="18"/>
  <c r="B6238" i="18"/>
  <c r="B6237" i="18"/>
  <c r="B6236" i="18"/>
  <c r="B6235" i="18"/>
  <c r="B6234" i="18"/>
  <c r="B6233" i="18"/>
  <c r="B6232" i="18"/>
  <c r="B6231" i="18"/>
  <c r="B6230" i="18"/>
  <c r="B6229" i="18"/>
  <c r="B6228" i="18"/>
  <c r="B6227" i="18"/>
  <c r="B6226" i="18"/>
  <c r="B6225" i="18"/>
  <c r="B6224" i="18"/>
  <c r="B6223" i="18"/>
  <c r="B6222" i="18"/>
  <c r="B6221" i="18"/>
  <c r="B6220" i="18"/>
  <c r="B6219" i="18"/>
  <c r="B6218" i="18"/>
  <c r="B6217" i="18"/>
  <c r="B6216" i="18"/>
  <c r="B6215" i="18"/>
  <c r="B6214" i="18"/>
  <c r="B6213" i="18"/>
  <c r="B6212" i="18"/>
  <c r="B6211" i="18"/>
  <c r="B6210" i="18"/>
  <c r="B6209" i="18"/>
  <c r="B6208" i="18"/>
  <c r="B6207" i="18"/>
  <c r="B6206" i="18"/>
  <c r="B6205" i="18"/>
  <c r="B6204" i="18"/>
  <c r="B6203" i="18"/>
  <c r="B6202" i="18"/>
  <c r="B6201" i="18"/>
  <c r="B6200" i="18"/>
  <c r="B6199" i="18"/>
  <c r="B6198" i="18"/>
  <c r="B6197" i="18"/>
  <c r="B6196" i="18"/>
  <c r="B6195" i="18"/>
  <c r="B6194" i="18"/>
  <c r="B6193" i="18"/>
  <c r="B6192" i="18"/>
  <c r="B6191" i="18"/>
  <c r="B6190" i="18"/>
  <c r="B6189" i="18"/>
  <c r="B6188" i="18"/>
  <c r="B6187" i="18"/>
  <c r="B6186" i="18"/>
  <c r="B6185" i="18"/>
  <c r="B6184" i="18"/>
  <c r="B6183" i="18"/>
  <c r="B6182" i="18"/>
  <c r="B6181" i="18"/>
  <c r="B6180" i="18"/>
  <c r="B6179" i="18"/>
  <c r="B6178" i="18"/>
  <c r="B6177" i="18"/>
  <c r="B6176" i="18"/>
  <c r="B6175" i="18"/>
  <c r="B6174" i="18"/>
  <c r="B6173" i="18"/>
  <c r="B6172" i="18"/>
  <c r="B6171" i="18"/>
  <c r="B6170" i="18"/>
  <c r="B6169" i="18"/>
  <c r="B6168" i="18"/>
  <c r="B6167" i="18"/>
  <c r="B6166" i="18"/>
  <c r="B6165" i="18"/>
  <c r="B6164" i="18"/>
  <c r="B6163" i="18"/>
  <c r="B6162" i="18"/>
  <c r="B6161" i="18"/>
  <c r="B6160" i="18"/>
  <c r="B6159" i="18"/>
  <c r="B6158" i="18"/>
  <c r="B6157" i="18"/>
  <c r="B6156" i="18"/>
  <c r="B6155" i="18"/>
  <c r="B6154" i="18"/>
  <c r="B6153" i="18"/>
  <c r="B6152" i="18"/>
  <c r="B6151" i="18"/>
  <c r="B6150" i="18"/>
  <c r="B6149" i="18"/>
  <c r="B6148" i="18"/>
  <c r="B6147" i="18"/>
  <c r="B6146" i="18"/>
  <c r="B6145" i="18"/>
  <c r="B6144" i="18"/>
  <c r="B6143" i="18"/>
  <c r="B6142" i="18"/>
  <c r="B6141" i="18"/>
  <c r="B6140" i="18"/>
  <c r="B6139" i="18"/>
  <c r="B6138" i="18"/>
  <c r="B6137" i="18"/>
  <c r="B6136" i="18"/>
  <c r="B6135" i="18"/>
  <c r="B6134" i="18"/>
  <c r="B6133" i="18"/>
  <c r="B6132" i="18"/>
  <c r="B6131" i="18"/>
  <c r="B6130" i="18"/>
  <c r="B6129" i="18"/>
  <c r="B6128" i="18"/>
  <c r="B6127" i="18"/>
  <c r="B6126" i="18"/>
  <c r="B6125" i="18"/>
  <c r="B6124" i="18"/>
  <c r="B6123" i="18"/>
  <c r="B6122" i="18"/>
  <c r="B6121" i="18"/>
  <c r="B6120" i="18"/>
  <c r="B6119" i="18"/>
  <c r="B6118" i="18"/>
  <c r="B6117" i="18"/>
  <c r="B6116" i="18"/>
  <c r="B6115" i="18"/>
  <c r="B6114" i="18"/>
  <c r="B6113" i="18"/>
  <c r="B6112" i="18"/>
  <c r="B6111" i="18"/>
  <c r="B6110" i="18"/>
  <c r="B6109" i="18"/>
  <c r="B6108" i="18"/>
  <c r="B6107" i="18"/>
  <c r="B6106" i="18"/>
  <c r="B6105" i="18"/>
  <c r="B6104" i="18"/>
  <c r="B6103" i="18"/>
  <c r="B6102" i="18"/>
  <c r="B6101" i="18"/>
  <c r="B6100" i="18"/>
  <c r="B6099" i="18"/>
  <c r="B6098" i="18"/>
  <c r="B6097" i="18"/>
  <c r="B6096" i="18"/>
  <c r="B6095" i="18"/>
  <c r="B6094" i="18"/>
  <c r="B6093" i="18"/>
  <c r="B6092" i="18"/>
  <c r="B6091" i="18"/>
  <c r="B6090" i="18"/>
  <c r="B6089" i="18"/>
  <c r="B6088" i="18"/>
  <c r="B6087" i="18"/>
  <c r="B6086" i="18"/>
  <c r="B6085" i="18"/>
  <c r="B6084" i="18"/>
  <c r="B6083" i="18"/>
  <c r="B6082" i="18"/>
  <c r="B6081" i="18"/>
  <c r="B6080" i="18"/>
  <c r="B6079" i="18"/>
  <c r="B6078" i="18"/>
  <c r="B6077" i="18"/>
  <c r="B6076" i="18"/>
  <c r="B6075" i="18"/>
  <c r="B6074" i="18"/>
  <c r="B6073" i="18"/>
  <c r="B6072" i="18"/>
  <c r="B6071" i="18"/>
  <c r="B6070" i="18"/>
  <c r="B6069" i="18"/>
  <c r="B6068" i="18"/>
  <c r="B6067" i="18"/>
  <c r="B6066" i="18"/>
  <c r="B6065" i="18"/>
  <c r="B6064" i="18"/>
  <c r="B6063" i="18"/>
  <c r="B6062" i="18"/>
  <c r="B6061" i="18"/>
  <c r="B6060" i="18"/>
  <c r="B6059" i="18"/>
  <c r="B6058" i="18"/>
  <c r="B6057" i="18"/>
  <c r="B6056" i="18"/>
  <c r="B6055" i="18"/>
  <c r="B6054" i="18"/>
  <c r="B6053" i="18"/>
  <c r="B6052" i="18"/>
  <c r="B6051" i="18"/>
  <c r="B6050" i="18"/>
  <c r="B6049" i="18"/>
  <c r="B6048" i="18"/>
  <c r="B6047" i="18"/>
  <c r="B6046" i="18"/>
  <c r="B6045" i="18"/>
  <c r="B6044" i="18"/>
  <c r="B6043" i="18"/>
  <c r="B6042" i="18"/>
  <c r="B6041" i="18"/>
  <c r="B6040" i="18"/>
  <c r="B6039" i="18"/>
  <c r="B6038" i="18"/>
  <c r="B6037" i="18"/>
  <c r="B6036" i="18"/>
  <c r="B6035" i="18"/>
  <c r="B6034" i="18"/>
  <c r="B6033" i="18"/>
  <c r="B6032" i="18"/>
  <c r="B6031" i="18"/>
  <c r="B6030" i="18"/>
  <c r="B6029" i="18"/>
  <c r="B6028" i="18"/>
  <c r="B6027" i="18"/>
  <c r="B6026" i="18"/>
  <c r="B6025" i="18"/>
  <c r="B6024" i="18"/>
  <c r="B6023" i="18"/>
  <c r="B6022" i="18"/>
  <c r="B6021" i="18"/>
  <c r="B6020" i="18"/>
  <c r="B6019" i="18"/>
  <c r="B6018" i="18"/>
  <c r="B6017" i="18"/>
  <c r="B6016" i="18"/>
  <c r="B6015" i="18"/>
  <c r="B6014" i="18"/>
  <c r="B6013" i="18"/>
  <c r="B6012" i="18"/>
  <c r="B6011" i="18"/>
  <c r="B6010" i="18"/>
  <c r="B6009" i="18"/>
  <c r="B6008" i="18"/>
  <c r="B6007" i="18"/>
  <c r="B6006" i="18"/>
  <c r="B6005" i="18"/>
  <c r="B6004" i="18"/>
  <c r="B6003" i="18"/>
  <c r="B6002" i="18"/>
  <c r="B6001" i="18"/>
  <c r="B6000" i="18"/>
  <c r="B5999" i="18"/>
  <c r="B5998" i="18"/>
  <c r="B5997" i="18"/>
  <c r="B5996" i="18"/>
  <c r="B5995" i="18"/>
  <c r="B5994" i="18"/>
  <c r="B5993" i="18"/>
  <c r="B5992" i="18"/>
  <c r="B5991" i="18"/>
  <c r="B5990" i="18"/>
  <c r="B5989" i="18"/>
  <c r="B5988" i="18"/>
  <c r="B5987" i="18"/>
  <c r="B5986" i="18"/>
  <c r="B5985" i="18"/>
  <c r="B5984" i="18"/>
  <c r="B5983" i="18"/>
  <c r="B5982" i="18"/>
  <c r="B5981" i="18"/>
  <c r="B5980" i="18"/>
  <c r="B5979" i="18"/>
  <c r="B5978" i="18"/>
  <c r="B5977" i="18"/>
  <c r="B5976" i="18"/>
  <c r="B5975" i="18"/>
  <c r="B5974" i="18"/>
  <c r="B5973" i="18"/>
  <c r="B5972" i="18"/>
  <c r="B5971" i="18"/>
  <c r="B5970" i="18"/>
  <c r="B5969" i="18"/>
  <c r="B5968" i="18"/>
  <c r="B5967" i="18"/>
  <c r="B5966" i="18"/>
  <c r="B5965" i="18"/>
  <c r="B5964" i="18"/>
  <c r="B5963" i="18"/>
  <c r="B5962" i="18"/>
  <c r="B5961" i="18"/>
  <c r="B5960" i="18"/>
  <c r="B5959" i="18"/>
  <c r="B5958" i="18"/>
  <c r="B5957" i="18"/>
  <c r="B5956" i="18"/>
  <c r="B5955" i="18"/>
  <c r="B5954" i="18"/>
  <c r="B5953" i="18"/>
  <c r="B5952" i="18"/>
  <c r="B5951" i="18"/>
  <c r="B5950" i="18"/>
  <c r="B5949" i="18"/>
  <c r="B5948" i="18"/>
  <c r="B5947" i="18"/>
  <c r="B5946" i="18"/>
  <c r="B5945" i="18"/>
  <c r="B5944" i="18"/>
  <c r="B5943" i="18"/>
  <c r="B5942" i="18"/>
  <c r="B5941" i="18"/>
  <c r="B5940" i="18"/>
  <c r="B5939" i="18"/>
  <c r="B5938" i="18"/>
  <c r="B5937" i="18"/>
  <c r="B5936" i="18"/>
  <c r="B5935" i="18"/>
  <c r="B5934" i="18"/>
  <c r="B5933" i="18"/>
  <c r="B5932" i="18"/>
  <c r="B5931" i="18"/>
  <c r="B5930" i="18"/>
  <c r="B5929" i="18"/>
  <c r="B5928" i="18"/>
  <c r="B5927" i="18"/>
  <c r="B5926" i="18"/>
  <c r="B5925" i="18"/>
  <c r="B5924" i="18"/>
  <c r="B5923" i="18"/>
  <c r="B5922" i="18"/>
  <c r="B5921" i="18"/>
  <c r="B5920" i="18"/>
  <c r="B5919" i="18"/>
  <c r="B5918" i="18"/>
  <c r="B5917" i="18"/>
  <c r="B5916" i="18"/>
  <c r="B5915" i="18"/>
  <c r="B5914" i="18"/>
  <c r="B5913" i="18"/>
  <c r="B5912" i="18"/>
  <c r="B5911" i="18"/>
  <c r="B5910" i="18"/>
  <c r="B5909" i="18"/>
  <c r="B5908" i="18"/>
  <c r="B5907" i="18"/>
  <c r="B5906" i="18"/>
  <c r="B5905" i="18"/>
  <c r="B5904" i="18"/>
  <c r="B5903" i="18"/>
  <c r="B5902" i="18"/>
  <c r="B5901" i="18"/>
  <c r="B5900" i="18"/>
  <c r="B5899" i="18"/>
  <c r="B5898" i="18"/>
  <c r="B5897" i="18"/>
  <c r="B5896" i="18"/>
  <c r="B5895" i="18"/>
  <c r="B5894" i="18"/>
  <c r="B5893" i="18"/>
  <c r="B5892" i="18"/>
  <c r="B5891" i="18"/>
  <c r="B5890" i="18"/>
  <c r="B5889" i="18"/>
  <c r="B5888" i="18"/>
  <c r="B5887" i="18"/>
  <c r="B5886" i="18"/>
  <c r="B5885" i="18"/>
  <c r="B5884" i="18"/>
  <c r="B5883" i="18"/>
  <c r="B5882" i="18"/>
  <c r="B5881" i="18"/>
  <c r="B5880" i="18"/>
  <c r="B5879" i="18"/>
  <c r="B5878" i="18"/>
  <c r="B5877" i="18"/>
  <c r="B5876" i="18"/>
  <c r="B5875" i="18"/>
  <c r="B5874" i="18"/>
  <c r="B5873" i="18"/>
  <c r="B5872" i="18"/>
  <c r="B5871" i="18"/>
  <c r="B5870" i="18"/>
  <c r="B5869" i="18"/>
  <c r="B5868" i="18"/>
  <c r="B5867" i="18"/>
  <c r="B5866" i="18"/>
  <c r="B5865" i="18"/>
  <c r="B5864" i="18"/>
  <c r="B5863" i="18"/>
  <c r="B5862" i="18"/>
  <c r="B5861" i="18"/>
  <c r="B5860" i="18"/>
  <c r="B5859" i="18"/>
  <c r="B5858" i="18"/>
  <c r="B5857" i="18"/>
  <c r="B5856" i="18"/>
  <c r="B5855" i="18"/>
  <c r="B5854" i="18"/>
  <c r="B5853" i="18"/>
  <c r="B5852" i="18"/>
  <c r="B5851" i="18"/>
  <c r="B5850" i="18"/>
  <c r="B5849" i="18"/>
  <c r="B5848" i="18"/>
  <c r="B5847" i="18"/>
  <c r="B5846" i="18"/>
  <c r="B5845" i="18"/>
  <c r="B5844" i="18"/>
  <c r="B5843" i="18"/>
  <c r="B5842" i="18"/>
  <c r="B5841" i="18"/>
  <c r="B5840" i="18"/>
  <c r="B5839" i="18"/>
  <c r="B5838" i="18"/>
  <c r="B5837" i="18"/>
  <c r="B5836" i="18"/>
  <c r="B5835" i="18"/>
  <c r="B5834" i="18"/>
  <c r="B5833" i="18"/>
  <c r="B5832" i="18"/>
  <c r="B5831" i="18"/>
  <c r="B5830" i="18"/>
  <c r="B5829" i="18"/>
  <c r="B5828" i="18"/>
  <c r="B5827" i="18"/>
  <c r="B5826" i="18"/>
  <c r="B5825" i="18"/>
  <c r="B5824" i="18"/>
  <c r="B5823" i="18"/>
  <c r="B5822" i="18"/>
  <c r="B5821" i="18"/>
  <c r="B5820" i="18"/>
  <c r="B5819" i="18"/>
  <c r="B5818" i="18"/>
  <c r="B5817" i="18"/>
  <c r="B5816" i="18"/>
  <c r="B5815" i="18"/>
  <c r="B5814" i="18"/>
  <c r="B5813" i="18"/>
  <c r="B5812" i="18"/>
  <c r="B5811" i="18"/>
  <c r="B5810" i="18"/>
  <c r="B5809" i="18"/>
  <c r="B5808" i="18"/>
  <c r="B5807" i="18"/>
  <c r="B5806" i="18"/>
  <c r="B5805" i="18"/>
  <c r="B5804" i="18"/>
  <c r="B5803" i="18"/>
  <c r="B5802" i="18"/>
  <c r="B5801" i="18"/>
  <c r="B5800" i="18"/>
  <c r="B5799" i="18"/>
  <c r="B5798" i="18"/>
  <c r="B5797" i="18"/>
  <c r="B5796" i="18"/>
  <c r="B5795" i="18"/>
  <c r="B5794" i="18"/>
  <c r="B5793" i="18"/>
  <c r="B5792" i="18"/>
  <c r="B5791" i="18"/>
  <c r="B5790" i="18"/>
  <c r="B5789" i="18"/>
  <c r="B5788" i="18"/>
  <c r="B5787" i="18"/>
  <c r="B5786" i="18"/>
  <c r="B5785" i="18"/>
  <c r="B5784" i="18"/>
  <c r="B5783" i="18"/>
  <c r="B5782" i="18"/>
  <c r="B5781" i="18"/>
  <c r="B5780" i="18"/>
  <c r="B5779" i="18"/>
  <c r="B5778" i="18"/>
  <c r="B5777" i="18"/>
  <c r="B5776" i="18"/>
  <c r="B5775" i="18"/>
  <c r="B5774" i="18"/>
  <c r="B5773" i="18"/>
  <c r="B5772" i="18"/>
  <c r="B5771" i="18"/>
  <c r="B5770" i="18"/>
  <c r="B5769" i="18"/>
  <c r="B5768" i="18"/>
  <c r="B5767" i="18"/>
  <c r="B5766" i="18"/>
  <c r="B5765" i="18"/>
  <c r="B5764" i="18"/>
  <c r="B5763" i="18"/>
  <c r="B5762" i="18"/>
  <c r="B5761" i="18"/>
  <c r="B5760" i="18"/>
  <c r="B5759" i="18"/>
  <c r="B5758" i="18"/>
  <c r="B5757" i="18"/>
  <c r="B5756" i="18"/>
  <c r="B5755" i="18"/>
  <c r="B5754" i="18"/>
  <c r="B5753" i="18"/>
  <c r="B5752" i="18"/>
  <c r="B5751" i="18"/>
  <c r="B5750" i="18"/>
  <c r="B5749" i="18"/>
  <c r="B5748" i="18"/>
  <c r="B5747" i="18"/>
  <c r="B5746" i="18"/>
  <c r="B5745" i="18"/>
  <c r="B5744" i="18"/>
  <c r="B5743" i="18"/>
  <c r="B5742" i="18"/>
  <c r="B5741" i="18"/>
  <c r="B5740" i="18"/>
  <c r="B5739" i="18"/>
  <c r="B5738" i="18"/>
  <c r="B5737" i="18"/>
  <c r="B5736" i="18"/>
  <c r="B5735" i="18"/>
  <c r="B5734" i="18"/>
  <c r="B5733" i="18"/>
  <c r="B5732" i="18"/>
  <c r="B5731" i="18"/>
  <c r="B5730" i="18"/>
  <c r="B5729" i="18"/>
  <c r="B5728" i="18"/>
  <c r="B5727" i="18"/>
  <c r="B5726" i="18"/>
  <c r="B5725" i="18"/>
  <c r="B5724" i="18"/>
  <c r="B5723" i="18"/>
  <c r="B5722" i="18"/>
  <c r="B5721" i="18"/>
  <c r="B5720" i="18"/>
  <c r="B5719" i="18"/>
  <c r="B5718" i="18"/>
  <c r="B5717" i="18"/>
  <c r="B5716" i="18"/>
  <c r="B5715" i="18"/>
  <c r="B5714" i="18"/>
  <c r="B5713" i="18"/>
  <c r="B5712" i="18"/>
  <c r="B5711" i="18"/>
  <c r="B5710" i="18"/>
  <c r="B5709" i="18"/>
  <c r="B5708" i="18"/>
  <c r="B5707" i="18"/>
  <c r="B5706" i="18"/>
  <c r="B5705" i="18"/>
  <c r="B5704" i="18"/>
  <c r="B5703" i="18"/>
  <c r="B5702" i="18"/>
  <c r="B5701" i="18"/>
  <c r="B5700" i="18"/>
  <c r="B5699" i="18"/>
  <c r="B5698" i="18"/>
  <c r="B5697" i="18"/>
  <c r="B5696" i="18"/>
  <c r="B5695" i="18"/>
  <c r="B5694" i="18"/>
  <c r="B5693" i="18"/>
  <c r="B5692" i="18"/>
  <c r="B5691" i="18"/>
  <c r="B5690" i="18"/>
  <c r="B5689" i="18"/>
  <c r="B5688" i="18"/>
  <c r="B5687" i="18"/>
  <c r="B5686" i="18"/>
  <c r="B5685" i="18"/>
  <c r="B5684" i="18"/>
  <c r="B5683" i="18"/>
  <c r="B5682" i="18"/>
  <c r="B5681" i="18"/>
  <c r="B5680" i="18"/>
  <c r="B5679" i="18"/>
  <c r="B5678" i="18"/>
  <c r="B5677" i="18"/>
  <c r="B5676" i="18"/>
  <c r="B5675" i="18"/>
  <c r="B5674" i="18"/>
  <c r="B5673" i="18"/>
  <c r="B5672" i="18"/>
  <c r="B5671" i="18"/>
  <c r="B5670" i="18"/>
  <c r="B5669" i="18"/>
  <c r="B5668" i="18"/>
  <c r="B5667" i="18"/>
  <c r="B5666" i="18"/>
  <c r="B5665" i="18"/>
  <c r="B5664" i="18"/>
  <c r="B5663" i="18"/>
  <c r="B5662" i="18"/>
  <c r="B5661" i="18"/>
  <c r="B5660" i="18"/>
  <c r="B5659" i="18"/>
  <c r="B5658" i="18"/>
  <c r="B5657" i="18"/>
  <c r="B5656" i="18"/>
  <c r="B5655" i="18"/>
  <c r="B5654" i="18"/>
  <c r="B5653" i="18"/>
  <c r="B5652" i="18"/>
  <c r="B5651" i="18"/>
  <c r="B5650" i="18"/>
  <c r="B5649" i="18"/>
  <c r="B5648" i="18"/>
  <c r="B5647" i="18"/>
  <c r="B5646" i="18"/>
  <c r="B5645" i="18"/>
  <c r="B5644" i="18"/>
  <c r="B5643" i="18"/>
  <c r="B5642" i="18"/>
  <c r="B5641" i="18"/>
  <c r="B5640" i="18"/>
  <c r="B5639" i="18"/>
  <c r="B5638" i="18"/>
  <c r="B5637" i="18"/>
  <c r="B5636" i="18"/>
  <c r="B5635" i="18"/>
  <c r="B5634" i="18"/>
  <c r="B5633" i="18"/>
  <c r="B5632" i="18"/>
  <c r="B5631" i="18"/>
  <c r="B5630" i="18"/>
  <c r="B5629" i="18"/>
  <c r="B5628" i="18"/>
  <c r="B5627" i="18"/>
  <c r="B5626" i="18"/>
  <c r="B5625" i="18"/>
  <c r="B5624" i="18"/>
  <c r="B5623" i="18"/>
  <c r="B5622" i="18"/>
  <c r="B5621" i="18"/>
  <c r="B5620" i="18"/>
  <c r="B5619" i="18"/>
  <c r="B5618" i="18"/>
  <c r="B5617" i="18"/>
  <c r="B5616" i="18"/>
  <c r="B5615" i="18"/>
  <c r="B5614" i="18"/>
  <c r="B5613" i="18"/>
  <c r="B5612" i="18"/>
  <c r="B5611" i="18"/>
  <c r="B5610" i="18"/>
  <c r="B5609" i="18"/>
  <c r="B5608" i="18"/>
  <c r="B5607" i="18"/>
  <c r="B5606" i="18"/>
  <c r="B5605" i="18"/>
  <c r="B5604" i="18"/>
  <c r="B5603" i="18"/>
  <c r="B5602" i="18"/>
  <c r="B5601" i="18"/>
  <c r="B5600" i="18"/>
  <c r="B5599" i="18"/>
  <c r="B5598" i="18"/>
  <c r="B5597" i="18"/>
  <c r="B5596" i="18"/>
  <c r="B5595" i="18"/>
  <c r="B5594" i="18"/>
  <c r="B5593" i="18"/>
  <c r="B5592" i="18"/>
  <c r="B5591" i="18"/>
  <c r="B5590" i="18"/>
  <c r="B5589" i="18"/>
  <c r="B5588" i="18"/>
  <c r="B5587" i="18"/>
  <c r="B5586" i="18"/>
  <c r="B5585" i="18"/>
  <c r="B5584" i="18"/>
  <c r="B5583" i="18"/>
  <c r="B5582" i="18"/>
  <c r="B5581" i="18"/>
  <c r="B5580" i="18"/>
  <c r="B5579" i="18"/>
  <c r="B5578" i="18"/>
  <c r="B5577" i="18"/>
  <c r="B5576" i="18"/>
  <c r="B5575" i="18"/>
  <c r="B5574" i="18"/>
  <c r="B5573" i="18"/>
  <c r="B5572" i="18"/>
  <c r="B5571" i="18"/>
  <c r="B5570" i="18"/>
  <c r="B5569" i="18"/>
  <c r="B5568" i="18"/>
  <c r="B5567" i="18"/>
  <c r="B5566" i="18"/>
  <c r="B5565" i="18"/>
  <c r="B5564" i="18"/>
  <c r="B5563" i="18"/>
  <c r="B5562" i="18"/>
  <c r="B5561" i="18"/>
  <c r="B5560" i="18"/>
  <c r="B5559" i="18"/>
  <c r="B5558" i="18"/>
  <c r="B5557" i="18"/>
  <c r="B5556" i="18"/>
  <c r="B5555" i="18"/>
  <c r="B5554" i="18"/>
  <c r="B5553" i="18"/>
  <c r="B5552" i="18"/>
  <c r="B5551" i="18"/>
  <c r="B5550" i="18"/>
  <c r="B5549" i="18"/>
  <c r="B5548" i="18"/>
  <c r="B5547" i="18"/>
  <c r="B5546" i="18"/>
  <c r="B5545" i="18"/>
  <c r="B5544" i="18"/>
  <c r="B5543" i="18"/>
  <c r="B5542" i="18"/>
  <c r="B5541" i="18"/>
  <c r="B5540" i="18"/>
  <c r="B5539" i="18"/>
  <c r="B5538" i="18"/>
  <c r="B5537" i="18"/>
  <c r="B5536" i="18"/>
  <c r="B5535" i="18"/>
  <c r="B5534" i="18"/>
  <c r="B5533" i="18"/>
  <c r="B5532" i="18"/>
  <c r="B5531" i="18"/>
  <c r="B5530" i="18"/>
  <c r="B5529" i="18"/>
  <c r="B5528" i="18"/>
  <c r="B5527" i="18"/>
  <c r="B5526" i="18"/>
  <c r="B5525" i="18"/>
  <c r="B5524" i="18"/>
  <c r="B5523" i="18"/>
  <c r="B5522" i="18"/>
  <c r="B5521" i="18"/>
  <c r="B5520" i="18"/>
  <c r="B5519" i="18"/>
  <c r="B5518" i="18"/>
  <c r="B5517" i="18"/>
  <c r="B5516" i="18"/>
  <c r="B5515" i="18"/>
  <c r="B5514" i="18"/>
  <c r="B5513" i="18"/>
  <c r="B5512" i="18"/>
  <c r="B5511" i="18"/>
  <c r="B5510" i="18"/>
  <c r="B5509" i="18"/>
  <c r="B5508" i="18"/>
  <c r="B5507" i="18"/>
  <c r="B5506" i="18"/>
  <c r="B5505" i="18"/>
  <c r="B5504" i="18"/>
  <c r="B5503" i="18"/>
  <c r="B5502" i="18"/>
  <c r="B5501" i="18"/>
  <c r="B5500" i="18"/>
  <c r="B5499" i="18"/>
  <c r="B5498" i="18"/>
  <c r="B5497" i="18"/>
  <c r="B5496" i="18"/>
  <c r="B5495" i="18"/>
  <c r="B5494" i="18"/>
  <c r="B5493" i="18"/>
  <c r="B5492" i="18"/>
  <c r="B5491" i="18"/>
  <c r="B5490" i="18"/>
  <c r="B5489" i="18"/>
  <c r="B5488" i="18"/>
  <c r="B5487" i="18"/>
  <c r="B5486" i="18"/>
  <c r="B5485" i="18"/>
  <c r="B5484" i="18"/>
  <c r="B5483" i="18"/>
  <c r="B5482" i="18"/>
  <c r="B5481" i="18"/>
  <c r="B5480" i="18"/>
  <c r="B5479" i="18"/>
  <c r="B5478" i="18"/>
  <c r="B5477" i="18"/>
  <c r="B5476" i="18"/>
  <c r="B5475" i="18"/>
  <c r="B5474" i="18"/>
  <c r="B5473" i="18"/>
  <c r="B5472" i="18"/>
  <c r="B5471" i="18"/>
  <c r="B5470" i="18"/>
  <c r="B5469" i="18"/>
  <c r="B5468" i="18"/>
  <c r="B5467" i="18"/>
  <c r="B5466" i="18"/>
  <c r="B5465" i="18"/>
  <c r="B5464" i="18"/>
  <c r="B5463" i="18"/>
  <c r="B5462" i="18"/>
  <c r="B5461" i="18"/>
  <c r="B5460" i="18"/>
  <c r="B5459" i="18"/>
  <c r="B5458" i="18"/>
  <c r="B5457" i="18"/>
  <c r="B5456" i="18"/>
  <c r="B5455" i="18"/>
  <c r="B5454" i="18"/>
  <c r="B5453" i="18"/>
  <c r="B5452" i="18"/>
  <c r="B5451" i="18"/>
  <c r="B5450" i="18"/>
  <c r="B5449" i="18"/>
  <c r="B5448" i="18"/>
  <c r="B5447" i="18"/>
  <c r="B5446" i="18"/>
  <c r="B5445" i="18"/>
  <c r="B5444" i="18"/>
  <c r="B5443" i="18"/>
  <c r="B5442" i="18"/>
  <c r="B5441" i="18"/>
  <c r="B5440" i="18"/>
  <c r="B5439" i="18"/>
  <c r="B5438" i="18"/>
  <c r="B5437" i="18"/>
  <c r="B5436" i="18"/>
  <c r="B5435" i="18"/>
  <c r="B5434" i="18"/>
  <c r="B5433" i="18"/>
  <c r="B5432" i="18"/>
  <c r="B5431" i="18"/>
  <c r="B5430" i="18"/>
  <c r="B5429" i="18"/>
  <c r="B5428" i="18"/>
  <c r="B5427" i="18"/>
  <c r="B5426" i="18"/>
  <c r="B5425" i="18"/>
  <c r="B5424" i="18"/>
  <c r="B5423" i="18"/>
  <c r="B5422" i="18"/>
  <c r="B5421" i="18"/>
  <c r="B5420" i="18"/>
  <c r="B5419" i="18"/>
  <c r="B5418" i="18"/>
  <c r="B5417" i="18"/>
  <c r="B5416" i="18"/>
  <c r="B5415" i="18"/>
  <c r="B5414" i="18"/>
  <c r="B5413" i="18"/>
  <c r="B5412" i="18"/>
  <c r="B5411" i="18"/>
  <c r="B5410" i="18"/>
  <c r="B5409" i="18"/>
  <c r="B5408" i="18"/>
  <c r="B5407" i="18"/>
  <c r="B5406" i="18"/>
  <c r="B5405" i="18"/>
  <c r="B5404" i="18"/>
  <c r="B5403" i="18"/>
  <c r="B5402" i="18"/>
  <c r="B5401" i="18"/>
  <c r="B5400" i="18"/>
  <c r="B5399" i="18"/>
  <c r="B5398" i="18"/>
  <c r="B5397" i="18"/>
  <c r="B5396" i="18"/>
  <c r="B5395" i="18"/>
  <c r="B5394" i="18"/>
  <c r="B5393" i="18"/>
  <c r="B5392" i="18"/>
  <c r="B5391" i="18"/>
  <c r="B5390" i="18"/>
  <c r="B5389" i="18"/>
  <c r="B5388" i="18"/>
  <c r="B5387" i="18"/>
  <c r="B5386" i="18"/>
  <c r="B5385" i="18"/>
  <c r="B5384" i="18"/>
  <c r="B5383" i="18"/>
  <c r="B5382" i="18"/>
  <c r="B5381" i="18"/>
  <c r="B5380" i="18"/>
  <c r="B5379" i="18"/>
  <c r="B5378" i="18"/>
  <c r="B5377" i="18"/>
  <c r="B5376" i="18"/>
  <c r="B5375" i="18"/>
  <c r="B5374" i="18"/>
  <c r="B5373" i="18"/>
  <c r="B5372" i="18"/>
  <c r="B5371" i="18"/>
  <c r="B5370" i="18"/>
  <c r="B5369" i="18"/>
  <c r="B5368" i="18"/>
  <c r="B5367" i="18"/>
  <c r="B5366" i="18"/>
  <c r="B5365" i="18"/>
  <c r="B5364" i="18"/>
  <c r="B5363" i="18"/>
  <c r="B5362" i="18"/>
  <c r="B5361" i="18"/>
  <c r="B5360" i="18"/>
  <c r="B5359" i="18"/>
  <c r="B5358" i="18"/>
  <c r="B5357" i="18"/>
  <c r="B5356" i="18"/>
  <c r="B5355" i="18"/>
  <c r="B5354" i="18"/>
  <c r="B5353" i="18"/>
  <c r="B5352" i="18"/>
  <c r="B5351" i="18"/>
  <c r="B5350" i="18"/>
  <c r="B5349" i="18"/>
  <c r="B5348" i="18"/>
  <c r="B5347" i="18"/>
  <c r="B5346" i="18"/>
  <c r="B5345" i="18"/>
  <c r="B5344" i="18"/>
  <c r="B5343" i="18"/>
  <c r="B5342" i="18"/>
  <c r="B5341" i="18"/>
  <c r="B5340" i="18"/>
  <c r="B5339" i="18"/>
  <c r="B5338" i="18"/>
  <c r="B5337" i="18"/>
  <c r="B5336" i="18"/>
  <c r="B5335" i="18"/>
  <c r="B5334" i="18"/>
  <c r="B5333" i="18"/>
  <c r="B5332" i="18"/>
  <c r="B5331" i="18"/>
  <c r="B5330" i="18"/>
  <c r="B5329" i="18"/>
  <c r="B5328" i="18"/>
  <c r="B5327" i="18"/>
  <c r="B5326" i="18"/>
  <c r="B5325" i="18"/>
  <c r="B5324" i="18"/>
  <c r="B5323" i="18"/>
  <c r="B5322" i="18"/>
  <c r="B5321" i="18"/>
  <c r="B5320" i="18"/>
  <c r="B5319" i="18"/>
  <c r="B5318" i="18"/>
  <c r="B5317" i="18"/>
  <c r="B5316" i="18"/>
  <c r="B5315" i="18"/>
  <c r="B5314" i="18"/>
  <c r="B5313" i="18"/>
  <c r="B5312" i="18"/>
  <c r="B5311" i="18"/>
  <c r="B5310" i="18"/>
  <c r="B5309" i="18"/>
  <c r="B5308" i="18"/>
  <c r="B5307" i="18"/>
  <c r="B5306" i="18"/>
  <c r="B5305" i="18"/>
  <c r="B5304" i="18"/>
  <c r="B5303" i="18"/>
  <c r="B5302" i="18"/>
  <c r="B5301" i="18"/>
  <c r="B5300" i="18"/>
  <c r="B5299" i="18"/>
  <c r="B5298" i="18"/>
  <c r="B5297" i="18"/>
  <c r="B5296" i="18"/>
  <c r="B5295" i="18"/>
  <c r="B5294" i="18"/>
  <c r="B5293" i="18"/>
  <c r="B5292" i="18"/>
  <c r="B5291" i="18"/>
  <c r="B5290" i="18"/>
  <c r="B5289" i="18"/>
  <c r="B5288" i="18"/>
  <c r="B5287" i="18"/>
  <c r="B5286" i="18"/>
  <c r="B5285" i="18"/>
  <c r="B5284" i="18"/>
  <c r="B5283" i="18"/>
  <c r="B5282" i="18"/>
  <c r="B5281" i="18"/>
  <c r="B5280" i="18"/>
  <c r="B5279" i="18"/>
  <c r="B5278" i="18"/>
  <c r="B5277" i="18"/>
  <c r="B5276" i="18"/>
  <c r="B5275" i="18"/>
  <c r="B5274" i="18"/>
  <c r="B5273" i="18"/>
  <c r="B5272" i="18"/>
  <c r="B5271" i="18"/>
  <c r="B5270" i="18"/>
  <c r="B5269" i="18"/>
  <c r="B5268" i="18"/>
  <c r="B5267" i="18"/>
  <c r="B5266" i="18"/>
  <c r="B5265" i="18"/>
  <c r="B5264" i="18"/>
  <c r="B5263" i="18"/>
  <c r="B5262" i="18"/>
  <c r="B5261" i="18"/>
  <c r="B5260" i="18"/>
  <c r="B5259" i="18"/>
  <c r="B5258" i="18"/>
  <c r="B5257" i="18"/>
  <c r="B5256" i="18"/>
  <c r="B5255" i="18"/>
  <c r="B5254" i="18"/>
  <c r="B5253" i="18"/>
  <c r="B5252" i="18"/>
  <c r="B5251" i="18"/>
  <c r="B5250" i="18"/>
  <c r="B5249" i="18"/>
  <c r="B5248" i="18"/>
  <c r="B5247" i="18"/>
  <c r="B5246" i="18"/>
  <c r="B5245" i="18"/>
  <c r="B5244" i="18"/>
  <c r="B5243" i="18"/>
  <c r="B5242" i="18"/>
  <c r="B5241" i="18"/>
  <c r="B5240" i="18"/>
  <c r="B5239" i="18"/>
  <c r="B5238" i="18"/>
  <c r="B5237" i="18"/>
  <c r="B5236" i="18"/>
  <c r="B5235" i="18"/>
  <c r="B5234" i="18"/>
  <c r="B5233" i="18"/>
  <c r="B5232" i="18"/>
  <c r="B5231" i="18"/>
  <c r="B5230" i="18"/>
  <c r="B5229" i="18"/>
  <c r="B5228" i="18"/>
  <c r="B5227" i="18"/>
  <c r="B5226" i="18"/>
  <c r="B5225" i="18"/>
  <c r="B5224" i="18"/>
  <c r="B5223" i="18"/>
  <c r="B5222" i="18"/>
  <c r="B5221" i="18"/>
  <c r="B5220" i="18"/>
  <c r="B5219" i="18"/>
  <c r="B5218" i="18"/>
  <c r="B5217" i="18"/>
  <c r="B5216" i="18"/>
  <c r="B5215" i="18"/>
  <c r="B5214" i="18"/>
  <c r="B5213" i="18"/>
  <c r="B5212" i="18"/>
  <c r="B5211" i="18"/>
  <c r="B5210" i="18"/>
  <c r="B5209" i="18"/>
  <c r="B5208" i="18"/>
  <c r="B5207" i="18"/>
  <c r="B5206" i="18"/>
  <c r="B5205" i="18"/>
  <c r="B5204" i="18"/>
  <c r="B5203" i="18"/>
  <c r="B5202" i="18"/>
  <c r="B5201" i="18"/>
  <c r="B5200" i="18"/>
  <c r="B5199" i="18"/>
  <c r="B5198" i="18"/>
  <c r="B5197" i="18"/>
  <c r="B5196" i="18"/>
  <c r="B5195" i="18"/>
  <c r="B5194" i="18"/>
  <c r="B5193" i="18"/>
  <c r="B5192" i="18"/>
  <c r="B5191" i="18"/>
  <c r="B5190" i="18"/>
  <c r="B5189" i="18"/>
  <c r="B5188" i="18"/>
  <c r="B5187" i="18"/>
  <c r="B5186" i="18"/>
  <c r="B5185" i="18"/>
  <c r="B5184" i="18"/>
  <c r="B5183" i="18"/>
  <c r="B5182" i="18"/>
  <c r="B5181" i="18"/>
  <c r="B5180" i="18"/>
  <c r="B5179" i="18"/>
  <c r="B5178" i="18"/>
  <c r="B5177" i="18"/>
  <c r="B5176" i="18"/>
  <c r="B5175" i="18"/>
  <c r="B5174" i="18"/>
  <c r="B5173" i="18"/>
  <c r="B5172" i="18"/>
  <c r="B5171" i="18"/>
  <c r="B5170" i="18"/>
  <c r="B5169" i="18"/>
  <c r="B5168" i="18"/>
  <c r="B5167" i="18"/>
  <c r="B5166" i="18"/>
  <c r="B5165" i="18"/>
  <c r="B5164" i="18"/>
  <c r="B5163" i="18"/>
  <c r="B5162" i="18"/>
  <c r="B5161" i="18"/>
  <c r="B5160" i="18"/>
  <c r="B5159" i="18"/>
  <c r="B5158" i="18"/>
  <c r="B5157" i="18"/>
  <c r="B5156" i="18"/>
  <c r="B5155" i="18"/>
  <c r="B5154" i="18"/>
  <c r="B5153" i="18"/>
  <c r="B5152" i="18"/>
  <c r="B5151" i="18"/>
  <c r="B5150" i="18"/>
  <c r="B5149" i="18"/>
  <c r="B5148" i="18"/>
  <c r="B5147" i="18"/>
  <c r="B5146" i="18"/>
  <c r="B5145" i="18"/>
  <c r="B5144" i="18"/>
  <c r="B5143" i="18"/>
  <c r="B5142" i="18"/>
  <c r="B5141" i="18"/>
  <c r="B5140" i="18"/>
  <c r="B5139" i="18"/>
  <c r="B5138" i="18"/>
  <c r="B5137" i="18"/>
  <c r="B5136" i="18"/>
  <c r="B5135" i="18"/>
  <c r="B5134" i="18"/>
  <c r="B5133" i="18"/>
  <c r="B5132" i="18"/>
  <c r="B5131" i="18"/>
  <c r="B5130" i="18"/>
  <c r="B5129" i="18"/>
  <c r="B5128" i="18"/>
  <c r="B5127" i="18"/>
  <c r="B5126" i="18"/>
  <c r="B5125" i="18"/>
  <c r="B5124" i="18"/>
  <c r="B5123" i="18"/>
  <c r="B5122" i="18"/>
  <c r="B5121" i="18"/>
  <c r="B5120" i="18"/>
  <c r="B5119" i="18"/>
  <c r="B5118" i="18"/>
  <c r="B5117" i="18"/>
  <c r="B5116" i="18"/>
  <c r="B5115" i="18"/>
  <c r="B5114" i="18"/>
  <c r="B5113" i="18"/>
  <c r="B5112" i="18"/>
  <c r="B5111" i="18"/>
  <c r="B5110" i="18"/>
  <c r="B5109" i="18"/>
  <c r="B5108" i="18"/>
  <c r="B5107" i="18"/>
  <c r="B5106" i="18"/>
  <c r="B5105" i="18"/>
  <c r="B5104" i="18"/>
  <c r="B5103" i="18"/>
  <c r="B5102" i="18"/>
  <c r="B5101" i="18"/>
  <c r="B5100" i="18"/>
  <c r="B5099" i="18"/>
  <c r="B5098" i="18"/>
  <c r="B5097" i="18"/>
  <c r="B5096" i="18"/>
  <c r="B5095" i="18"/>
  <c r="B5094" i="18"/>
  <c r="B5093" i="18"/>
  <c r="B5092" i="18"/>
  <c r="B5091" i="18"/>
  <c r="B5090" i="18"/>
  <c r="B5089" i="18"/>
  <c r="B5088" i="18"/>
  <c r="B5087" i="18"/>
  <c r="B5086" i="18"/>
  <c r="B5085" i="18"/>
  <c r="B5084" i="18"/>
  <c r="B5083" i="18"/>
  <c r="B5082" i="18"/>
  <c r="B5081" i="18"/>
  <c r="B5080" i="18"/>
  <c r="B5079" i="18"/>
  <c r="B5078" i="18"/>
  <c r="B5077" i="18"/>
  <c r="B5076" i="18"/>
  <c r="B5075" i="18"/>
  <c r="B5074" i="18"/>
  <c r="B5073" i="18"/>
  <c r="B5072" i="18"/>
  <c r="B5071" i="18"/>
  <c r="B5070" i="18"/>
  <c r="B5069" i="18"/>
  <c r="B5068" i="18"/>
  <c r="B5067" i="18"/>
  <c r="B5066" i="18"/>
  <c r="B5065" i="18"/>
  <c r="B5064" i="18"/>
  <c r="B5063" i="18"/>
  <c r="B5062" i="18"/>
  <c r="B5061" i="18"/>
  <c r="B5060" i="18"/>
  <c r="B5059" i="18"/>
  <c r="B5058" i="18"/>
  <c r="B5057" i="18"/>
  <c r="B5056" i="18"/>
  <c r="B5055" i="18"/>
  <c r="B5054" i="18"/>
  <c r="B5053" i="18"/>
  <c r="B5052" i="18"/>
  <c r="B5051" i="18"/>
  <c r="B5050" i="18"/>
  <c r="B5049" i="18"/>
  <c r="B5048" i="18"/>
  <c r="B5047" i="18"/>
  <c r="B5046" i="18"/>
  <c r="B5045" i="18"/>
  <c r="B5044" i="18"/>
  <c r="B5043" i="18"/>
  <c r="B5042" i="18"/>
  <c r="B5041" i="18"/>
  <c r="B5040" i="18"/>
  <c r="B5039" i="18"/>
  <c r="B5038" i="18"/>
  <c r="B5037" i="18"/>
  <c r="B5036" i="18"/>
  <c r="B5035" i="18"/>
  <c r="B5034" i="18"/>
  <c r="B5033" i="18"/>
  <c r="B5032" i="18"/>
  <c r="B5031" i="18"/>
  <c r="B5030" i="18"/>
  <c r="B5029" i="18"/>
  <c r="B5028" i="18"/>
  <c r="B5027" i="18"/>
  <c r="B5026" i="18"/>
  <c r="B5025" i="18"/>
  <c r="B5024" i="18"/>
  <c r="B5023" i="18"/>
  <c r="B5022" i="18"/>
  <c r="B5021" i="18"/>
  <c r="B5020" i="18"/>
  <c r="B5019" i="18"/>
  <c r="B5018" i="18"/>
  <c r="B5017" i="18"/>
  <c r="B5016" i="18"/>
  <c r="B5015" i="18"/>
  <c r="B5014" i="18"/>
  <c r="B5013" i="18"/>
  <c r="B5012" i="18"/>
  <c r="B5011" i="18"/>
  <c r="B5010" i="18"/>
  <c r="B5009" i="18"/>
  <c r="B5008" i="18"/>
  <c r="B5007" i="18"/>
  <c r="B5006" i="18"/>
  <c r="B5005" i="18"/>
  <c r="B5004" i="18"/>
  <c r="B5003" i="18"/>
  <c r="B5002" i="18"/>
  <c r="B5001" i="18"/>
  <c r="B5000" i="18"/>
  <c r="B4999" i="18"/>
  <c r="B4998" i="18"/>
  <c r="B4997" i="18"/>
  <c r="B4996" i="18"/>
  <c r="B4995" i="18"/>
  <c r="B4994" i="18"/>
  <c r="B4993" i="18"/>
  <c r="B4992" i="18"/>
  <c r="B4991" i="18"/>
  <c r="B4990" i="18"/>
  <c r="B4989" i="18"/>
  <c r="B4988" i="18"/>
  <c r="B4987" i="18"/>
  <c r="B4986" i="18"/>
  <c r="B4985" i="18"/>
  <c r="B4984" i="18"/>
  <c r="B4983" i="18"/>
  <c r="B4982" i="18"/>
  <c r="B4981" i="18"/>
  <c r="B4980" i="18"/>
  <c r="B4979" i="18"/>
  <c r="B4978" i="18"/>
  <c r="B4977" i="18"/>
  <c r="B4976" i="18"/>
  <c r="B4975" i="18"/>
  <c r="B4974" i="18"/>
  <c r="B4973" i="18"/>
  <c r="B4972" i="18"/>
  <c r="B4971" i="18"/>
  <c r="B4970" i="18"/>
  <c r="B4969" i="18"/>
  <c r="B4968" i="18"/>
  <c r="B4967" i="18"/>
  <c r="B4966" i="18"/>
  <c r="B4965" i="18"/>
  <c r="B4964" i="18"/>
  <c r="B4963" i="18"/>
  <c r="B4962" i="18"/>
  <c r="B4961" i="18"/>
  <c r="B4960" i="18"/>
  <c r="B4959" i="18"/>
  <c r="B4958" i="18"/>
  <c r="B4957" i="18"/>
  <c r="B4956" i="18"/>
  <c r="B4955" i="18"/>
  <c r="B4954" i="18"/>
  <c r="B4953" i="18"/>
  <c r="B4952" i="18"/>
  <c r="B4951" i="18"/>
  <c r="B4950" i="18"/>
  <c r="B4949" i="18"/>
  <c r="B4948" i="18"/>
  <c r="B4947" i="18"/>
  <c r="B4946" i="18"/>
  <c r="B4945" i="18"/>
  <c r="B4944" i="18"/>
  <c r="B4943" i="18"/>
  <c r="B4942" i="18"/>
  <c r="B4941" i="18"/>
  <c r="B4940" i="18"/>
  <c r="B4939" i="18"/>
  <c r="B4938" i="18"/>
  <c r="B4937" i="18"/>
  <c r="B4936" i="18"/>
  <c r="B4935" i="18"/>
  <c r="B4934" i="18"/>
  <c r="B4933" i="18"/>
  <c r="B4932" i="18"/>
  <c r="B4931" i="18"/>
  <c r="B4930" i="18"/>
  <c r="B4929" i="18"/>
  <c r="B4928" i="18"/>
  <c r="B4927" i="18"/>
  <c r="B4926" i="18"/>
  <c r="B4925" i="18"/>
  <c r="B4924" i="18"/>
  <c r="B4923" i="18"/>
  <c r="B4922" i="18"/>
  <c r="B4921" i="18"/>
  <c r="B4920" i="18"/>
  <c r="B4919" i="18"/>
  <c r="B4918" i="18"/>
  <c r="B4917" i="18"/>
  <c r="B4916" i="18"/>
  <c r="B4915" i="18"/>
  <c r="B4914" i="18"/>
  <c r="B4913" i="18"/>
  <c r="B4912" i="18"/>
  <c r="B4911" i="18"/>
  <c r="B4910" i="18"/>
  <c r="B4909" i="18"/>
  <c r="B4908" i="18"/>
  <c r="B4907" i="18"/>
  <c r="B4906" i="18"/>
  <c r="B4905" i="18"/>
  <c r="B4904" i="18"/>
  <c r="B4903" i="18"/>
  <c r="B4902" i="18"/>
  <c r="B4901" i="18"/>
  <c r="B4900" i="18"/>
  <c r="B4899" i="18"/>
  <c r="B4898" i="18"/>
  <c r="B4897" i="18"/>
  <c r="B4896" i="18"/>
  <c r="B4895" i="18"/>
  <c r="B4894" i="18"/>
  <c r="B4893" i="18"/>
  <c r="B4892" i="18"/>
  <c r="B4891" i="18"/>
  <c r="B4890" i="18"/>
  <c r="B4889" i="18"/>
  <c r="B4888" i="18"/>
  <c r="B4887" i="18"/>
  <c r="B4886" i="18"/>
  <c r="B4885" i="18"/>
  <c r="B4884" i="18"/>
  <c r="B4883" i="18"/>
  <c r="B4882" i="18"/>
  <c r="B4881" i="18"/>
  <c r="B4880" i="18"/>
  <c r="B4879" i="18"/>
  <c r="B4878" i="18"/>
  <c r="B4877" i="18"/>
  <c r="B4876" i="18"/>
  <c r="B4875" i="18"/>
  <c r="B4874" i="18"/>
  <c r="B4873" i="18"/>
  <c r="B4872" i="18"/>
  <c r="B4871" i="18"/>
  <c r="B4870" i="18"/>
  <c r="B4869" i="18"/>
  <c r="B4868" i="18"/>
  <c r="B4867" i="18"/>
  <c r="B4866" i="18"/>
  <c r="B4865" i="18"/>
  <c r="B4864" i="18"/>
  <c r="B4863" i="18"/>
  <c r="B4862" i="18"/>
  <c r="B4861" i="18"/>
  <c r="B4860" i="18"/>
  <c r="B4859" i="18"/>
  <c r="B4858" i="18"/>
  <c r="B4857" i="18"/>
  <c r="B4856" i="18"/>
  <c r="B4855" i="18"/>
  <c r="B4854" i="18"/>
  <c r="B4853" i="18"/>
  <c r="B4852" i="18"/>
  <c r="B4851" i="18"/>
  <c r="B4850" i="18"/>
  <c r="B4849" i="18"/>
  <c r="B4848" i="18"/>
  <c r="B4847" i="18"/>
  <c r="B4846" i="18"/>
  <c r="B4845" i="18"/>
  <c r="B4844" i="18"/>
  <c r="B4843" i="18"/>
  <c r="B4842" i="18"/>
  <c r="B4841" i="18"/>
  <c r="B4840" i="18"/>
  <c r="B4839" i="18"/>
  <c r="B4838" i="18"/>
  <c r="B4837" i="18"/>
  <c r="B4836" i="18"/>
  <c r="B4835" i="18"/>
  <c r="B4834" i="18"/>
  <c r="B4833" i="18"/>
  <c r="B4832" i="18"/>
  <c r="B4831" i="18"/>
  <c r="B4830" i="18"/>
  <c r="B4829" i="18"/>
  <c r="B4828" i="18"/>
  <c r="B4827" i="18"/>
  <c r="B4826" i="18"/>
  <c r="B4825" i="18"/>
  <c r="B4824" i="18"/>
  <c r="B4823" i="18"/>
  <c r="B4822" i="18"/>
  <c r="B4821" i="18"/>
  <c r="B4820" i="18"/>
  <c r="B4819" i="18"/>
  <c r="B4818" i="18"/>
  <c r="B4817" i="18"/>
  <c r="B4816" i="18"/>
  <c r="B4815" i="18"/>
  <c r="B4814" i="18"/>
  <c r="B4813" i="18"/>
  <c r="B4812" i="18"/>
  <c r="B4811" i="18"/>
  <c r="B4810" i="18"/>
  <c r="B4809" i="18"/>
  <c r="B4808" i="18"/>
  <c r="B4807" i="18"/>
  <c r="B4806" i="18"/>
  <c r="B4805" i="18"/>
  <c r="B4804" i="18"/>
  <c r="B4803" i="18"/>
  <c r="B4802" i="18"/>
  <c r="B4801" i="18"/>
  <c r="B4800" i="18"/>
  <c r="B4799" i="18"/>
  <c r="B4798" i="18"/>
  <c r="B4797" i="18"/>
  <c r="B4796" i="18"/>
  <c r="B4795" i="18"/>
  <c r="B4794" i="18"/>
  <c r="B4793" i="18"/>
  <c r="B4792" i="18"/>
  <c r="B4791" i="18"/>
  <c r="B4790" i="18"/>
  <c r="B4789" i="18"/>
  <c r="B4788" i="18"/>
  <c r="B4787" i="18"/>
  <c r="B4786" i="18"/>
  <c r="B4785" i="18"/>
  <c r="B4784" i="18"/>
  <c r="B4783" i="18"/>
  <c r="B4782" i="18"/>
  <c r="B4781" i="18"/>
  <c r="B4780" i="18"/>
  <c r="B4779" i="18"/>
  <c r="B4778" i="18"/>
  <c r="B4777" i="18"/>
  <c r="B4776" i="18"/>
  <c r="B4775" i="18"/>
  <c r="B4774" i="18"/>
  <c r="B4773" i="18"/>
  <c r="B4772" i="18"/>
  <c r="B4771" i="18"/>
  <c r="B4770" i="18"/>
  <c r="B4769" i="18"/>
  <c r="B4768" i="18"/>
  <c r="B4767" i="18"/>
  <c r="B4766" i="18"/>
  <c r="B4765" i="18"/>
  <c r="B4764" i="18"/>
  <c r="B4763" i="18"/>
  <c r="B4762" i="18"/>
  <c r="B4761" i="18"/>
  <c r="B4760" i="18"/>
  <c r="B4759" i="18"/>
  <c r="B4758" i="18"/>
  <c r="B4757" i="18"/>
  <c r="B4756" i="18"/>
  <c r="B4755" i="18"/>
  <c r="B4754" i="18"/>
  <c r="B4753" i="18"/>
  <c r="B4752" i="18"/>
  <c r="B4751" i="18"/>
  <c r="B4750" i="18"/>
  <c r="B4749" i="18"/>
  <c r="B4748" i="18"/>
  <c r="B4747" i="18"/>
  <c r="B4746" i="18"/>
  <c r="B4745" i="18"/>
  <c r="B4744" i="18"/>
  <c r="B4743" i="18"/>
  <c r="B4742" i="18"/>
  <c r="B4741" i="18"/>
  <c r="B4740" i="18"/>
  <c r="B4739" i="18"/>
  <c r="B4738" i="18"/>
  <c r="B4737" i="18"/>
  <c r="B4736" i="18"/>
  <c r="B4735" i="18"/>
  <c r="B4734" i="18"/>
  <c r="B4733" i="18"/>
  <c r="B4732" i="18"/>
  <c r="B4731" i="18"/>
  <c r="B4730" i="18"/>
  <c r="B4729" i="18"/>
  <c r="B4728" i="18"/>
  <c r="B4727" i="18"/>
  <c r="B4726" i="18"/>
  <c r="B4725" i="18"/>
  <c r="B4724" i="18"/>
  <c r="B4723" i="18"/>
  <c r="B4722" i="18"/>
  <c r="B4721" i="18"/>
  <c r="B4720" i="18"/>
  <c r="B4719" i="18"/>
  <c r="B4718" i="18"/>
  <c r="B4717" i="18"/>
  <c r="B4716" i="18"/>
  <c r="B4715" i="18"/>
  <c r="B4714" i="18"/>
  <c r="B4713" i="18"/>
  <c r="B4712" i="18"/>
  <c r="B4711" i="18"/>
  <c r="B4710" i="18"/>
  <c r="B4709" i="18"/>
  <c r="B4708" i="18"/>
  <c r="B4707" i="18"/>
  <c r="B4706" i="18"/>
  <c r="B4705" i="18"/>
  <c r="B4704" i="18"/>
  <c r="B4703" i="18"/>
  <c r="B4702" i="18"/>
  <c r="B4701" i="18"/>
  <c r="B4700" i="18"/>
  <c r="B4699" i="18"/>
  <c r="B4698" i="18"/>
  <c r="B4697" i="18"/>
  <c r="B4696" i="18"/>
  <c r="B4695" i="18"/>
  <c r="B4694" i="18"/>
  <c r="B4693" i="18"/>
  <c r="B4692" i="18"/>
  <c r="B4691" i="18"/>
  <c r="B4690" i="18"/>
  <c r="B4689" i="18"/>
  <c r="B4688" i="18"/>
  <c r="B4687" i="18"/>
  <c r="B4686" i="18"/>
  <c r="B4685" i="18"/>
  <c r="B4684" i="18"/>
  <c r="B4683" i="18"/>
  <c r="B4682" i="18"/>
  <c r="B4681" i="18"/>
  <c r="B4680" i="18"/>
  <c r="B4679" i="18"/>
  <c r="B4678" i="18"/>
  <c r="B4677" i="18"/>
  <c r="B4676" i="18"/>
  <c r="B4675" i="18"/>
  <c r="B4674" i="18"/>
  <c r="B4673" i="18"/>
  <c r="B4672" i="18"/>
  <c r="B4671" i="18"/>
  <c r="B4670" i="18"/>
  <c r="B4669" i="18"/>
  <c r="B4668" i="18"/>
  <c r="B4667" i="18"/>
  <c r="B4666" i="18"/>
  <c r="B4665" i="18"/>
  <c r="B4664" i="18"/>
  <c r="B4663" i="18"/>
  <c r="B4662" i="18"/>
  <c r="B4661" i="18"/>
  <c r="B4660" i="18"/>
  <c r="B4659" i="18"/>
  <c r="B4658" i="18"/>
  <c r="B4657" i="18"/>
  <c r="B4656" i="18"/>
  <c r="B4655" i="18"/>
  <c r="B4654" i="18"/>
  <c r="B4653" i="18"/>
  <c r="B4652" i="18"/>
  <c r="B4651" i="18"/>
  <c r="B4650" i="18"/>
  <c r="B4649" i="18"/>
  <c r="B4648" i="18"/>
  <c r="B4647" i="18"/>
  <c r="B4646" i="18"/>
  <c r="B4645" i="18"/>
  <c r="B4644" i="18"/>
  <c r="B4643" i="18"/>
  <c r="B4642" i="18"/>
  <c r="B4641" i="18"/>
  <c r="B4640" i="18"/>
  <c r="B4639" i="18"/>
  <c r="B4638" i="18"/>
  <c r="B4637" i="18"/>
  <c r="B4636" i="18"/>
  <c r="B4635" i="18"/>
  <c r="B4634" i="18"/>
  <c r="B4633" i="18"/>
  <c r="B4632" i="18"/>
  <c r="B4631" i="18"/>
  <c r="B4630" i="18"/>
  <c r="B4629" i="18"/>
  <c r="B4628" i="18"/>
  <c r="B4627" i="18"/>
  <c r="B4626" i="18"/>
  <c r="B4625" i="18"/>
  <c r="B4624" i="18"/>
  <c r="B4623" i="18"/>
  <c r="B4622" i="18"/>
  <c r="B4621" i="18"/>
  <c r="B4620" i="18"/>
  <c r="B4619" i="18"/>
  <c r="B4618" i="18"/>
  <c r="B4617" i="18"/>
  <c r="B4616" i="18"/>
  <c r="B4615" i="18"/>
  <c r="B4614" i="18"/>
  <c r="B4613" i="18"/>
  <c r="B4612" i="18"/>
  <c r="B4611" i="18"/>
  <c r="B4610" i="18"/>
  <c r="B4609" i="18"/>
  <c r="B4608" i="18"/>
  <c r="B4607" i="18"/>
  <c r="B4606" i="18"/>
  <c r="B4605" i="18"/>
  <c r="B4604" i="18"/>
  <c r="B4603" i="18"/>
  <c r="B4602" i="18"/>
  <c r="B4601" i="18"/>
  <c r="B4600" i="18"/>
  <c r="B4599" i="18"/>
  <c r="B4598" i="18"/>
  <c r="B4597" i="18"/>
  <c r="B4596" i="18"/>
  <c r="B4595" i="18"/>
  <c r="B4594" i="18"/>
  <c r="B4593" i="18"/>
  <c r="B4592" i="18"/>
  <c r="B4591" i="18"/>
  <c r="B4590" i="18"/>
  <c r="B4589" i="18"/>
  <c r="B4588" i="18"/>
  <c r="B4587" i="18"/>
  <c r="B4586" i="18"/>
  <c r="B4585" i="18"/>
  <c r="B4584" i="18"/>
  <c r="B4583" i="18"/>
  <c r="B4582" i="18"/>
  <c r="B4581" i="18"/>
  <c r="B4580" i="18"/>
  <c r="B4579" i="18"/>
  <c r="B4578" i="18"/>
  <c r="B4577" i="18"/>
  <c r="B4576" i="18"/>
  <c r="B4575" i="18"/>
  <c r="B4574" i="18"/>
  <c r="B4573" i="18"/>
  <c r="B4572" i="18"/>
  <c r="B4571" i="18"/>
  <c r="B4570" i="18"/>
  <c r="B4569" i="18"/>
  <c r="B4568" i="18"/>
  <c r="B4567" i="18"/>
  <c r="B4566" i="18"/>
  <c r="B4565" i="18"/>
  <c r="B4564" i="18"/>
  <c r="B4563" i="18"/>
  <c r="B4562" i="18"/>
  <c r="B4561" i="18"/>
  <c r="B4560" i="18"/>
  <c r="B4559" i="18"/>
  <c r="B4558" i="18"/>
  <c r="B4557" i="18"/>
  <c r="B4556" i="18"/>
  <c r="B4555" i="18"/>
  <c r="B4554" i="18"/>
  <c r="B4553" i="18"/>
  <c r="B4552" i="18"/>
  <c r="B4551" i="18"/>
  <c r="B4550" i="18"/>
  <c r="B4549" i="18"/>
  <c r="B4548" i="18"/>
  <c r="B4547" i="18"/>
  <c r="B4546" i="18"/>
  <c r="B4545" i="18"/>
  <c r="B4544" i="18"/>
  <c r="B4543" i="18"/>
  <c r="B4542" i="18"/>
  <c r="B4541" i="18"/>
  <c r="B4540" i="18"/>
  <c r="B4539" i="18"/>
  <c r="B4538" i="18"/>
  <c r="B4537" i="18"/>
  <c r="B4536" i="18"/>
  <c r="B4535" i="18"/>
  <c r="B4534" i="18"/>
  <c r="B4533" i="18"/>
  <c r="B4532" i="18"/>
  <c r="B4531" i="18"/>
  <c r="B4530" i="18"/>
  <c r="B4529" i="18"/>
  <c r="B4528" i="18"/>
  <c r="B4527" i="18"/>
  <c r="B4526" i="18"/>
  <c r="B4525" i="18"/>
  <c r="B4524" i="18"/>
  <c r="B4523" i="18"/>
  <c r="B4522" i="18"/>
  <c r="B4521" i="18"/>
  <c r="B4520" i="18"/>
  <c r="B4519" i="18"/>
  <c r="B4518" i="18"/>
  <c r="B4517" i="18"/>
  <c r="B4516" i="18"/>
  <c r="B4515" i="18"/>
  <c r="B4514" i="18"/>
  <c r="B4513" i="18"/>
  <c r="B4512" i="18"/>
  <c r="B4511" i="18"/>
  <c r="B4510" i="18"/>
  <c r="B4509" i="18"/>
  <c r="B4508" i="18"/>
  <c r="B4507" i="18"/>
  <c r="B4506" i="18"/>
  <c r="B4505" i="18"/>
  <c r="B4504" i="18"/>
  <c r="B4503" i="18"/>
  <c r="B4502" i="18"/>
  <c r="B4501" i="18"/>
  <c r="B4500" i="18"/>
  <c r="B4499" i="18"/>
  <c r="B4498" i="18"/>
  <c r="B4497" i="18"/>
  <c r="B4496" i="18"/>
  <c r="B4495" i="18"/>
  <c r="B4494" i="18"/>
  <c r="B4493" i="18"/>
  <c r="B4492" i="18"/>
  <c r="B4491" i="18"/>
  <c r="B4490" i="18"/>
  <c r="B4489" i="18"/>
  <c r="B4488" i="18"/>
  <c r="B4487" i="18"/>
  <c r="B4486" i="18"/>
  <c r="B4485" i="18"/>
  <c r="B4484" i="18"/>
  <c r="B4483" i="18"/>
  <c r="B4482" i="18"/>
  <c r="B4481" i="18"/>
  <c r="B4480" i="18"/>
  <c r="B4479" i="18"/>
  <c r="B4478" i="18"/>
  <c r="B4477" i="18"/>
  <c r="B4476" i="18"/>
  <c r="B4475" i="18"/>
  <c r="B4474" i="18"/>
  <c r="B4473" i="18"/>
  <c r="B4472" i="18"/>
  <c r="B4471" i="18"/>
  <c r="B4470" i="18"/>
  <c r="B4469" i="18"/>
  <c r="B4468" i="18"/>
  <c r="B4467" i="18"/>
  <c r="B4466" i="18"/>
  <c r="B4465" i="18"/>
  <c r="B4464" i="18"/>
  <c r="B4463" i="18"/>
  <c r="B4462" i="18"/>
  <c r="B4461" i="18"/>
  <c r="B4460" i="18"/>
  <c r="B4459" i="18"/>
  <c r="B4458" i="18"/>
  <c r="B4457" i="18"/>
  <c r="B4456" i="18"/>
  <c r="B4455" i="18"/>
  <c r="B4454" i="18"/>
  <c r="B4453" i="18"/>
  <c r="B4452" i="18"/>
  <c r="B4451" i="18"/>
  <c r="B4450" i="18"/>
  <c r="B4449" i="18"/>
  <c r="B4448" i="18"/>
  <c r="B4447" i="18"/>
  <c r="B4446" i="18"/>
  <c r="B4445" i="18"/>
  <c r="B4444" i="18"/>
  <c r="B4443" i="18"/>
  <c r="B4442" i="18"/>
  <c r="B4441" i="18"/>
  <c r="B4440" i="18"/>
  <c r="B4439" i="18"/>
  <c r="B4438" i="18"/>
  <c r="B4437" i="18"/>
  <c r="B4436" i="18"/>
  <c r="B4435" i="18"/>
  <c r="B4434" i="18"/>
  <c r="B4433" i="18"/>
  <c r="B4432" i="18"/>
  <c r="B4431" i="18"/>
  <c r="B4430" i="18"/>
  <c r="B4429" i="18"/>
  <c r="B4428" i="18"/>
  <c r="B4427" i="18"/>
  <c r="B4426" i="18"/>
  <c r="B4425" i="18"/>
  <c r="B4424" i="18"/>
  <c r="B4423" i="18"/>
  <c r="B4422" i="18"/>
  <c r="B4421" i="18"/>
  <c r="B4420" i="18"/>
  <c r="B4419" i="18"/>
  <c r="B4418" i="18"/>
  <c r="B4417" i="18"/>
  <c r="B4416" i="18"/>
  <c r="B4415" i="18"/>
  <c r="B4414" i="18"/>
  <c r="B4413" i="18"/>
  <c r="B4412" i="18"/>
  <c r="B4411" i="18"/>
  <c r="B4410" i="18"/>
  <c r="B4409" i="18"/>
  <c r="B4408" i="18"/>
  <c r="B4407" i="18"/>
  <c r="B4406" i="18"/>
  <c r="B4405" i="18"/>
  <c r="B4404" i="18"/>
  <c r="B4403" i="18"/>
  <c r="B4402" i="18"/>
  <c r="B4401" i="18"/>
  <c r="B4400" i="18"/>
  <c r="B4399" i="18"/>
  <c r="B4398" i="18"/>
  <c r="B4397" i="18"/>
  <c r="B4396" i="18"/>
  <c r="B4395" i="18"/>
  <c r="B4394" i="18"/>
  <c r="B4393" i="18"/>
  <c r="B4392" i="18"/>
  <c r="B4391" i="18"/>
  <c r="B4390" i="18"/>
  <c r="B4389" i="18"/>
  <c r="B4388" i="18"/>
  <c r="B4387" i="18"/>
  <c r="B4386" i="18"/>
  <c r="B4385" i="18"/>
  <c r="B4384" i="18"/>
  <c r="B4383" i="18"/>
  <c r="B4382" i="18"/>
  <c r="B4381" i="18"/>
  <c r="B4380" i="18"/>
  <c r="B4379" i="18"/>
  <c r="B4378" i="18"/>
  <c r="B4377" i="18"/>
  <c r="B4376" i="18"/>
  <c r="B4375" i="18"/>
  <c r="B4374" i="18"/>
  <c r="B4373" i="18"/>
  <c r="B4372" i="18"/>
  <c r="B4371" i="18"/>
  <c r="B4370" i="18"/>
  <c r="B4369" i="18"/>
  <c r="B4368" i="18"/>
  <c r="B4367" i="18"/>
  <c r="B4366" i="18"/>
  <c r="B4365" i="18"/>
  <c r="B4364" i="18"/>
  <c r="B4363" i="18"/>
  <c r="B4362" i="18"/>
  <c r="B4361" i="18"/>
  <c r="B4360" i="18"/>
  <c r="B4359" i="18"/>
  <c r="B4358" i="18"/>
  <c r="B4357" i="18"/>
  <c r="B4356" i="18"/>
  <c r="B4355" i="18"/>
  <c r="B4354" i="18"/>
  <c r="B4353" i="18"/>
  <c r="B4352" i="18"/>
  <c r="B4351" i="18"/>
  <c r="B4350" i="18"/>
  <c r="B4349" i="18"/>
  <c r="B4348" i="18"/>
  <c r="B4347" i="18"/>
  <c r="B4346" i="18"/>
  <c r="B4345" i="18"/>
  <c r="B4344" i="18"/>
  <c r="B4343" i="18"/>
  <c r="B4342" i="18"/>
  <c r="B4341" i="18"/>
  <c r="B4340" i="18"/>
  <c r="B4339" i="18"/>
  <c r="B4338" i="18"/>
  <c r="B4337" i="18"/>
  <c r="B4336" i="18"/>
  <c r="B4335" i="18"/>
  <c r="B4334" i="18"/>
  <c r="B4333" i="18"/>
  <c r="B4332" i="18"/>
  <c r="B4331" i="18"/>
  <c r="B4330" i="18"/>
  <c r="B4329" i="18"/>
  <c r="B4328" i="18"/>
  <c r="B4327" i="18"/>
  <c r="B4326" i="18"/>
  <c r="B4325" i="18"/>
  <c r="B4324" i="18"/>
  <c r="B4323" i="18"/>
  <c r="B4322" i="18"/>
  <c r="B4321" i="18"/>
  <c r="B4320" i="18"/>
  <c r="B4319" i="18"/>
  <c r="B4318" i="18"/>
  <c r="B4317" i="18"/>
  <c r="B4316" i="18"/>
  <c r="B4315" i="18"/>
  <c r="B4314" i="18"/>
  <c r="B4313" i="18"/>
  <c r="B4312" i="18"/>
  <c r="B4311" i="18"/>
  <c r="B4310" i="18"/>
  <c r="B4309" i="18"/>
  <c r="B4308" i="18"/>
  <c r="B4307" i="18"/>
  <c r="B4306" i="18"/>
  <c r="B4305" i="18"/>
  <c r="B4304" i="18"/>
  <c r="B4303" i="18"/>
  <c r="B4302" i="18"/>
  <c r="B4301" i="18"/>
  <c r="B4300" i="18"/>
  <c r="B4299" i="18"/>
  <c r="B4298" i="18"/>
  <c r="B4297" i="18"/>
  <c r="B4296" i="18"/>
  <c r="B4295" i="18"/>
  <c r="B4294" i="18"/>
  <c r="B4293" i="18"/>
  <c r="B4292" i="18"/>
  <c r="B4291" i="18"/>
  <c r="B4290" i="18"/>
  <c r="B4289" i="18"/>
  <c r="B4288" i="18"/>
  <c r="B4287" i="18"/>
  <c r="B4286" i="18"/>
  <c r="B4285" i="18"/>
  <c r="B4284" i="18"/>
  <c r="B4283" i="18"/>
  <c r="B4282" i="18"/>
  <c r="B4281" i="18"/>
  <c r="B4280" i="18"/>
  <c r="B4279" i="18"/>
  <c r="B4278" i="18"/>
  <c r="B4277" i="18"/>
  <c r="B4276" i="18"/>
  <c r="B4275" i="18"/>
  <c r="B4274" i="18"/>
  <c r="B4273" i="18"/>
  <c r="B4272" i="18"/>
  <c r="B4271" i="18"/>
  <c r="B4270" i="18"/>
  <c r="B4269" i="18"/>
  <c r="B4268" i="18"/>
  <c r="B4267" i="18"/>
  <c r="B4266" i="18"/>
  <c r="B4265" i="18"/>
  <c r="B4264" i="18"/>
  <c r="B4263" i="18"/>
  <c r="B4262" i="18"/>
  <c r="B4261" i="18"/>
  <c r="B4260" i="18"/>
  <c r="B4259" i="18"/>
  <c r="B4258" i="18"/>
  <c r="B4257" i="18"/>
  <c r="B4256" i="18"/>
  <c r="B4255" i="18"/>
  <c r="B4254" i="18"/>
  <c r="B4253" i="18"/>
  <c r="B4252" i="18"/>
  <c r="B4251" i="18"/>
  <c r="B4250" i="18"/>
  <c r="B4249" i="18"/>
  <c r="B4248" i="18"/>
  <c r="B4247" i="18"/>
  <c r="B4246" i="18"/>
  <c r="B4245" i="18"/>
  <c r="B4244" i="18"/>
  <c r="B4243" i="18"/>
  <c r="B4242" i="18"/>
  <c r="B4241" i="18"/>
  <c r="B4240" i="18"/>
  <c r="B4239" i="18"/>
  <c r="B4238" i="18"/>
  <c r="B4237" i="18"/>
  <c r="B4236" i="18"/>
  <c r="B4235" i="18"/>
  <c r="B4234" i="18"/>
  <c r="B4233" i="18"/>
  <c r="B4232" i="18"/>
  <c r="B4231" i="18"/>
  <c r="B4230" i="18"/>
  <c r="B4229" i="18"/>
  <c r="B4228" i="18"/>
  <c r="B4227" i="18"/>
  <c r="B4226" i="18"/>
  <c r="B4225" i="18"/>
  <c r="B4224" i="18"/>
  <c r="B4223" i="18"/>
  <c r="B4222" i="18"/>
  <c r="B4221" i="18"/>
  <c r="B4220" i="18"/>
  <c r="B4219" i="18"/>
  <c r="B4218" i="18"/>
  <c r="B4217" i="18"/>
  <c r="B4216" i="18"/>
  <c r="B4215" i="18"/>
  <c r="B4214" i="18"/>
  <c r="B4213" i="18"/>
  <c r="B4212" i="18"/>
  <c r="B4211" i="18"/>
  <c r="B4210" i="18"/>
  <c r="B4209" i="18"/>
  <c r="B4208" i="18"/>
  <c r="B4207" i="18"/>
  <c r="B4206" i="18"/>
  <c r="B4205" i="18"/>
  <c r="B4204" i="18"/>
  <c r="B4203" i="18"/>
  <c r="B4202" i="18"/>
  <c r="B4201" i="18"/>
  <c r="B4200" i="18"/>
  <c r="B4199" i="18"/>
  <c r="B4198" i="18"/>
  <c r="B4197" i="18"/>
  <c r="B4196" i="18"/>
  <c r="B4195" i="18"/>
  <c r="B4194" i="18"/>
  <c r="B4193" i="18"/>
  <c r="B4192" i="18"/>
  <c r="B4191" i="18"/>
  <c r="B4190" i="18"/>
  <c r="B4189" i="18"/>
  <c r="B4188" i="18"/>
  <c r="B4187" i="18"/>
  <c r="B4186" i="18"/>
  <c r="B4185" i="18"/>
  <c r="B4184" i="18"/>
  <c r="B4183" i="18"/>
  <c r="B4182" i="18"/>
  <c r="B4181" i="18"/>
  <c r="B4180" i="18"/>
  <c r="B4179" i="18"/>
  <c r="B4178" i="18"/>
  <c r="B4177" i="18"/>
  <c r="B4176" i="18"/>
  <c r="B4175" i="18"/>
  <c r="B4174" i="18"/>
  <c r="B4173" i="18"/>
  <c r="B4172" i="18"/>
  <c r="B4171" i="18"/>
  <c r="B4170" i="18"/>
  <c r="B4169" i="18"/>
  <c r="B4168" i="18"/>
  <c r="B4167" i="18"/>
  <c r="B4166" i="18"/>
  <c r="B4165" i="18"/>
  <c r="B4164" i="18"/>
  <c r="B4163" i="18"/>
  <c r="B4162" i="18"/>
  <c r="B4161" i="18"/>
  <c r="B4160" i="18"/>
  <c r="B4159" i="18"/>
  <c r="B4158" i="18"/>
  <c r="B4157" i="18"/>
  <c r="B4156" i="18"/>
  <c r="B4155" i="18"/>
  <c r="B4154" i="18"/>
  <c r="B4153" i="18"/>
  <c r="B4152" i="18"/>
  <c r="B4151" i="18"/>
  <c r="B4150" i="18"/>
  <c r="B4149" i="18"/>
  <c r="B4148" i="18"/>
  <c r="B4147" i="18"/>
  <c r="B4146" i="18"/>
  <c r="B4145" i="18"/>
  <c r="B4144" i="18"/>
  <c r="B4143" i="18"/>
  <c r="B4142" i="18"/>
  <c r="B4141" i="18"/>
  <c r="B4140" i="18"/>
  <c r="B4139" i="18"/>
  <c r="B4138" i="18"/>
  <c r="B4137" i="18"/>
  <c r="B4136" i="18"/>
  <c r="B4135" i="18"/>
  <c r="B4134" i="18"/>
  <c r="B4133" i="18"/>
  <c r="B4132" i="18"/>
  <c r="B4131" i="18"/>
  <c r="B4130" i="18"/>
  <c r="B4129" i="18"/>
  <c r="B4128" i="18"/>
  <c r="B4127" i="18"/>
  <c r="B4126" i="18"/>
  <c r="B4125" i="18"/>
  <c r="B4124" i="18"/>
  <c r="B4123" i="18"/>
  <c r="B4122" i="18"/>
  <c r="B4121" i="18"/>
  <c r="B4120" i="18"/>
  <c r="B4119" i="18"/>
  <c r="B4118" i="18"/>
  <c r="B4117" i="18"/>
  <c r="B4116" i="18"/>
  <c r="B4115" i="18"/>
  <c r="B4114" i="18"/>
  <c r="B4113" i="18"/>
  <c r="B4112" i="18"/>
  <c r="B4111" i="18"/>
  <c r="B4110" i="18"/>
  <c r="B4109" i="18"/>
  <c r="B4108" i="18"/>
  <c r="B4107" i="18"/>
  <c r="B4106" i="18"/>
  <c r="B4105" i="18"/>
  <c r="B4104" i="18"/>
  <c r="B4103" i="18"/>
  <c r="B4102" i="18"/>
  <c r="B4101" i="18"/>
  <c r="B4100" i="18"/>
  <c r="B4099" i="18"/>
  <c r="B4098" i="18"/>
  <c r="B4097" i="18"/>
  <c r="B4096" i="18"/>
  <c r="B4095" i="18"/>
  <c r="B4094" i="18"/>
  <c r="B4093" i="18"/>
  <c r="B4092" i="18"/>
  <c r="B4091" i="18"/>
  <c r="B4090" i="18"/>
  <c r="B4089" i="18"/>
  <c r="B4088" i="18"/>
  <c r="B4087" i="18"/>
  <c r="B4086" i="18"/>
  <c r="B4085" i="18"/>
  <c r="B4084" i="18"/>
  <c r="B4083" i="18"/>
  <c r="B4082" i="18"/>
  <c r="B4081" i="18"/>
  <c r="B4080" i="18"/>
  <c r="B4079" i="18"/>
  <c r="B4078" i="18"/>
  <c r="B4077" i="18"/>
  <c r="B4076" i="18"/>
  <c r="B4075" i="18"/>
  <c r="B4074" i="18"/>
  <c r="B4073" i="18"/>
  <c r="B4072" i="18"/>
  <c r="B4071" i="18"/>
  <c r="B4070" i="18"/>
  <c r="B4069" i="18"/>
  <c r="B4068" i="18"/>
  <c r="B4067" i="18"/>
  <c r="B4066" i="18"/>
  <c r="B4065" i="18"/>
  <c r="B4064" i="18"/>
  <c r="B4063" i="18"/>
  <c r="B4062" i="18"/>
  <c r="B4061" i="18"/>
  <c r="B4060" i="18"/>
  <c r="B4059" i="18"/>
  <c r="B4058" i="18"/>
  <c r="B4057" i="18"/>
  <c r="B4056" i="18"/>
  <c r="B4055" i="18"/>
  <c r="B4054" i="18"/>
  <c r="B4053" i="18"/>
  <c r="B4052" i="18"/>
  <c r="B4051" i="18"/>
  <c r="B4050" i="18"/>
  <c r="B4049" i="18"/>
  <c r="B4048" i="18"/>
  <c r="B4047" i="18"/>
  <c r="B4046" i="18"/>
  <c r="B4045" i="18"/>
  <c r="B4044" i="18"/>
  <c r="B4043" i="18"/>
  <c r="B4042" i="18"/>
  <c r="B4041" i="18"/>
  <c r="B4040" i="18"/>
  <c r="B4039" i="18"/>
  <c r="B4038" i="18"/>
  <c r="B4037" i="18"/>
  <c r="B4036" i="18"/>
  <c r="B4035" i="18"/>
  <c r="B4034" i="18"/>
  <c r="B4033" i="18"/>
  <c r="B4032" i="18"/>
  <c r="B4031" i="18"/>
  <c r="B4030" i="18"/>
  <c r="B4029" i="18"/>
  <c r="B4028" i="18"/>
  <c r="B4027" i="18"/>
  <c r="B4026" i="18"/>
  <c r="B4025" i="18"/>
  <c r="B4024" i="18"/>
  <c r="B4023" i="18"/>
  <c r="B4022" i="18"/>
  <c r="B4021" i="18"/>
  <c r="B4020" i="18"/>
  <c r="B4019" i="18"/>
  <c r="B4018" i="18"/>
  <c r="B4017" i="18"/>
  <c r="B4016" i="18"/>
  <c r="B4015" i="18"/>
  <c r="B4014" i="18"/>
  <c r="B4013" i="18"/>
  <c r="B4012" i="18"/>
  <c r="B4011" i="18"/>
  <c r="B4010" i="18"/>
  <c r="B4009" i="18"/>
  <c r="B4008" i="18"/>
  <c r="B4007" i="18"/>
  <c r="B4006" i="18"/>
  <c r="B4005" i="18"/>
  <c r="B4004" i="18"/>
  <c r="B4003" i="18"/>
  <c r="B4002" i="18"/>
  <c r="B4001" i="18"/>
  <c r="B4000" i="18"/>
  <c r="B3999" i="18"/>
  <c r="B3998" i="18"/>
  <c r="B3997" i="18"/>
  <c r="B3996" i="18"/>
  <c r="B3995" i="18"/>
  <c r="B3994" i="18"/>
  <c r="B3993" i="18"/>
  <c r="B3992" i="18"/>
  <c r="B3991" i="18"/>
  <c r="B3990" i="18"/>
  <c r="B3989" i="18"/>
  <c r="B3988" i="18"/>
  <c r="B3987" i="18"/>
  <c r="B3986" i="18"/>
  <c r="B3985" i="18"/>
  <c r="B3984" i="18"/>
  <c r="B3983" i="18"/>
  <c r="B3982" i="18"/>
  <c r="B3981" i="18"/>
  <c r="B3980" i="18"/>
  <c r="B3979" i="18"/>
  <c r="B3978" i="18"/>
  <c r="B3977" i="18"/>
  <c r="B3976" i="18"/>
  <c r="B3975" i="18"/>
  <c r="B3974" i="18"/>
  <c r="B3973" i="18"/>
  <c r="B3972" i="18"/>
  <c r="B3971" i="18"/>
  <c r="B3970" i="18"/>
  <c r="B3969" i="18"/>
  <c r="B3968" i="18"/>
  <c r="B3967" i="18"/>
  <c r="B3966" i="18"/>
  <c r="B3965" i="18"/>
  <c r="B3964" i="18"/>
  <c r="B3963" i="18"/>
  <c r="B3962" i="18"/>
  <c r="B3961" i="18"/>
  <c r="B3960" i="18"/>
  <c r="B3959" i="18"/>
  <c r="B3958" i="18"/>
  <c r="B3957" i="18"/>
  <c r="B3956" i="18"/>
  <c r="B3955" i="18"/>
  <c r="B3954" i="18"/>
  <c r="B3953" i="18"/>
  <c r="B3952" i="18"/>
  <c r="B3951" i="18"/>
  <c r="B3950" i="18"/>
  <c r="B3949" i="18"/>
  <c r="B3948" i="18"/>
  <c r="B3947" i="18"/>
  <c r="B3946" i="18"/>
  <c r="B3945" i="18"/>
  <c r="B3944" i="18"/>
  <c r="B3943" i="18"/>
  <c r="B3942" i="18"/>
  <c r="B3941" i="18"/>
  <c r="B3940" i="18"/>
  <c r="B3939" i="18"/>
  <c r="B3938" i="18"/>
  <c r="B3937" i="18"/>
  <c r="B3936" i="18"/>
  <c r="B3935" i="18"/>
  <c r="B3934" i="18"/>
  <c r="B3933" i="18"/>
  <c r="B3932" i="18"/>
  <c r="B3931" i="18"/>
  <c r="B3930" i="18"/>
  <c r="B3929" i="18"/>
  <c r="B3928" i="18"/>
  <c r="B3927" i="18"/>
  <c r="B3926" i="18"/>
  <c r="B3925" i="18"/>
  <c r="B3924" i="18"/>
  <c r="B3923" i="18"/>
  <c r="B3922" i="18"/>
  <c r="B3921" i="18"/>
  <c r="B3920" i="18"/>
  <c r="B3919" i="18"/>
  <c r="B3918" i="18"/>
  <c r="B3917" i="18"/>
  <c r="B3916" i="18"/>
  <c r="B3915" i="18"/>
  <c r="B3914" i="18"/>
  <c r="B3913" i="18"/>
  <c r="B3912" i="18"/>
  <c r="B3911" i="18"/>
  <c r="B3910" i="18"/>
  <c r="B3909" i="18"/>
  <c r="B3908" i="18"/>
  <c r="B3907" i="18"/>
  <c r="B3906" i="18"/>
  <c r="B3905" i="18"/>
  <c r="B3904" i="18"/>
  <c r="B3903" i="18"/>
  <c r="B3902" i="18"/>
  <c r="B3901" i="18"/>
  <c r="B3900" i="18"/>
  <c r="B3899" i="18"/>
  <c r="B3898" i="18"/>
  <c r="B3897" i="18"/>
  <c r="B3896" i="18"/>
  <c r="B3895" i="18"/>
  <c r="B3894" i="18"/>
  <c r="B3893" i="18"/>
  <c r="B3892" i="18"/>
  <c r="B3891" i="18"/>
  <c r="B3890" i="18"/>
  <c r="B3889" i="18"/>
  <c r="B3888" i="18"/>
  <c r="B3887" i="18"/>
  <c r="B3886" i="18"/>
  <c r="B3885" i="18"/>
  <c r="B3884" i="18"/>
  <c r="B3883" i="18"/>
  <c r="B3882" i="18"/>
  <c r="B3881" i="18"/>
  <c r="B3880" i="18"/>
  <c r="B3879" i="18"/>
  <c r="B3878" i="18"/>
  <c r="B3877" i="18"/>
  <c r="B3876" i="18"/>
  <c r="B3875" i="18"/>
  <c r="B3874" i="18"/>
  <c r="B3873" i="18"/>
  <c r="B3872" i="18"/>
  <c r="B3871" i="18"/>
  <c r="B3870" i="18"/>
  <c r="B3869" i="18"/>
  <c r="B3868" i="18"/>
  <c r="B3867" i="18"/>
  <c r="B3866" i="18"/>
  <c r="B3865" i="18"/>
  <c r="B3864" i="18"/>
  <c r="B3863" i="18"/>
  <c r="B3862" i="18"/>
  <c r="B3861" i="18"/>
  <c r="B3860" i="18"/>
  <c r="B3859" i="18"/>
  <c r="B3858" i="18"/>
  <c r="B3857" i="18"/>
  <c r="B3856" i="18"/>
  <c r="B3855" i="18"/>
  <c r="B3854" i="18"/>
  <c r="B3853" i="18"/>
  <c r="B3852" i="18"/>
  <c r="B3851" i="18"/>
  <c r="B3850" i="18"/>
  <c r="B3849" i="18"/>
  <c r="B3848" i="18"/>
  <c r="B3847" i="18"/>
  <c r="B3846" i="18"/>
  <c r="B3845" i="18"/>
  <c r="B3844" i="18"/>
  <c r="B3843" i="18"/>
  <c r="B3842" i="18"/>
  <c r="B3841" i="18"/>
  <c r="B3840" i="18"/>
  <c r="B3839" i="18"/>
  <c r="B3838" i="18"/>
  <c r="B3837" i="18"/>
  <c r="B3836" i="18"/>
  <c r="B3835" i="18"/>
  <c r="B3834" i="18"/>
  <c r="B3833" i="18"/>
  <c r="B3832" i="18"/>
  <c r="B3831" i="18"/>
  <c r="B3830" i="18"/>
  <c r="B3829" i="18"/>
  <c r="B3828" i="18"/>
  <c r="B3827" i="18"/>
  <c r="B3826" i="18"/>
  <c r="B3825" i="18"/>
  <c r="B3824" i="18"/>
  <c r="B3823" i="18"/>
  <c r="B3822" i="18"/>
  <c r="B3821" i="18"/>
  <c r="B3820" i="18"/>
  <c r="B3819" i="18"/>
  <c r="B3818" i="18"/>
  <c r="B3817" i="18"/>
  <c r="B3816" i="18"/>
  <c r="B3815" i="18"/>
  <c r="B3814" i="18"/>
  <c r="B3813" i="18"/>
  <c r="B3812" i="18"/>
  <c r="B3811" i="18"/>
  <c r="B3810" i="18"/>
  <c r="B3809" i="18"/>
  <c r="B3808" i="18"/>
  <c r="B3807" i="18"/>
  <c r="B3806" i="18"/>
  <c r="B3805" i="18"/>
  <c r="B3804" i="18"/>
  <c r="B3803" i="18"/>
  <c r="B3802" i="18"/>
  <c r="B3801" i="18"/>
  <c r="B3800" i="18"/>
  <c r="B3799" i="18"/>
  <c r="B3798" i="18"/>
  <c r="B3797" i="18"/>
  <c r="B3796" i="18"/>
  <c r="B3795" i="18"/>
  <c r="B3794" i="18"/>
  <c r="B3793" i="18"/>
  <c r="B3792" i="18"/>
  <c r="B3791" i="18"/>
  <c r="B3790" i="18"/>
  <c r="B3789" i="18"/>
  <c r="B3788" i="18"/>
  <c r="B3787" i="18"/>
  <c r="B3786" i="18"/>
  <c r="B3785" i="18"/>
  <c r="B3784" i="18"/>
  <c r="B3783" i="18"/>
  <c r="B3782" i="18"/>
  <c r="B3781" i="18"/>
  <c r="B3780" i="18"/>
  <c r="B3779" i="18"/>
  <c r="B3778" i="18"/>
  <c r="B3777" i="18"/>
  <c r="B3776" i="18"/>
  <c r="B3775" i="18"/>
  <c r="B3774" i="18"/>
  <c r="B3773" i="18"/>
  <c r="B3772" i="18"/>
  <c r="B3771" i="18"/>
  <c r="B3770" i="18"/>
  <c r="B3769" i="18"/>
  <c r="B3768" i="18"/>
  <c r="B3767" i="18"/>
  <c r="B3766" i="18"/>
  <c r="B3765" i="18"/>
  <c r="B3764" i="18"/>
  <c r="B3763" i="18"/>
  <c r="B3762" i="18"/>
  <c r="B3761" i="18"/>
  <c r="B3760" i="18"/>
  <c r="B3759" i="18"/>
  <c r="B3758" i="18"/>
  <c r="B3757" i="18"/>
  <c r="B3756" i="18"/>
  <c r="B3755" i="18"/>
  <c r="B3754" i="18"/>
  <c r="B3753" i="18"/>
  <c r="B3752" i="18"/>
  <c r="B3751" i="18"/>
  <c r="B3750" i="18"/>
  <c r="B3749" i="18"/>
  <c r="B3748" i="18"/>
  <c r="B3747" i="18"/>
  <c r="B3746" i="18"/>
  <c r="B3745" i="18"/>
  <c r="B3744" i="18"/>
  <c r="B3743" i="18"/>
  <c r="B3742" i="18"/>
  <c r="B3741" i="18"/>
  <c r="B3740" i="18"/>
  <c r="B3739" i="18"/>
  <c r="B3738" i="18"/>
  <c r="B3737" i="18"/>
  <c r="B3736" i="18"/>
  <c r="B3735" i="18"/>
  <c r="B3734" i="18"/>
  <c r="B3733" i="18"/>
  <c r="B3732" i="18"/>
  <c r="B3731" i="18"/>
  <c r="B3730" i="18"/>
  <c r="B3729" i="18"/>
  <c r="B3728" i="18"/>
  <c r="B3727" i="18"/>
  <c r="B3726" i="18"/>
  <c r="B3725" i="18"/>
  <c r="B3724" i="18"/>
  <c r="B3723" i="18"/>
  <c r="B3722" i="18"/>
  <c r="B3721" i="18"/>
  <c r="B3720" i="18"/>
  <c r="B3719" i="18"/>
  <c r="B3718" i="18"/>
  <c r="B3717" i="18"/>
  <c r="B3716" i="18"/>
  <c r="B3715" i="18"/>
  <c r="B3714" i="18"/>
  <c r="B3713" i="18"/>
  <c r="B3712" i="18"/>
  <c r="B3711" i="18"/>
  <c r="B3710" i="18"/>
  <c r="B3709" i="18"/>
  <c r="B3708" i="18"/>
  <c r="B3707" i="18"/>
  <c r="B3706" i="18"/>
  <c r="B3705" i="18"/>
  <c r="B3704" i="18"/>
  <c r="B3703" i="18"/>
  <c r="B3702" i="18"/>
  <c r="B3701" i="18"/>
  <c r="B3700" i="18"/>
  <c r="B3699" i="18"/>
  <c r="B3698" i="18"/>
  <c r="B3697" i="18"/>
  <c r="B3696" i="18"/>
  <c r="B3695" i="18"/>
  <c r="B3694" i="18"/>
  <c r="B3693" i="18"/>
  <c r="B3692" i="18"/>
  <c r="B3691" i="18"/>
  <c r="B3690" i="18"/>
  <c r="B3689" i="18"/>
  <c r="B3688" i="18"/>
  <c r="B3687" i="18"/>
  <c r="B3686" i="18"/>
  <c r="B3685" i="18"/>
  <c r="B3684" i="18"/>
  <c r="B3683" i="18"/>
  <c r="B3682" i="18"/>
  <c r="B3681" i="18"/>
  <c r="B3680" i="18"/>
  <c r="B3679" i="18"/>
  <c r="B3678" i="18"/>
  <c r="B3677" i="18"/>
  <c r="B3676" i="18"/>
  <c r="B3675" i="18"/>
  <c r="B3674" i="18"/>
  <c r="B3673" i="18"/>
  <c r="B3672" i="18"/>
  <c r="B3671" i="18"/>
  <c r="B3670" i="18"/>
  <c r="B3669" i="18"/>
  <c r="B3668" i="18"/>
  <c r="B3667" i="18"/>
  <c r="B3666" i="18"/>
  <c r="B3665" i="18"/>
  <c r="B3664" i="18"/>
  <c r="B3663" i="18"/>
  <c r="B3662" i="18"/>
  <c r="B3661" i="18"/>
  <c r="B3660" i="18"/>
  <c r="B3659" i="18"/>
  <c r="B3658" i="18"/>
  <c r="B3657" i="18"/>
  <c r="B3656" i="18"/>
  <c r="B3655" i="18"/>
  <c r="B3654" i="18"/>
  <c r="B3653" i="18"/>
  <c r="B3652" i="18"/>
  <c r="B3651" i="18"/>
  <c r="B3650" i="18"/>
  <c r="B3649" i="18"/>
  <c r="B3648" i="18"/>
  <c r="B3647" i="18"/>
  <c r="B3646" i="18"/>
  <c r="B3645" i="18"/>
  <c r="B3644" i="18"/>
  <c r="B3643" i="18"/>
  <c r="B3642" i="18"/>
  <c r="B3641" i="18"/>
  <c r="B3640" i="18"/>
  <c r="B3639" i="18"/>
  <c r="B3638" i="18"/>
  <c r="B3637" i="18"/>
  <c r="B3636" i="18"/>
  <c r="B3635" i="18"/>
  <c r="B3634" i="18"/>
  <c r="B3633" i="18"/>
  <c r="B3632" i="18"/>
  <c r="B3631" i="18"/>
  <c r="B3630" i="18"/>
  <c r="B3629" i="18"/>
  <c r="B3628" i="18"/>
  <c r="B3627" i="18"/>
  <c r="B3626" i="18"/>
  <c r="B3625" i="18"/>
  <c r="B3624" i="18"/>
  <c r="B3623" i="18"/>
  <c r="B3622" i="18"/>
  <c r="B3621" i="18"/>
  <c r="B3620" i="18"/>
  <c r="B3619" i="18"/>
  <c r="B3618" i="18"/>
  <c r="B3617" i="18"/>
  <c r="B3616" i="18"/>
  <c r="B3615" i="18"/>
  <c r="B3614" i="18"/>
  <c r="B3613" i="18"/>
  <c r="B3612" i="18"/>
  <c r="B3611" i="18"/>
  <c r="B3610" i="18"/>
  <c r="B3609" i="18"/>
  <c r="B3608" i="18"/>
  <c r="B3607" i="18"/>
  <c r="B3606" i="18"/>
  <c r="B3605" i="18"/>
  <c r="B3604" i="18"/>
  <c r="B3603" i="18"/>
  <c r="B3602" i="18"/>
  <c r="B3601" i="18"/>
  <c r="B3600" i="18"/>
  <c r="B3599" i="18"/>
  <c r="B3598" i="18"/>
  <c r="B3597" i="18"/>
  <c r="B3596" i="18"/>
  <c r="B3595" i="18"/>
  <c r="B3594" i="18"/>
  <c r="B3593" i="18"/>
  <c r="B3592" i="18"/>
  <c r="B3591" i="18"/>
  <c r="B3590" i="18"/>
  <c r="B3589" i="18"/>
  <c r="B3588" i="18"/>
  <c r="B3587" i="18"/>
  <c r="B3586" i="18"/>
  <c r="B3585" i="18"/>
  <c r="B3584" i="18"/>
  <c r="B3583" i="18"/>
  <c r="B3582" i="18"/>
  <c r="B3581" i="18"/>
  <c r="B3580" i="18"/>
  <c r="B3579" i="18"/>
  <c r="B3578" i="18"/>
  <c r="B3577" i="18"/>
  <c r="B3576" i="18"/>
  <c r="B3575" i="18"/>
  <c r="B3574" i="18"/>
  <c r="B3573" i="18"/>
  <c r="B3572" i="18"/>
  <c r="B3571" i="18"/>
  <c r="B3570" i="18"/>
  <c r="B3569" i="18"/>
  <c r="B3568" i="18"/>
  <c r="B3567" i="18"/>
  <c r="B3566" i="18"/>
  <c r="B3565" i="18"/>
  <c r="B3564" i="18"/>
  <c r="B3563" i="18"/>
  <c r="B3562" i="18"/>
  <c r="B3561" i="18"/>
  <c r="B3560" i="18"/>
  <c r="B3559" i="18"/>
  <c r="B3558" i="18"/>
  <c r="B3557" i="18"/>
  <c r="B3556" i="18"/>
  <c r="B3555" i="18"/>
  <c r="B3554" i="18"/>
  <c r="B3553" i="18"/>
  <c r="B3552" i="18"/>
  <c r="B3551" i="18"/>
  <c r="B3550" i="18"/>
  <c r="B3549" i="18"/>
  <c r="B3548" i="18"/>
  <c r="B3547" i="18"/>
  <c r="B3546" i="18"/>
  <c r="B3545" i="18"/>
  <c r="B3544" i="18"/>
  <c r="B3543" i="18"/>
  <c r="B3542" i="18"/>
  <c r="B3541" i="18"/>
  <c r="B3540" i="18"/>
  <c r="B3539" i="18"/>
  <c r="B3538" i="18"/>
  <c r="B3537" i="18"/>
  <c r="B3536" i="18"/>
  <c r="B3535" i="18"/>
  <c r="B3534" i="18"/>
  <c r="B3533" i="18"/>
  <c r="B3532" i="18"/>
  <c r="B3531" i="18"/>
  <c r="B3530" i="18"/>
  <c r="B3529" i="18"/>
  <c r="B3528" i="18"/>
  <c r="B3527" i="18"/>
  <c r="B3526" i="18"/>
  <c r="B3525" i="18"/>
  <c r="B3524" i="18"/>
  <c r="B3523" i="18"/>
  <c r="B3522" i="18"/>
  <c r="B3521" i="18"/>
  <c r="B3520" i="18"/>
  <c r="B3519" i="18"/>
  <c r="B3518" i="18"/>
  <c r="B3517" i="18"/>
  <c r="B3516" i="18"/>
  <c r="B3515" i="18"/>
  <c r="B3514" i="18"/>
  <c r="B3513" i="18"/>
  <c r="B3512" i="18"/>
  <c r="B3511" i="18"/>
  <c r="B3510" i="18"/>
  <c r="B3509" i="18"/>
  <c r="B3508" i="18"/>
  <c r="B3507" i="18"/>
  <c r="B3506" i="18"/>
  <c r="B3505" i="18"/>
  <c r="B3504" i="18"/>
  <c r="B3503" i="18"/>
  <c r="B3502" i="18"/>
  <c r="B3501" i="18"/>
  <c r="B3500" i="18"/>
  <c r="B3499" i="18"/>
  <c r="B3498" i="18"/>
  <c r="B3497" i="18"/>
  <c r="B3496" i="18"/>
  <c r="B3495" i="18"/>
  <c r="B3494" i="18"/>
  <c r="B3493" i="18"/>
  <c r="B3492" i="18"/>
  <c r="B3491" i="18"/>
  <c r="B3490" i="18"/>
  <c r="B3489" i="18"/>
  <c r="B3488" i="18"/>
  <c r="B3487" i="18"/>
  <c r="B3486" i="18"/>
  <c r="B3485" i="18"/>
  <c r="B3484" i="18"/>
  <c r="B3483" i="18"/>
  <c r="B3482" i="18"/>
  <c r="B3481" i="18"/>
  <c r="B3480" i="18"/>
  <c r="B3479" i="18"/>
  <c r="B3478" i="18"/>
  <c r="B3477" i="18"/>
  <c r="B3476" i="18"/>
  <c r="B3475" i="18"/>
  <c r="B3474" i="18"/>
  <c r="B3473" i="18"/>
  <c r="B3472" i="18"/>
  <c r="B3471" i="18"/>
  <c r="B3470" i="18"/>
  <c r="B3469" i="18"/>
  <c r="B3468" i="18"/>
  <c r="B3467" i="18"/>
  <c r="B3466" i="18"/>
  <c r="B3465" i="18"/>
  <c r="B3464" i="18"/>
  <c r="B3463" i="18"/>
  <c r="B3462" i="18"/>
  <c r="B3461" i="18"/>
  <c r="B3460" i="18"/>
  <c r="B3459" i="18"/>
  <c r="B3458" i="18"/>
  <c r="B3457" i="18"/>
  <c r="B3456" i="18"/>
  <c r="B3455" i="18"/>
  <c r="B3454" i="18"/>
  <c r="B3453" i="18"/>
  <c r="B3452" i="18"/>
  <c r="B3451" i="18"/>
  <c r="B3450" i="18"/>
  <c r="B3449" i="18"/>
  <c r="B3448" i="18"/>
  <c r="B3447" i="18"/>
  <c r="B3446" i="18"/>
  <c r="B3445" i="18"/>
  <c r="B3444" i="18"/>
  <c r="B3443" i="18"/>
  <c r="B3442" i="18"/>
  <c r="B3441" i="18"/>
  <c r="B3440" i="18"/>
  <c r="B3439" i="18"/>
  <c r="B3438" i="18"/>
  <c r="B3437" i="18"/>
  <c r="B3436" i="18"/>
  <c r="B3435" i="18"/>
  <c r="B3434" i="18"/>
  <c r="B3433" i="18"/>
  <c r="B3432" i="18"/>
  <c r="B3431" i="18"/>
  <c r="B3430" i="18"/>
  <c r="B3429" i="18"/>
  <c r="B3428" i="18"/>
  <c r="B3427" i="18"/>
  <c r="B3426" i="18"/>
  <c r="B3425" i="18"/>
  <c r="B3424" i="18"/>
  <c r="B3423" i="18"/>
  <c r="B3422" i="18"/>
  <c r="B3421" i="18"/>
  <c r="B3420" i="18"/>
  <c r="B3419" i="18"/>
  <c r="B3418" i="18"/>
  <c r="B3417" i="18"/>
  <c r="B3416" i="18"/>
  <c r="B3415" i="18"/>
  <c r="B3414" i="18"/>
  <c r="B3413" i="18"/>
  <c r="B3412" i="18"/>
  <c r="B3411" i="18"/>
  <c r="B3410" i="18"/>
  <c r="B3409" i="18"/>
  <c r="B3408" i="18"/>
  <c r="B3407" i="18"/>
  <c r="B3406" i="18"/>
  <c r="B3405" i="18"/>
  <c r="B3404" i="18"/>
  <c r="B3403" i="18"/>
  <c r="B3402" i="18"/>
  <c r="B3401" i="18"/>
  <c r="B3400" i="18"/>
  <c r="B3399" i="18"/>
  <c r="B3398" i="18"/>
  <c r="B3397" i="18"/>
  <c r="B3396" i="18"/>
  <c r="B3395" i="18"/>
  <c r="B3394" i="18"/>
  <c r="B3393" i="18"/>
  <c r="B3392" i="18"/>
  <c r="B3391" i="18"/>
  <c r="B3390" i="18"/>
  <c r="B3389" i="18"/>
  <c r="B3388" i="18"/>
  <c r="B3387" i="18"/>
  <c r="B3386" i="18"/>
  <c r="B3385" i="18"/>
  <c r="B3384" i="18"/>
  <c r="B3383" i="18"/>
  <c r="B3382" i="18"/>
  <c r="B3381" i="18"/>
  <c r="B3380" i="18"/>
  <c r="B3379" i="18"/>
  <c r="B3378" i="18"/>
  <c r="B3377" i="18"/>
  <c r="B3376" i="18"/>
  <c r="B3375" i="18"/>
  <c r="B3374" i="18"/>
  <c r="B3373" i="18"/>
  <c r="B3372" i="18"/>
  <c r="B3371" i="18"/>
  <c r="B3370" i="18"/>
  <c r="B3369" i="18"/>
  <c r="B3368" i="18"/>
  <c r="B3367" i="18"/>
  <c r="B3366" i="18"/>
  <c r="B3365" i="18"/>
  <c r="B3364" i="18"/>
  <c r="B3363" i="18"/>
  <c r="B3362" i="18"/>
  <c r="B3361" i="18"/>
  <c r="B3360" i="18"/>
  <c r="B3359" i="18"/>
  <c r="B3358" i="18"/>
  <c r="B3357" i="18"/>
  <c r="B3356" i="18"/>
  <c r="B3355" i="18"/>
  <c r="B3354" i="18"/>
  <c r="B3353" i="18"/>
  <c r="B3352" i="18"/>
  <c r="B3351" i="18"/>
  <c r="B3350" i="18"/>
  <c r="B3349" i="18"/>
  <c r="B3348" i="18"/>
  <c r="B3347" i="18"/>
  <c r="B3346" i="18"/>
  <c r="B3345" i="18"/>
  <c r="B3344" i="18"/>
  <c r="B3343" i="18"/>
  <c r="B3342" i="18"/>
  <c r="B3341" i="18"/>
  <c r="B3340" i="18"/>
  <c r="B3339" i="18"/>
  <c r="B3338" i="18"/>
  <c r="B3337" i="18"/>
  <c r="B3336" i="18"/>
  <c r="B3335" i="18"/>
  <c r="B3334" i="18"/>
  <c r="B3333" i="18"/>
  <c r="B3332" i="18"/>
  <c r="B3331" i="18"/>
  <c r="B3330" i="18"/>
  <c r="B3329" i="18"/>
  <c r="B3328" i="18"/>
  <c r="B3327" i="18"/>
  <c r="B3326" i="18"/>
  <c r="B3325" i="18"/>
  <c r="B3324" i="18"/>
  <c r="B3323" i="18"/>
  <c r="B3322" i="18"/>
  <c r="B3321" i="18"/>
  <c r="B3320" i="18"/>
  <c r="B3319" i="18"/>
  <c r="B3318" i="18"/>
  <c r="B3317" i="18"/>
  <c r="B3316" i="18"/>
  <c r="B3315" i="18"/>
  <c r="B3314" i="18"/>
  <c r="B3313" i="18"/>
  <c r="B3312" i="18"/>
  <c r="B3311" i="18"/>
  <c r="B3310" i="18"/>
  <c r="B3309" i="18"/>
  <c r="B3308" i="18"/>
  <c r="B3307" i="18"/>
  <c r="B3306" i="18"/>
  <c r="B3305" i="18"/>
  <c r="B3304" i="18"/>
  <c r="B3303" i="18"/>
  <c r="B3302" i="18"/>
  <c r="B3301" i="18"/>
  <c r="B3300" i="18"/>
  <c r="B3299" i="18"/>
  <c r="B3298" i="18"/>
  <c r="B3297" i="18"/>
  <c r="B3296" i="18"/>
  <c r="B3295" i="18"/>
  <c r="B3294" i="18"/>
  <c r="B3293" i="18"/>
  <c r="B3292" i="18"/>
  <c r="B3291" i="18"/>
  <c r="B3290" i="18"/>
  <c r="B3289" i="18"/>
  <c r="B3288" i="18"/>
  <c r="B3287" i="18"/>
  <c r="B3286" i="18"/>
  <c r="B3285" i="18"/>
  <c r="B3284" i="18"/>
  <c r="B3283" i="18"/>
  <c r="B3282" i="18"/>
  <c r="B3281" i="18"/>
  <c r="B3280" i="18"/>
  <c r="B3279" i="18"/>
  <c r="B3278" i="18"/>
  <c r="B3277" i="18"/>
  <c r="B3276" i="18"/>
  <c r="B3275" i="18"/>
  <c r="B3274" i="18"/>
  <c r="B3273" i="18"/>
  <c r="B3272" i="18"/>
  <c r="B3271" i="18"/>
  <c r="B3270" i="18"/>
  <c r="B3269" i="18"/>
  <c r="B3268" i="18"/>
  <c r="B3267" i="18"/>
  <c r="B3266" i="18"/>
  <c r="B3265" i="18"/>
  <c r="B3264" i="18"/>
  <c r="B3263" i="18"/>
  <c r="B3262" i="18"/>
  <c r="B3261" i="18"/>
  <c r="B3260" i="18"/>
  <c r="B3259" i="18"/>
  <c r="B3258" i="18"/>
  <c r="B3257" i="18"/>
  <c r="B3256" i="18"/>
  <c r="B3255" i="18"/>
  <c r="B3254" i="18"/>
  <c r="B3253" i="18"/>
  <c r="B3252" i="18"/>
  <c r="B3251" i="18"/>
  <c r="B3250" i="18"/>
  <c r="B3249" i="18"/>
  <c r="B3248" i="18"/>
  <c r="B3247" i="18"/>
  <c r="B3246" i="18"/>
  <c r="B3245" i="18"/>
  <c r="B3244" i="18"/>
  <c r="B3243" i="18"/>
  <c r="B3242" i="18"/>
  <c r="B3241" i="18"/>
  <c r="B3240" i="18"/>
  <c r="B3239" i="18"/>
  <c r="B3238" i="18"/>
  <c r="B3237" i="18"/>
  <c r="B3236" i="18"/>
  <c r="B3235" i="18"/>
  <c r="B3234" i="18"/>
  <c r="B3233" i="18"/>
  <c r="B3232" i="18"/>
  <c r="B3231" i="18"/>
  <c r="B3230" i="18"/>
  <c r="B3229" i="18"/>
  <c r="B3228" i="18"/>
  <c r="B3227" i="18"/>
  <c r="B3226" i="18"/>
  <c r="B3225" i="18"/>
  <c r="B3224" i="18"/>
  <c r="B3223" i="18"/>
  <c r="B3222" i="18"/>
  <c r="B3221" i="18"/>
  <c r="B3220" i="18"/>
  <c r="B3219" i="18"/>
  <c r="B3218" i="18"/>
  <c r="B3217" i="18"/>
  <c r="B3216" i="18"/>
  <c r="B3215" i="18"/>
  <c r="B3214" i="18"/>
  <c r="B3213" i="18"/>
  <c r="B3212" i="18"/>
  <c r="B3211" i="18"/>
  <c r="B3210" i="18"/>
  <c r="B3209" i="18"/>
  <c r="B3208" i="18"/>
  <c r="B3207" i="18"/>
  <c r="B3206" i="18"/>
  <c r="B3205" i="18"/>
  <c r="B3204" i="18"/>
  <c r="B3203" i="18"/>
  <c r="B3202" i="18"/>
  <c r="B3201" i="18"/>
  <c r="B3200" i="18"/>
  <c r="B3199" i="18"/>
  <c r="B3198" i="18"/>
  <c r="B3197" i="18"/>
  <c r="B3196" i="18"/>
  <c r="B3195" i="18"/>
  <c r="B3194" i="18"/>
  <c r="B3193" i="18"/>
  <c r="B3192" i="18"/>
  <c r="B3191" i="18"/>
  <c r="B3190" i="18"/>
  <c r="B3189" i="18"/>
  <c r="B3188" i="18"/>
  <c r="B3187" i="18"/>
  <c r="B3186" i="18"/>
  <c r="B3185" i="18"/>
  <c r="B3184" i="18"/>
  <c r="B3183" i="18"/>
  <c r="B3182" i="18"/>
  <c r="B3181" i="18"/>
  <c r="B3180" i="18"/>
  <c r="B3179" i="18"/>
  <c r="B3178" i="18"/>
  <c r="B3177" i="18"/>
  <c r="B3176" i="18"/>
  <c r="B3175" i="18"/>
  <c r="B3174" i="18"/>
  <c r="B3173" i="18"/>
  <c r="B3172" i="18"/>
  <c r="B3171" i="18"/>
  <c r="B3170" i="18"/>
  <c r="B3169" i="18"/>
  <c r="B3168" i="18"/>
  <c r="B3167" i="18"/>
  <c r="B3166" i="18"/>
  <c r="B3165" i="18"/>
  <c r="B3164" i="18"/>
  <c r="B3163" i="18"/>
  <c r="B3162" i="18"/>
  <c r="B3161" i="18"/>
  <c r="B3160" i="18"/>
  <c r="B3159" i="18"/>
  <c r="B3158" i="18"/>
  <c r="B3157" i="18"/>
  <c r="B3156" i="18"/>
  <c r="B3155" i="18"/>
  <c r="B3154" i="18"/>
  <c r="B3153" i="18"/>
  <c r="B3152" i="18"/>
  <c r="B3151" i="18"/>
  <c r="B3150" i="18"/>
  <c r="B3149" i="18"/>
  <c r="B3148" i="18"/>
  <c r="B3147" i="18"/>
  <c r="B3146" i="18"/>
  <c r="B3145" i="18"/>
  <c r="B3144" i="18"/>
  <c r="B3143" i="18"/>
  <c r="B3142" i="18"/>
  <c r="B3141" i="18"/>
  <c r="B3140" i="18"/>
  <c r="B3139" i="18"/>
  <c r="B3138" i="18"/>
  <c r="B3137" i="18"/>
  <c r="B3136" i="18"/>
  <c r="B3135" i="18"/>
  <c r="B3134" i="18"/>
  <c r="B3133" i="18"/>
  <c r="B3132" i="18"/>
  <c r="B3131" i="18"/>
  <c r="B3130" i="18"/>
  <c r="B3129" i="18"/>
  <c r="B3128" i="18"/>
  <c r="B3127" i="18"/>
  <c r="B3126" i="18"/>
  <c r="B3125" i="18"/>
  <c r="B3124" i="18"/>
  <c r="B3123" i="18"/>
  <c r="B3122" i="18"/>
  <c r="B3121" i="18"/>
  <c r="B3120" i="18"/>
  <c r="B3119" i="18"/>
  <c r="B3118" i="18"/>
  <c r="B3117" i="18"/>
  <c r="B3116" i="18"/>
  <c r="B3115" i="18"/>
  <c r="B3114" i="18"/>
  <c r="B3113" i="18"/>
  <c r="B3112" i="18"/>
  <c r="B3111" i="18"/>
  <c r="B3110" i="18"/>
  <c r="B3109" i="18"/>
  <c r="B3108" i="18"/>
  <c r="B3107" i="18"/>
  <c r="B3106" i="18"/>
  <c r="B3105" i="18"/>
  <c r="B3104" i="18"/>
  <c r="B3103" i="18"/>
  <c r="B3102" i="18"/>
  <c r="B3101" i="18"/>
  <c r="B3100" i="18"/>
  <c r="B3099" i="18"/>
  <c r="B3098" i="18"/>
  <c r="B3097" i="18"/>
  <c r="B3096" i="18"/>
  <c r="B3095" i="18"/>
  <c r="B3094" i="18"/>
  <c r="B3093" i="18"/>
  <c r="B3092" i="18"/>
  <c r="B3091" i="18"/>
  <c r="B3090" i="18"/>
  <c r="B3089" i="18"/>
  <c r="B3088" i="18"/>
  <c r="B3087" i="18"/>
  <c r="B3086" i="18"/>
  <c r="B3085" i="18"/>
  <c r="B3084" i="18"/>
  <c r="B3083" i="18"/>
  <c r="B3082" i="18"/>
  <c r="B3081" i="18"/>
  <c r="B3080" i="18"/>
  <c r="B3079" i="18"/>
  <c r="B3078" i="18"/>
  <c r="B3077" i="18"/>
  <c r="B3076" i="18"/>
  <c r="B3075" i="18"/>
  <c r="B3074" i="18"/>
  <c r="B3073" i="18"/>
  <c r="B3072" i="18"/>
  <c r="B3071" i="18"/>
  <c r="B3070" i="18"/>
  <c r="B3069" i="18"/>
  <c r="B3068" i="18"/>
  <c r="B3067" i="18"/>
  <c r="B3066" i="18"/>
  <c r="B3065" i="18"/>
  <c r="B3064" i="18"/>
  <c r="B3063" i="18"/>
  <c r="B3062" i="18"/>
  <c r="B3061" i="18"/>
  <c r="B3060" i="18"/>
  <c r="B3059" i="18"/>
  <c r="B3058" i="18"/>
  <c r="B3057" i="18"/>
  <c r="B3056" i="18"/>
  <c r="B3055" i="18"/>
  <c r="B3054" i="18"/>
  <c r="B3053" i="18"/>
  <c r="B3052" i="18"/>
  <c r="B3051" i="18"/>
  <c r="B3050" i="18"/>
  <c r="B3049" i="18"/>
  <c r="B3048" i="18"/>
  <c r="B3047" i="18"/>
  <c r="B3046" i="18"/>
  <c r="B3045" i="18"/>
  <c r="B3044" i="18"/>
  <c r="B3043" i="18"/>
  <c r="B3042" i="18"/>
  <c r="B3041" i="18"/>
  <c r="B3040" i="18"/>
  <c r="B3039" i="18"/>
  <c r="B3038" i="18"/>
  <c r="B3037" i="18"/>
  <c r="B3036" i="18"/>
  <c r="B3035" i="18"/>
  <c r="B3034" i="18"/>
  <c r="B3033" i="18"/>
  <c r="B3032" i="18"/>
  <c r="B3031" i="18"/>
  <c r="B3030" i="18"/>
  <c r="B3029" i="18"/>
  <c r="B3028" i="18"/>
  <c r="B3027" i="18"/>
  <c r="B3026" i="18"/>
  <c r="B3025" i="18"/>
  <c r="B3024" i="18"/>
  <c r="B3023" i="18"/>
  <c r="B3022" i="18"/>
  <c r="B3021" i="18"/>
  <c r="B3020" i="18"/>
  <c r="B3019" i="18"/>
  <c r="B3018" i="18"/>
  <c r="B3017" i="18"/>
  <c r="B3016" i="18"/>
  <c r="B3015" i="18"/>
  <c r="B3014" i="18"/>
  <c r="B3013" i="18"/>
  <c r="B3012" i="18"/>
  <c r="B3011" i="18"/>
  <c r="B3010" i="18"/>
  <c r="B3009" i="18"/>
  <c r="B3008" i="18"/>
  <c r="B3007" i="18"/>
  <c r="B3006" i="18"/>
  <c r="B3005" i="18"/>
  <c r="B3004" i="18"/>
  <c r="B3003" i="18"/>
  <c r="B3002" i="18"/>
  <c r="B3001" i="18"/>
  <c r="B3000" i="18"/>
  <c r="B2999" i="18"/>
  <c r="B2998" i="18"/>
  <c r="B2997" i="18"/>
  <c r="B2996" i="18"/>
  <c r="B2995" i="18"/>
  <c r="B2994" i="18"/>
  <c r="B2993" i="18"/>
  <c r="B2992" i="18"/>
  <c r="B2991" i="18"/>
  <c r="B2990" i="18"/>
  <c r="B2989" i="18"/>
  <c r="B2988" i="18"/>
  <c r="B2987" i="18"/>
  <c r="B2986" i="18"/>
  <c r="B2985" i="18"/>
  <c r="B2984" i="18"/>
  <c r="B2983" i="18"/>
  <c r="B2982" i="18"/>
  <c r="B2981" i="18"/>
  <c r="B2980" i="18"/>
  <c r="B2979" i="18"/>
  <c r="B2978" i="18"/>
  <c r="B2977" i="18"/>
  <c r="B2976" i="18"/>
  <c r="B2975" i="18"/>
  <c r="B2974" i="18"/>
  <c r="B2973" i="18"/>
  <c r="B2972" i="18"/>
  <c r="B2971" i="18"/>
  <c r="B2970" i="18"/>
  <c r="B2969" i="18"/>
  <c r="B2968" i="18"/>
  <c r="B2967" i="18"/>
  <c r="B2966" i="18"/>
  <c r="B2965" i="18"/>
  <c r="B2964" i="18"/>
  <c r="B2963" i="18"/>
  <c r="B2962" i="18"/>
  <c r="B2961" i="18"/>
  <c r="B2960" i="18"/>
  <c r="B2959" i="18"/>
  <c r="B2958" i="18"/>
  <c r="B2957" i="18"/>
  <c r="B2956" i="18"/>
  <c r="B2955" i="18"/>
  <c r="B2954" i="18"/>
  <c r="B2953" i="18"/>
  <c r="B2952" i="18"/>
  <c r="B2951" i="18"/>
  <c r="B2950" i="18"/>
  <c r="B2949" i="18"/>
  <c r="B2948" i="18"/>
  <c r="B2947" i="18"/>
  <c r="B2946" i="18"/>
  <c r="B2945" i="18"/>
  <c r="B2944" i="18"/>
  <c r="B2943" i="18"/>
  <c r="B2942" i="18"/>
  <c r="B2941" i="18"/>
  <c r="B2940" i="18"/>
  <c r="B2939" i="18"/>
  <c r="B2938" i="18"/>
  <c r="B2937" i="18"/>
  <c r="B2936" i="18"/>
  <c r="B2935" i="18"/>
  <c r="B2934" i="18"/>
  <c r="B2933" i="18"/>
  <c r="B2932" i="18"/>
  <c r="B2931" i="18"/>
  <c r="B2930" i="18"/>
  <c r="B2929" i="18"/>
  <c r="B2928" i="18"/>
  <c r="B2927" i="18"/>
  <c r="B2926" i="18"/>
  <c r="B2925" i="18"/>
  <c r="B2924" i="18"/>
  <c r="B2923" i="18"/>
  <c r="B2922" i="18"/>
  <c r="B2921" i="18"/>
  <c r="B2920" i="18"/>
  <c r="B2919" i="18"/>
  <c r="B2918" i="18"/>
  <c r="B2917" i="18"/>
  <c r="B2916" i="18"/>
  <c r="B2915" i="18"/>
  <c r="B2914" i="18"/>
  <c r="B2913" i="18"/>
  <c r="B2912" i="18"/>
  <c r="B2911" i="18"/>
  <c r="B2910" i="18"/>
  <c r="B2909" i="18"/>
  <c r="B2908" i="18"/>
  <c r="B2907" i="18"/>
  <c r="B2906" i="18"/>
  <c r="B2905" i="18"/>
  <c r="B2904" i="18"/>
  <c r="B2903" i="18"/>
  <c r="B2902" i="18"/>
  <c r="B2901" i="18"/>
  <c r="B2900" i="18"/>
  <c r="B2899" i="18"/>
  <c r="B2898" i="18"/>
  <c r="B2897" i="18"/>
  <c r="B2896" i="18"/>
  <c r="B2895" i="18"/>
  <c r="B2894" i="18"/>
  <c r="B2893" i="18"/>
  <c r="B2892" i="18"/>
  <c r="B2891" i="18"/>
  <c r="B2890" i="18"/>
  <c r="B2889" i="18"/>
  <c r="B2888" i="18"/>
  <c r="B2887" i="18"/>
  <c r="B2886" i="18"/>
  <c r="B2885" i="18"/>
  <c r="B2884" i="18"/>
  <c r="B2883" i="18"/>
  <c r="B2882" i="18"/>
  <c r="B2881" i="18"/>
  <c r="B2880" i="18"/>
  <c r="B2879" i="18"/>
  <c r="B2878" i="18"/>
  <c r="B2877" i="18"/>
  <c r="B2876" i="18"/>
  <c r="B2875" i="18"/>
  <c r="B2874" i="18"/>
  <c r="B2873" i="18"/>
  <c r="B2872" i="18"/>
  <c r="B2871" i="18"/>
  <c r="B2870" i="18"/>
  <c r="B2869" i="18"/>
  <c r="B2868" i="18"/>
  <c r="B2867" i="18"/>
  <c r="B2866" i="18"/>
  <c r="B2865" i="18"/>
  <c r="B2864" i="18"/>
  <c r="B2863" i="18"/>
  <c r="B2862" i="18"/>
  <c r="B2861" i="18"/>
  <c r="B2860" i="18"/>
  <c r="B2859" i="18"/>
  <c r="B2858" i="18"/>
  <c r="B2857" i="18"/>
  <c r="B2856" i="18"/>
  <c r="B2855" i="18"/>
  <c r="B2854" i="18"/>
  <c r="B2853" i="18"/>
  <c r="B2852" i="18"/>
  <c r="B2851" i="18"/>
  <c r="B2850" i="18"/>
  <c r="B2849" i="18"/>
  <c r="B2848" i="18"/>
  <c r="B2847" i="18"/>
  <c r="B2846" i="18"/>
  <c r="B2845" i="18"/>
  <c r="B2844" i="18"/>
  <c r="B2843" i="18"/>
  <c r="B2842" i="18"/>
  <c r="B2841" i="18"/>
  <c r="B2840" i="18"/>
  <c r="B2839" i="18"/>
  <c r="B2838" i="18"/>
  <c r="B2837" i="18"/>
  <c r="B2836" i="18"/>
  <c r="B2835" i="18"/>
  <c r="B2834" i="18"/>
  <c r="B2833" i="18"/>
  <c r="B2832" i="18"/>
  <c r="B2831" i="18"/>
  <c r="B2830" i="18"/>
  <c r="B2829" i="18"/>
  <c r="B2828" i="18"/>
  <c r="B2827" i="18"/>
  <c r="B2826" i="18"/>
  <c r="B2825" i="18"/>
  <c r="B2824" i="18"/>
  <c r="B2823" i="18"/>
  <c r="B2822" i="18"/>
  <c r="B2821" i="18"/>
  <c r="B2820" i="18"/>
  <c r="B2819" i="18"/>
  <c r="B2818" i="18"/>
  <c r="B2817" i="18"/>
  <c r="B2816" i="18"/>
  <c r="B2815" i="18"/>
  <c r="B2814" i="18"/>
  <c r="B2813" i="18"/>
  <c r="B2812" i="18"/>
  <c r="B2811" i="18"/>
  <c r="B2810" i="18"/>
  <c r="B2809" i="18"/>
  <c r="B2808" i="18"/>
  <c r="B2807" i="18"/>
  <c r="B2806" i="18"/>
  <c r="B2805" i="18"/>
  <c r="B2804" i="18"/>
  <c r="B2803" i="18"/>
  <c r="B2802" i="18"/>
  <c r="B2801" i="18"/>
  <c r="B2800" i="18"/>
  <c r="B2799" i="18"/>
  <c r="B2798" i="18"/>
  <c r="B2797" i="18"/>
  <c r="B2796" i="18"/>
  <c r="B2795" i="18"/>
  <c r="B2794" i="18"/>
  <c r="B2793" i="18"/>
  <c r="B2792" i="18"/>
  <c r="B2791" i="18"/>
  <c r="B2790" i="18"/>
  <c r="B2789" i="18"/>
  <c r="B2788" i="18"/>
  <c r="B2787" i="18"/>
  <c r="B2786" i="18"/>
  <c r="B2785" i="18"/>
  <c r="B2784" i="18"/>
  <c r="B2783" i="18"/>
  <c r="B2782" i="18"/>
  <c r="B2781" i="18"/>
  <c r="B2780" i="18"/>
  <c r="B2779" i="18"/>
  <c r="B2778" i="18"/>
  <c r="B2777" i="18"/>
  <c r="B2776" i="18"/>
  <c r="B2775" i="18"/>
  <c r="B2774" i="18"/>
  <c r="B2773" i="18"/>
  <c r="B2772" i="18"/>
  <c r="B2771" i="18"/>
  <c r="B2770" i="18"/>
  <c r="B2769" i="18"/>
  <c r="B2768" i="18"/>
  <c r="B2767" i="18"/>
  <c r="B2766" i="18"/>
  <c r="B2765" i="18"/>
  <c r="B2764" i="18"/>
  <c r="B2763" i="18"/>
  <c r="B2762" i="18"/>
  <c r="B2761" i="18"/>
  <c r="B2760" i="18"/>
  <c r="B2759" i="18"/>
  <c r="B2758" i="18"/>
  <c r="B2757" i="18"/>
  <c r="B2756" i="18"/>
  <c r="B2755" i="18"/>
  <c r="B2754" i="18"/>
  <c r="B2753" i="18"/>
  <c r="B2752" i="18"/>
  <c r="B2751" i="18"/>
  <c r="B2750" i="18"/>
  <c r="B2749" i="18"/>
  <c r="B2748" i="18"/>
  <c r="B2747" i="18"/>
  <c r="B2746" i="18"/>
  <c r="B2745" i="18"/>
  <c r="B2744" i="18"/>
  <c r="B2743" i="18"/>
  <c r="B2742" i="18"/>
  <c r="B2741" i="18"/>
  <c r="B2740" i="18"/>
  <c r="B2739" i="18"/>
  <c r="B2738" i="18"/>
  <c r="B2737" i="18"/>
  <c r="B2736" i="18"/>
  <c r="B2735" i="18"/>
  <c r="B2734" i="18"/>
  <c r="B2733" i="18"/>
  <c r="B2732" i="18"/>
  <c r="B2731" i="18"/>
  <c r="B2730" i="18"/>
  <c r="B2729" i="18"/>
  <c r="B2728" i="18"/>
  <c r="B2727" i="18"/>
  <c r="B2726" i="18"/>
  <c r="B2725" i="18"/>
  <c r="B2724" i="18"/>
  <c r="B2723" i="18"/>
  <c r="B2722" i="18"/>
  <c r="B2721" i="18"/>
  <c r="B2720" i="18"/>
  <c r="B2719" i="18"/>
  <c r="B2718" i="18"/>
  <c r="B2717" i="18"/>
  <c r="B2716" i="18"/>
  <c r="B2715" i="18"/>
  <c r="B2714" i="18"/>
  <c r="B2713" i="18"/>
  <c r="B2712" i="18"/>
  <c r="B2711" i="18"/>
  <c r="B2710" i="18"/>
  <c r="B2709" i="18"/>
  <c r="B2708" i="18"/>
  <c r="B2707" i="18"/>
  <c r="B2706" i="18"/>
  <c r="B2705" i="18"/>
  <c r="B2704" i="18"/>
  <c r="B2703" i="18"/>
  <c r="B2702" i="18"/>
  <c r="B2701" i="18"/>
  <c r="B2700" i="18"/>
  <c r="B2699" i="18"/>
  <c r="B2698" i="18"/>
  <c r="B2697" i="18"/>
  <c r="B2696" i="18"/>
  <c r="B2695" i="18"/>
  <c r="B2694" i="18"/>
  <c r="B2693" i="18"/>
  <c r="B2692" i="18"/>
  <c r="B2691" i="18"/>
  <c r="B2690" i="18"/>
  <c r="B2689" i="18"/>
  <c r="B2688" i="18"/>
  <c r="B2687" i="18"/>
  <c r="B2686" i="18"/>
  <c r="B2685" i="18"/>
  <c r="B2684" i="18"/>
  <c r="B2683" i="18"/>
  <c r="B2682" i="18"/>
  <c r="B2681" i="18"/>
  <c r="B2680" i="18"/>
  <c r="B2679" i="18"/>
  <c r="B2678" i="18"/>
  <c r="B2677" i="18"/>
  <c r="B2676" i="18"/>
  <c r="B2675" i="18"/>
  <c r="B2674" i="18"/>
  <c r="B2673" i="18"/>
  <c r="B2672" i="18"/>
  <c r="B2671" i="18"/>
  <c r="B2670" i="18"/>
  <c r="B2669" i="18"/>
  <c r="B2668" i="18"/>
  <c r="B2667" i="18"/>
  <c r="B2666" i="18"/>
  <c r="B2665" i="18"/>
  <c r="B2664" i="18"/>
  <c r="B2663" i="18"/>
  <c r="B2662" i="18"/>
  <c r="B2661" i="18"/>
  <c r="B2660" i="18"/>
  <c r="B2659" i="18"/>
  <c r="B2658" i="18"/>
  <c r="B2657" i="18"/>
  <c r="B2656" i="18"/>
  <c r="B2655" i="18"/>
  <c r="B2654" i="18"/>
  <c r="B2653" i="18"/>
  <c r="B2652" i="18"/>
  <c r="B2651" i="18"/>
  <c r="B2650" i="18"/>
  <c r="B2649" i="18"/>
  <c r="B2648" i="18"/>
  <c r="B2647" i="18"/>
  <c r="B2646" i="18"/>
  <c r="B2645" i="18"/>
  <c r="B2644" i="18"/>
  <c r="B2643" i="18"/>
  <c r="B2642" i="18"/>
  <c r="B2641" i="18"/>
  <c r="B2640" i="18"/>
  <c r="B2639" i="18"/>
  <c r="B2638" i="18"/>
  <c r="B2637" i="18"/>
  <c r="B2636" i="18"/>
  <c r="B2635" i="18"/>
  <c r="B2634" i="18"/>
  <c r="B2633" i="18"/>
  <c r="B2632" i="18"/>
  <c r="B2631" i="18"/>
  <c r="B2630" i="18"/>
  <c r="B2629" i="18"/>
  <c r="B2628" i="18"/>
  <c r="B2627" i="18"/>
  <c r="B2626" i="18"/>
  <c r="B2625" i="18"/>
  <c r="B2624" i="18"/>
  <c r="B2623" i="18"/>
  <c r="B2622" i="18"/>
  <c r="B2621" i="18"/>
  <c r="B2620" i="18"/>
  <c r="B2619" i="18"/>
  <c r="B2618" i="18"/>
  <c r="B2617" i="18"/>
  <c r="B2616" i="18"/>
  <c r="B2615" i="18"/>
  <c r="B2614" i="18"/>
  <c r="B2613" i="18"/>
  <c r="B2612" i="18"/>
  <c r="B2611" i="18"/>
  <c r="B2610" i="18"/>
  <c r="B2609" i="18"/>
  <c r="B2608" i="18"/>
  <c r="B2607" i="18"/>
  <c r="B2606" i="18"/>
  <c r="B2605" i="18"/>
  <c r="B2604" i="18"/>
  <c r="B2603" i="18"/>
  <c r="B2602" i="18"/>
  <c r="B2601" i="18"/>
  <c r="B2600" i="18"/>
  <c r="B2599" i="18"/>
  <c r="B2598" i="18"/>
  <c r="B2597" i="18"/>
  <c r="B2596" i="18"/>
  <c r="B2595" i="18"/>
  <c r="B2594" i="18"/>
  <c r="B2593" i="18"/>
  <c r="B2592" i="18"/>
  <c r="B2591" i="18"/>
  <c r="B2590" i="18"/>
  <c r="B2589" i="18"/>
  <c r="B2588" i="18"/>
  <c r="B2587" i="18"/>
  <c r="B2586" i="18"/>
  <c r="B2585" i="18"/>
  <c r="B2584" i="18"/>
  <c r="B2583" i="18"/>
  <c r="B2582" i="18"/>
  <c r="B2581" i="18"/>
  <c r="B2580" i="18"/>
  <c r="B2579" i="18"/>
  <c r="B2578" i="18"/>
  <c r="B2577" i="18"/>
  <c r="B2576" i="18"/>
  <c r="B2575" i="18"/>
  <c r="B2574" i="18"/>
  <c r="B2573" i="18"/>
  <c r="B2572" i="18"/>
  <c r="B2571" i="18"/>
  <c r="B2570" i="18"/>
  <c r="B2569" i="18"/>
  <c r="B2568" i="18"/>
  <c r="B2567" i="18"/>
  <c r="B2566" i="18"/>
  <c r="B2565" i="18"/>
  <c r="B2564" i="18"/>
  <c r="B2563" i="18"/>
  <c r="B2562" i="18"/>
  <c r="B2561" i="18"/>
  <c r="B2560" i="18"/>
  <c r="B2559" i="18"/>
  <c r="B2558" i="18"/>
  <c r="B2557" i="18"/>
  <c r="B2556" i="18"/>
  <c r="B2555" i="18"/>
  <c r="B2554" i="18"/>
  <c r="B2553" i="18"/>
  <c r="B2552" i="18"/>
  <c r="B2551" i="18"/>
  <c r="B2550" i="18"/>
  <c r="B2549" i="18"/>
  <c r="B2548" i="18"/>
  <c r="B2547" i="18"/>
  <c r="B2546" i="18"/>
  <c r="B2545" i="18"/>
  <c r="B2544" i="18"/>
  <c r="B2543" i="18"/>
  <c r="B2542" i="18"/>
  <c r="B2541" i="18"/>
  <c r="B2540" i="18"/>
  <c r="B2539" i="18"/>
  <c r="B2538" i="18"/>
  <c r="B2537" i="18"/>
  <c r="B2536" i="18"/>
  <c r="B2535" i="18"/>
  <c r="B2534" i="18"/>
  <c r="B2533" i="18"/>
  <c r="B2532" i="18"/>
  <c r="B2531" i="18"/>
  <c r="B2530" i="18"/>
  <c r="B2529" i="18"/>
  <c r="B2528" i="18"/>
  <c r="B2527" i="18"/>
  <c r="B2526" i="18"/>
  <c r="B2525" i="18"/>
  <c r="B2524" i="18"/>
  <c r="B2523" i="18"/>
  <c r="B2522" i="18"/>
  <c r="B2521" i="18"/>
  <c r="B2520" i="18"/>
  <c r="B2519" i="18"/>
  <c r="B2518" i="18"/>
  <c r="B2517" i="18"/>
  <c r="B2516" i="18"/>
  <c r="B2515" i="18"/>
  <c r="B2514" i="18"/>
  <c r="B2513" i="18"/>
  <c r="B2512" i="18"/>
  <c r="B2511" i="18"/>
  <c r="B2510" i="18"/>
  <c r="B2509" i="18"/>
  <c r="B2508" i="18"/>
  <c r="B2507" i="18"/>
  <c r="B2506" i="18"/>
  <c r="B2505" i="18"/>
  <c r="B2504" i="18"/>
  <c r="B2503" i="18"/>
  <c r="B2502" i="18"/>
  <c r="B2501" i="18"/>
  <c r="B2500" i="18"/>
  <c r="B2499" i="18"/>
  <c r="B2498" i="18"/>
  <c r="B2497" i="18"/>
  <c r="B2496" i="18"/>
  <c r="B2495" i="18"/>
  <c r="B2494" i="18"/>
  <c r="B2493" i="18"/>
  <c r="B2492" i="18"/>
  <c r="B2491" i="18"/>
  <c r="B2490" i="18"/>
  <c r="B2489" i="18"/>
  <c r="B2488" i="18"/>
  <c r="B2487" i="18"/>
  <c r="B2486" i="18"/>
  <c r="B2485" i="18"/>
  <c r="B2484" i="18"/>
  <c r="B2483" i="18"/>
  <c r="B2482" i="18"/>
  <c r="B2481" i="18"/>
  <c r="B2480" i="18"/>
  <c r="B2479" i="18"/>
  <c r="B2478" i="18"/>
  <c r="B2477" i="18"/>
  <c r="B2476" i="18"/>
  <c r="B2475" i="18"/>
  <c r="B2474" i="18"/>
  <c r="B2473" i="18"/>
  <c r="B2472" i="18"/>
  <c r="B2471" i="18"/>
  <c r="B2470" i="18"/>
  <c r="B2469" i="18"/>
  <c r="B2468" i="18"/>
  <c r="B2467" i="18"/>
  <c r="B2466" i="18"/>
  <c r="B2465" i="18"/>
  <c r="B2464" i="18"/>
  <c r="B2463" i="18"/>
  <c r="B2462" i="18"/>
  <c r="B2461" i="18"/>
  <c r="B2460" i="18"/>
  <c r="B2459" i="18"/>
  <c r="B2458" i="18"/>
  <c r="B2457" i="18"/>
  <c r="B2456" i="18"/>
  <c r="B2455" i="18"/>
  <c r="B2454" i="18"/>
  <c r="B2453" i="18"/>
  <c r="B2452" i="18"/>
  <c r="B2451" i="18"/>
  <c r="B2450" i="18"/>
  <c r="B2449" i="18"/>
  <c r="B2448" i="18"/>
  <c r="B2447" i="18"/>
  <c r="B2446" i="18"/>
  <c r="B2445" i="18"/>
  <c r="B2444" i="18"/>
  <c r="B2443" i="18"/>
  <c r="B2442" i="18"/>
  <c r="B2441" i="18"/>
  <c r="B2440" i="18"/>
  <c r="B2439" i="18"/>
  <c r="B2438" i="18"/>
  <c r="B2437" i="18"/>
  <c r="B2436" i="18"/>
  <c r="B2435" i="18"/>
  <c r="B2434" i="18"/>
  <c r="B2433" i="18"/>
  <c r="B2432" i="18"/>
  <c r="B2431" i="18"/>
  <c r="B2430" i="18"/>
  <c r="B2429" i="18"/>
  <c r="B2428" i="18"/>
  <c r="B2427" i="18"/>
  <c r="B2426" i="18"/>
  <c r="B2425" i="18"/>
  <c r="B2424" i="18"/>
  <c r="B2423" i="18"/>
  <c r="B2422" i="18"/>
  <c r="B2421" i="18"/>
  <c r="B2420" i="18"/>
  <c r="B2419" i="18"/>
  <c r="B2418" i="18"/>
  <c r="B2417" i="18"/>
  <c r="B2416" i="18"/>
  <c r="B2415" i="18"/>
  <c r="B2414" i="18"/>
  <c r="B2413" i="18"/>
  <c r="B2412" i="18"/>
  <c r="B2411" i="18"/>
  <c r="B2410" i="18"/>
  <c r="B2409" i="18"/>
  <c r="B2408" i="18"/>
  <c r="B2407" i="18"/>
  <c r="B2406" i="18"/>
  <c r="B2405" i="18"/>
  <c r="B2404" i="18"/>
  <c r="B2403" i="18"/>
  <c r="B2402" i="18"/>
  <c r="B2401" i="18"/>
  <c r="B2400" i="18"/>
  <c r="B2399" i="18"/>
  <c r="B2398" i="18"/>
  <c r="B2397" i="18"/>
  <c r="B2396" i="18"/>
  <c r="B2395" i="18"/>
  <c r="B2394" i="18"/>
  <c r="B2393" i="18"/>
  <c r="B2392" i="18"/>
  <c r="B2391" i="18"/>
  <c r="B2390" i="18"/>
  <c r="B2389" i="18"/>
  <c r="B2388" i="18"/>
  <c r="B2387" i="18"/>
  <c r="B2386" i="18"/>
  <c r="B2385" i="18"/>
  <c r="B2384" i="18"/>
  <c r="B2383" i="18"/>
  <c r="B2382" i="18"/>
  <c r="B2381" i="18"/>
  <c r="B2380" i="18"/>
  <c r="B2379" i="18"/>
  <c r="B2378" i="18"/>
  <c r="B2377" i="18"/>
  <c r="B2376" i="18"/>
  <c r="B2375" i="18"/>
  <c r="B2374" i="18"/>
  <c r="B2373" i="18"/>
  <c r="B2372" i="18"/>
  <c r="B2371" i="18"/>
  <c r="B2370" i="18"/>
  <c r="B2369" i="18"/>
  <c r="B2368" i="18"/>
  <c r="B2367" i="18"/>
  <c r="B2366" i="18"/>
  <c r="B2365" i="18"/>
  <c r="B2364" i="18"/>
  <c r="B2363" i="18"/>
  <c r="B2362" i="18"/>
  <c r="B2361" i="18"/>
  <c r="B2360" i="18"/>
  <c r="B2359" i="18"/>
  <c r="B2358" i="18"/>
  <c r="B2357" i="18"/>
  <c r="B2356" i="18"/>
  <c r="B2355" i="18"/>
  <c r="B2354" i="18"/>
  <c r="B2353" i="18"/>
  <c r="B2352" i="18"/>
  <c r="B2351" i="18"/>
  <c r="B2350" i="18"/>
  <c r="B2349" i="18"/>
  <c r="B2348" i="18"/>
  <c r="B2347" i="18"/>
  <c r="B2346" i="18"/>
  <c r="B2345" i="18"/>
  <c r="B2344" i="18"/>
  <c r="B2343" i="18"/>
  <c r="B2342" i="18"/>
  <c r="B2341" i="18"/>
  <c r="B2340" i="18"/>
  <c r="B2339" i="18"/>
  <c r="B2338" i="18"/>
  <c r="B2337" i="18"/>
  <c r="B2336" i="18"/>
  <c r="B2335" i="18"/>
  <c r="B2334" i="18"/>
  <c r="B2333" i="18"/>
  <c r="B2332" i="18"/>
  <c r="B2331" i="18"/>
  <c r="B2330" i="18"/>
  <c r="B2329" i="18"/>
  <c r="B2328" i="18"/>
  <c r="B2327" i="18"/>
  <c r="B2326" i="18"/>
  <c r="B2325" i="18"/>
  <c r="B2324" i="18"/>
  <c r="B2323" i="18"/>
  <c r="B2322" i="18"/>
  <c r="B2321" i="18"/>
  <c r="B2320" i="18"/>
  <c r="B2319" i="18"/>
  <c r="B2318" i="18"/>
  <c r="B2317" i="18"/>
  <c r="B2316" i="18"/>
  <c r="B2315" i="18"/>
  <c r="B2314" i="18"/>
  <c r="B2313" i="18"/>
  <c r="B2312" i="18"/>
  <c r="B2311" i="18"/>
  <c r="B2310" i="18"/>
  <c r="B2309" i="18"/>
  <c r="B2308" i="18"/>
  <c r="B2307" i="18"/>
  <c r="B2306" i="18"/>
  <c r="B2305" i="18"/>
  <c r="B2304" i="18"/>
  <c r="B2303" i="18"/>
  <c r="B2302" i="18"/>
  <c r="B2301" i="18"/>
  <c r="B2300" i="18"/>
  <c r="B2299" i="18"/>
  <c r="B2298" i="18"/>
  <c r="B2297" i="18"/>
  <c r="B2296" i="18"/>
  <c r="B2295" i="18"/>
  <c r="B2294" i="18"/>
  <c r="B2293" i="18"/>
  <c r="B2292" i="18"/>
  <c r="B2291" i="18"/>
  <c r="B2290" i="18"/>
  <c r="B2289" i="18"/>
  <c r="B2288" i="18"/>
  <c r="B2287" i="18"/>
  <c r="B2286" i="18"/>
  <c r="B2285" i="18"/>
  <c r="B2284" i="18"/>
  <c r="B2283" i="18"/>
  <c r="B2282" i="18"/>
  <c r="B2281" i="18"/>
  <c r="B2280" i="18"/>
  <c r="B2279" i="18"/>
  <c r="B2278" i="18"/>
  <c r="B2277" i="18"/>
  <c r="B2276" i="18"/>
  <c r="B2275" i="18"/>
  <c r="B2274" i="18"/>
  <c r="B2273" i="18"/>
  <c r="B2272" i="18"/>
  <c r="B2271" i="18"/>
  <c r="B2270" i="18"/>
  <c r="B2269" i="18"/>
  <c r="B2268" i="18"/>
  <c r="B2267" i="18"/>
  <c r="B2266" i="18"/>
  <c r="B2265" i="18"/>
  <c r="B2264" i="18"/>
  <c r="B2263" i="18"/>
  <c r="B2262" i="18"/>
  <c r="B2261" i="18"/>
  <c r="B2260" i="18"/>
  <c r="B2259" i="18"/>
  <c r="B2258" i="18"/>
  <c r="B2257" i="18"/>
  <c r="B2256" i="18"/>
  <c r="B2255" i="18"/>
  <c r="B2254" i="18"/>
  <c r="B2253" i="18"/>
  <c r="B2252" i="18"/>
  <c r="B2251" i="18"/>
  <c r="B2250" i="18"/>
  <c r="B2249" i="18"/>
  <c r="B2248" i="18"/>
  <c r="B2247" i="18"/>
  <c r="B2246" i="18"/>
  <c r="B2245" i="18"/>
  <c r="B2244" i="18"/>
  <c r="B2243" i="18"/>
  <c r="B2242" i="18"/>
  <c r="B2241" i="18"/>
  <c r="B2240" i="18"/>
  <c r="B2239" i="18"/>
  <c r="B2238" i="18"/>
  <c r="B2237" i="18"/>
  <c r="B2236" i="18"/>
  <c r="B2235" i="18"/>
  <c r="B2234" i="18"/>
  <c r="B2233" i="18"/>
  <c r="B2232" i="18"/>
  <c r="B2231" i="18"/>
  <c r="B2230" i="18"/>
  <c r="B2229" i="18"/>
  <c r="B2228" i="18"/>
  <c r="B2227" i="18"/>
  <c r="B2226" i="18"/>
  <c r="B2225" i="18"/>
  <c r="B2224" i="18"/>
  <c r="B2223" i="18"/>
  <c r="B2222" i="18"/>
  <c r="B2221" i="18"/>
  <c r="B2220" i="18"/>
  <c r="B2219" i="18"/>
  <c r="B2218" i="18"/>
  <c r="B2217" i="18"/>
  <c r="B2216" i="18"/>
  <c r="B2215" i="18"/>
  <c r="B2214" i="18"/>
  <c r="B2213" i="18"/>
  <c r="B2212" i="18"/>
  <c r="B2211" i="18"/>
  <c r="B2210" i="18"/>
  <c r="B2209" i="18"/>
  <c r="B2208" i="18"/>
  <c r="B2207" i="18"/>
  <c r="B2206" i="18"/>
  <c r="B2205" i="18"/>
  <c r="B2204" i="18"/>
  <c r="B2203" i="18"/>
  <c r="B2202" i="18"/>
  <c r="B2201" i="18"/>
  <c r="B2200" i="18"/>
  <c r="B2199" i="18"/>
  <c r="B2198" i="18"/>
  <c r="B2197" i="18"/>
  <c r="B2196" i="18"/>
  <c r="B2195" i="18"/>
  <c r="B2194" i="18"/>
  <c r="B2193" i="18"/>
  <c r="B2192" i="18"/>
  <c r="B2191" i="18"/>
  <c r="B2190" i="18"/>
  <c r="B2189" i="18"/>
  <c r="B2188" i="18"/>
  <c r="B2187" i="18"/>
  <c r="B2186" i="18"/>
  <c r="B2185" i="18"/>
  <c r="B2184" i="18"/>
  <c r="B2183" i="18"/>
  <c r="B2182" i="18"/>
  <c r="B2181" i="18"/>
  <c r="B2180" i="18"/>
  <c r="B2179" i="18"/>
  <c r="B2178" i="18"/>
  <c r="B2177" i="18"/>
  <c r="B2176" i="18"/>
  <c r="B2175" i="18"/>
  <c r="B2174" i="18"/>
  <c r="B2173" i="18"/>
  <c r="B2172" i="18"/>
  <c r="B2171" i="18"/>
  <c r="B2170" i="18"/>
  <c r="B2169" i="18"/>
  <c r="B2168" i="18"/>
  <c r="B2167" i="18"/>
  <c r="B2166" i="18"/>
  <c r="B2165" i="18"/>
  <c r="B2164" i="18"/>
  <c r="B2163" i="18"/>
  <c r="B2162" i="18"/>
  <c r="B2161" i="18"/>
  <c r="B2160" i="18"/>
  <c r="B2159" i="18"/>
  <c r="B2158" i="18"/>
  <c r="B2157" i="18"/>
  <c r="B2156" i="18"/>
  <c r="B2155" i="18"/>
  <c r="B2154" i="18"/>
  <c r="B2153" i="18"/>
  <c r="B2152" i="18"/>
  <c r="B2151" i="18"/>
  <c r="B2150" i="18"/>
  <c r="B2149" i="18"/>
  <c r="B2148" i="18"/>
  <c r="B2147" i="18"/>
  <c r="B2146" i="18"/>
  <c r="B2145" i="18"/>
  <c r="B2144" i="18"/>
  <c r="B2143" i="18"/>
  <c r="B2142" i="18"/>
  <c r="B2141" i="18"/>
  <c r="B2140" i="18"/>
  <c r="B2139" i="18"/>
  <c r="B2138" i="18"/>
  <c r="B2137" i="18"/>
  <c r="B2136" i="18"/>
  <c r="B2135" i="18"/>
  <c r="B2134" i="18"/>
  <c r="B2133" i="18"/>
  <c r="B2132" i="18"/>
  <c r="B2131" i="18"/>
  <c r="B2130" i="18"/>
  <c r="B2129" i="18"/>
  <c r="B2128" i="18"/>
  <c r="B2127" i="18"/>
  <c r="B2126" i="18"/>
  <c r="B2125" i="18"/>
  <c r="B2124" i="18"/>
  <c r="B2123" i="18"/>
  <c r="B2122" i="18"/>
  <c r="B2121" i="18"/>
  <c r="B2120" i="18"/>
  <c r="B2119" i="18"/>
  <c r="B2118" i="18"/>
  <c r="B2117" i="18"/>
  <c r="B2116" i="18"/>
  <c r="B2115" i="18"/>
  <c r="B2114" i="18"/>
  <c r="B2113" i="18"/>
  <c r="B2112" i="18"/>
  <c r="B2111" i="18"/>
  <c r="B2110" i="18"/>
  <c r="B2109" i="18"/>
  <c r="B2108" i="18"/>
  <c r="B2107" i="18"/>
  <c r="B2106" i="18"/>
  <c r="B2105" i="18"/>
  <c r="B2104" i="18"/>
  <c r="B2103" i="18"/>
  <c r="B2102" i="18"/>
  <c r="B2101" i="18"/>
  <c r="B2100" i="18"/>
  <c r="B2099" i="18"/>
  <c r="B2098" i="18"/>
  <c r="B2097" i="18"/>
  <c r="B2096" i="18"/>
  <c r="B2095" i="18"/>
  <c r="B2094" i="18"/>
  <c r="B2093" i="18"/>
  <c r="B2092" i="18"/>
  <c r="B2091" i="18"/>
  <c r="B2090" i="18"/>
  <c r="B2089" i="18"/>
  <c r="B2088" i="18"/>
  <c r="B2087" i="18"/>
  <c r="B2086" i="18"/>
  <c r="B2085" i="18"/>
  <c r="B2084" i="18"/>
  <c r="B2083" i="18"/>
  <c r="B2082" i="18"/>
  <c r="B2081" i="18"/>
  <c r="B2080" i="18"/>
  <c r="B2079" i="18"/>
  <c r="B2078" i="18"/>
  <c r="B2077" i="18"/>
  <c r="B2076" i="18"/>
  <c r="B2075" i="18"/>
  <c r="B2074" i="18"/>
  <c r="B2073" i="18"/>
  <c r="B2072" i="18"/>
  <c r="B2071" i="18"/>
  <c r="B2070" i="18"/>
  <c r="B2069" i="18"/>
  <c r="B2068" i="18"/>
  <c r="B2067" i="18"/>
  <c r="B2066" i="18"/>
  <c r="B2065" i="18"/>
  <c r="B2064" i="18"/>
  <c r="B2063" i="18"/>
  <c r="B2062" i="18"/>
  <c r="B2061" i="18"/>
  <c r="B2060" i="18"/>
  <c r="B2059" i="18"/>
  <c r="B2058" i="18"/>
  <c r="B2057" i="18"/>
  <c r="B2056" i="18"/>
  <c r="B2055" i="18"/>
  <c r="B2054" i="18"/>
  <c r="B2053" i="18"/>
  <c r="B2052" i="18"/>
  <c r="B2051" i="18"/>
  <c r="B2050" i="18"/>
  <c r="B2049" i="18"/>
  <c r="B2048" i="18"/>
  <c r="B2047" i="18"/>
  <c r="B2046" i="18"/>
  <c r="B2045" i="18"/>
  <c r="B2044" i="18"/>
  <c r="B2043" i="18"/>
  <c r="B2042" i="18"/>
  <c r="B2041" i="18"/>
  <c r="B2040" i="18"/>
  <c r="B2039" i="18"/>
  <c r="B2038" i="18"/>
  <c r="B2037" i="18"/>
  <c r="B2036" i="18"/>
  <c r="B2035" i="18"/>
  <c r="B2034" i="18"/>
  <c r="B2033" i="18"/>
  <c r="B2032" i="18"/>
  <c r="B2031" i="18"/>
  <c r="B2030" i="18"/>
  <c r="B2029" i="18"/>
  <c r="B2028" i="18"/>
  <c r="B2027" i="18"/>
  <c r="B2026" i="18"/>
  <c r="B2025" i="18"/>
  <c r="B2024" i="18"/>
  <c r="B2023" i="18"/>
  <c r="B2022" i="18"/>
  <c r="B2021" i="18"/>
  <c r="B2020" i="18"/>
  <c r="B2019" i="18"/>
  <c r="B2018" i="18"/>
  <c r="B2017" i="18"/>
  <c r="B2016" i="18"/>
  <c r="B2015" i="18"/>
  <c r="B2014" i="18"/>
  <c r="B2013" i="18"/>
  <c r="B2012" i="18"/>
  <c r="B2011" i="18"/>
  <c r="B2010" i="18"/>
  <c r="B2009" i="18"/>
  <c r="B2008" i="18"/>
  <c r="B2007" i="18"/>
  <c r="B2006" i="18"/>
  <c r="B2005" i="18"/>
  <c r="B2004" i="18"/>
  <c r="B2003" i="18"/>
  <c r="B2002" i="18"/>
  <c r="B2001" i="18"/>
  <c r="B2000" i="18"/>
  <c r="B1999" i="18"/>
  <c r="B1998" i="18"/>
  <c r="B1997" i="18"/>
  <c r="B1996" i="18"/>
  <c r="B1995" i="18"/>
  <c r="B1994" i="18"/>
  <c r="B1993" i="18"/>
  <c r="B1992" i="18"/>
  <c r="B1991" i="18"/>
  <c r="B1990" i="18"/>
  <c r="B1989" i="18"/>
  <c r="B1988" i="18"/>
  <c r="B1987" i="18"/>
  <c r="B1986" i="18"/>
  <c r="B1985" i="18"/>
  <c r="B1984" i="18"/>
  <c r="B1983" i="18"/>
  <c r="B1982" i="18"/>
  <c r="B1981" i="18"/>
  <c r="B1980" i="18"/>
  <c r="B1979" i="18"/>
  <c r="B1978" i="18"/>
  <c r="B1977" i="18"/>
  <c r="B1976" i="18"/>
  <c r="B1975" i="18"/>
  <c r="B1974" i="18"/>
  <c r="B1973" i="18"/>
  <c r="B1972" i="18"/>
  <c r="B1971" i="18"/>
  <c r="B1970" i="18"/>
  <c r="B1969" i="18"/>
  <c r="B1968" i="18"/>
  <c r="B1967" i="18"/>
  <c r="B1966" i="18"/>
  <c r="B1965" i="18"/>
  <c r="B1964" i="18"/>
  <c r="B1963" i="18"/>
  <c r="B1962" i="18"/>
  <c r="B1961" i="18"/>
  <c r="B1960" i="18"/>
  <c r="B1959" i="18"/>
  <c r="B1958" i="18"/>
  <c r="B1957" i="18"/>
  <c r="B1956" i="18"/>
  <c r="B1955" i="18"/>
  <c r="B1954" i="18"/>
  <c r="B1953" i="18"/>
  <c r="B1952" i="18"/>
  <c r="B1951" i="18"/>
  <c r="B1950" i="18"/>
  <c r="B1949" i="18"/>
  <c r="B1948" i="18"/>
  <c r="B1947" i="18"/>
  <c r="B1946" i="18"/>
  <c r="B1945" i="18"/>
  <c r="B1944" i="18"/>
  <c r="B1943" i="18"/>
  <c r="B1942" i="18"/>
  <c r="B1941" i="18"/>
  <c r="B1940" i="18"/>
  <c r="B1939" i="18"/>
  <c r="B1938" i="18"/>
  <c r="B1937" i="18"/>
  <c r="B1936" i="18"/>
  <c r="B1935" i="18"/>
  <c r="B1934" i="18"/>
  <c r="B1933" i="18"/>
  <c r="B1932" i="18"/>
  <c r="B1931" i="18"/>
  <c r="B1930" i="18"/>
  <c r="B1929" i="18"/>
  <c r="B1928" i="18"/>
  <c r="B1927" i="18"/>
  <c r="B1926" i="18"/>
  <c r="B1925" i="18"/>
  <c r="B1924" i="18"/>
  <c r="B1923" i="18"/>
  <c r="B1922" i="18"/>
  <c r="B1921" i="18"/>
  <c r="B1920" i="18"/>
  <c r="B1919" i="18"/>
  <c r="B1918" i="18"/>
  <c r="B1917" i="18"/>
  <c r="B1916" i="18"/>
  <c r="B1915" i="18"/>
  <c r="B1914" i="18"/>
  <c r="B1913" i="18"/>
  <c r="B1912" i="18"/>
  <c r="B1911" i="18"/>
  <c r="B1910" i="18"/>
  <c r="B1909" i="18"/>
  <c r="B1908" i="18"/>
  <c r="B1907" i="18"/>
  <c r="B1906" i="18"/>
  <c r="B1905" i="18"/>
  <c r="B1904" i="18"/>
  <c r="B1903" i="18"/>
  <c r="B1902" i="18"/>
  <c r="B1901" i="18"/>
  <c r="B1900" i="18"/>
  <c r="B1899" i="18"/>
  <c r="B1898" i="18"/>
  <c r="B1897" i="18"/>
  <c r="B1896" i="18"/>
  <c r="B1895" i="18"/>
  <c r="B1894" i="18"/>
  <c r="B1893" i="18"/>
  <c r="B1892" i="18"/>
  <c r="B1891" i="18"/>
  <c r="B1890" i="18"/>
  <c r="B1889" i="18"/>
  <c r="B1888" i="18"/>
  <c r="B1887" i="18"/>
  <c r="B1886" i="18"/>
  <c r="B1885" i="18"/>
  <c r="B1884" i="18"/>
  <c r="B1883" i="18"/>
  <c r="B1882" i="18"/>
  <c r="B1881" i="18"/>
  <c r="B1880" i="18"/>
  <c r="B1879" i="18"/>
  <c r="B1878" i="18"/>
  <c r="B1877" i="18"/>
  <c r="B1876" i="18"/>
  <c r="B1875" i="18"/>
  <c r="B1874" i="18"/>
  <c r="B1873" i="18"/>
  <c r="B1872" i="18"/>
  <c r="B1871" i="18"/>
  <c r="B1870" i="18"/>
  <c r="B1869" i="18"/>
  <c r="B1868" i="18"/>
  <c r="B1867" i="18"/>
  <c r="B1866" i="18"/>
  <c r="B1865" i="18"/>
  <c r="B1864" i="18"/>
  <c r="B1863" i="18"/>
  <c r="B1862" i="18"/>
  <c r="B1861" i="18"/>
  <c r="B1860" i="18"/>
  <c r="B1859" i="18"/>
  <c r="B1858" i="18"/>
  <c r="B1857" i="18"/>
  <c r="B1856" i="18"/>
  <c r="B1855" i="18"/>
  <c r="B1854" i="18"/>
  <c r="B1853" i="18"/>
  <c r="B1852" i="18"/>
  <c r="B1851" i="18"/>
  <c r="B1850" i="18"/>
  <c r="B1849" i="18"/>
  <c r="B1848" i="18"/>
  <c r="B1847" i="18"/>
  <c r="B1846" i="18"/>
  <c r="B1845" i="18"/>
  <c r="B1844" i="18"/>
  <c r="B1843" i="18"/>
  <c r="B1842" i="18"/>
  <c r="B1841" i="18"/>
  <c r="B1840" i="18"/>
  <c r="B1839" i="18"/>
  <c r="B1838" i="18"/>
  <c r="B1837" i="18"/>
  <c r="B1836" i="18"/>
  <c r="B1835" i="18"/>
  <c r="B1834" i="18"/>
  <c r="B1833" i="18"/>
  <c r="B1832" i="18"/>
  <c r="B1831" i="18"/>
  <c r="B1830" i="18"/>
  <c r="B1829" i="18"/>
  <c r="B1828" i="18"/>
  <c r="B1827" i="18"/>
  <c r="B1826" i="18"/>
  <c r="B1825" i="18"/>
  <c r="B1824" i="18"/>
  <c r="B1823" i="18"/>
  <c r="B1822" i="18"/>
  <c r="B1821" i="18"/>
  <c r="B1820" i="18"/>
  <c r="B1819" i="18"/>
  <c r="B1818" i="18"/>
  <c r="B1817" i="18"/>
  <c r="B1816" i="18"/>
  <c r="B1815" i="18"/>
  <c r="B1814" i="18"/>
  <c r="B1813" i="18"/>
  <c r="B1812" i="18"/>
  <c r="B1811" i="18"/>
  <c r="B1810" i="18"/>
  <c r="B1809" i="18"/>
  <c r="B1808" i="18"/>
  <c r="B1807" i="18"/>
  <c r="B1806" i="18"/>
  <c r="B1805" i="18"/>
  <c r="B1804" i="18"/>
  <c r="B1803" i="18"/>
  <c r="B1802" i="18"/>
  <c r="B1801" i="18"/>
  <c r="B1800" i="18"/>
  <c r="B1799" i="18"/>
  <c r="B1798" i="18"/>
  <c r="B1797" i="18"/>
  <c r="B1796" i="18"/>
  <c r="B1795" i="18"/>
  <c r="B1794" i="18"/>
  <c r="B1793" i="18"/>
  <c r="B1792" i="18"/>
  <c r="B1791" i="18"/>
  <c r="B1790" i="18"/>
  <c r="B1789" i="18"/>
  <c r="B1788" i="18"/>
  <c r="B1787" i="18"/>
  <c r="B1786" i="18"/>
  <c r="B1785" i="18"/>
  <c r="B1784" i="18"/>
  <c r="B1783" i="18"/>
  <c r="B1782" i="18"/>
  <c r="B1781" i="18"/>
  <c r="B1780" i="18"/>
  <c r="B1779" i="18"/>
  <c r="B1778" i="18"/>
  <c r="B1777" i="18"/>
  <c r="B1776" i="18"/>
  <c r="B1775" i="18"/>
  <c r="B1774" i="18"/>
  <c r="B1773" i="18"/>
  <c r="B1772" i="18"/>
  <c r="B1771" i="18"/>
  <c r="B1770" i="18"/>
  <c r="B1769" i="18"/>
  <c r="B1768" i="18"/>
  <c r="B1767" i="18"/>
  <c r="B1766" i="18"/>
  <c r="B1765" i="18"/>
  <c r="B1764" i="18"/>
  <c r="B1763" i="18"/>
  <c r="B1762" i="18"/>
  <c r="B1761" i="18"/>
  <c r="B1760" i="18"/>
  <c r="B1759" i="18"/>
  <c r="B1758" i="18"/>
  <c r="B1757" i="18"/>
  <c r="B1756" i="18"/>
  <c r="B1755" i="18"/>
  <c r="B1754" i="18"/>
  <c r="B1753" i="18"/>
  <c r="B1752" i="18"/>
  <c r="B1751" i="18"/>
  <c r="B1750" i="18"/>
  <c r="B1749" i="18"/>
  <c r="B1748" i="18"/>
  <c r="B1747" i="18"/>
  <c r="B1746" i="18"/>
  <c r="B1745" i="18"/>
  <c r="B1744" i="18"/>
  <c r="B1743" i="18"/>
  <c r="B1742" i="18"/>
  <c r="B1741" i="18"/>
  <c r="B1740" i="18"/>
  <c r="B1739" i="18"/>
  <c r="B1738" i="18"/>
  <c r="B1737" i="18"/>
  <c r="B1736" i="18"/>
  <c r="B1735" i="18"/>
  <c r="B1734" i="18"/>
  <c r="B1733" i="18"/>
  <c r="B1732" i="18"/>
  <c r="B1731" i="18"/>
  <c r="B1730" i="18"/>
  <c r="B1729" i="18"/>
  <c r="B1728" i="18"/>
  <c r="B1727" i="18"/>
  <c r="B1726" i="18"/>
  <c r="B1725" i="18"/>
  <c r="B1724" i="18"/>
  <c r="B1723" i="18"/>
  <c r="B1722" i="18"/>
  <c r="B1721" i="18"/>
  <c r="B1720" i="18"/>
  <c r="B1719" i="18"/>
  <c r="B1718" i="18"/>
  <c r="B1717" i="18"/>
  <c r="B1716" i="18"/>
  <c r="B1715" i="18"/>
  <c r="B1714" i="18"/>
  <c r="B1713" i="18"/>
  <c r="B1712" i="18"/>
  <c r="B1711" i="18"/>
  <c r="B1710" i="18"/>
  <c r="B1709" i="18"/>
  <c r="B1708" i="18"/>
  <c r="B1707" i="18"/>
  <c r="B1706" i="18"/>
  <c r="B1705" i="18"/>
  <c r="B1704" i="18"/>
  <c r="B1703" i="18"/>
  <c r="B1702" i="18"/>
  <c r="B1701" i="18"/>
  <c r="B1700" i="18"/>
  <c r="B1699" i="18"/>
  <c r="B1698" i="18"/>
  <c r="B1697" i="18"/>
  <c r="B1696" i="18"/>
  <c r="B1695" i="18"/>
  <c r="B1694" i="18"/>
  <c r="B1693" i="18"/>
  <c r="B1692" i="18"/>
  <c r="B1691" i="18"/>
  <c r="B1690" i="18"/>
  <c r="B1689" i="18"/>
  <c r="B1688" i="18"/>
  <c r="B1687" i="18"/>
  <c r="B1686" i="18"/>
  <c r="B1685" i="18"/>
  <c r="B1684" i="18"/>
  <c r="B1683" i="18"/>
  <c r="B1682" i="18"/>
  <c r="B1681" i="18"/>
  <c r="B1680" i="18"/>
  <c r="B1679" i="18"/>
  <c r="B1678" i="18"/>
  <c r="B1677" i="18"/>
  <c r="B1676" i="18"/>
  <c r="B1675" i="18"/>
  <c r="B1674" i="18"/>
  <c r="B1673" i="18"/>
  <c r="B1672" i="18"/>
  <c r="B1671" i="18"/>
  <c r="B1670" i="18"/>
  <c r="B1669" i="18"/>
  <c r="B1668" i="18"/>
  <c r="B1667" i="18"/>
  <c r="B1666" i="18"/>
  <c r="B1665" i="18"/>
  <c r="B1664" i="18"/>
  <c r="B1663" i="18"/>
  <c r="B1662" i="18"/>
  <c r="B1661" i="18"/>
  <c r="B1660" i="18"/>
  <c r="B1659" i="18"/>
  <c r="B1658" i="18"/>
  <c r="B1657" i="18"/>
  <c r="B1656" i="18"/>
  <c r="B1655" i="18"/>
  <c r="B1654" i="18"/>
  <c r="B1653" i="18"/>
  <c r="B1652" i="18"/>
  <c r="B1651" i="18"/>
  <c r="B1650" i="18"/>
  <c r="B1649" i="18"/>
  <c r="B1648" i="18"/>
  <c r="B1647" i="18"/>
  <c r="B1646" i="18"/>
  <c r="B1645" i="18"/>
  <c r="B1644" i="18"/>
  <c r="B1643" i="18"/>
  <c r="B1642" i="18"/>
  <c r="B1641" i="18"/>
  <c r="B1640" i="18"/>
  <c r="B1639" i="18"/>
  <c r="B1638" i="18"/>
  <c r="B1637" i="18"/>
  <c r="B1636" i="18"/>
  <c r="B1635" i="18"/>
  <c r="B1634" i="18"/>
  <c r="B1633" i="18"/>
  <c r="B1632" i="18"/>
  <c r="B1631" i="18"/>
  <c r="B1630" i="18"/>
  <c r="B1629" i="18"/>
  <c r="B1628" i="18"/>
  <c r="B1627" i="18"/>
  <c r="B1626" i="18"/>
  <c r="B1625" i="18"/>
  <c r="B1624" i="18"/>
  <c r="B1623" i="18"/>
  <c r="B1622" i="18"/>
  <c r="B1621" i="18"/>
  <c r="B1620" i="18"/>
  <c r="B1619" i="18"/>
  <c r="B1618" i="18"/>
  <c r="B1617" i="18"/>
  <c r="B1616" i="18"/>
  <c r="B1615" i="18"/>
  <c r="B1614" i="18"/>
  <c r="B1613" i="18"/>
  <c r="B1612" i="18"/>
  <c r="B1611" i="18"/>
  <c r="B1610" i="18"/>
  <c r="B1609" i="18"/>
  <c r="B1608" i="18"/>
  <c r="B1607" i="18"/>
  <c r="B1606" i="18"/>
  <c r="B1605" i="18"/>
  <c r="B1604" i="18"/>
  <c r="B1603" i="18"/>
  <c r="B1602" i="18"/>
  <c r="B1601" i="18"/>
  <c r="B1600" i="18"/>
  <c r="B1599" i="18"/>
  <c r="B1598" i="18"/>
  <c r="B1597" i="18"/>
  <c r="B1596" i="18"/>
  <c r="B1595" i="18"/>
  <c r="B1594" i="18"/>
  <c r="B1593" i="18"/>
  <c r="B1592" i="18"/>
  <c r="B1591" i="18"/>
  <c r="B1590" i="18"/>
  <c r="B1589" i="18"/>
  <c r="B1588" i="18"/>
  <c r="B1587" i="18"/>
  <c r="B1586" i="18"/>
  <c r="B1585" i="18"/>
  <c r="B1584" i="18"/>
  <c r="B1583" i="18"/>
  <c r="B1582" i="18"/>
  <c r="B1581" i="18"/>
  <c r="B1580" i="18"/>
  <c r="B1579" i="18"/>
  <c r="B1578" i="18"/>
  <c r="B1577" i="18"/>
  <c r="B1576" i="18"/>
  <c r="B1575" i="18"/>
  <c r="B1574" i="18"/>
  <c r="B1573" i="18"/>
  <c r="B1572" i="18"/>
  <c r="B1571" i="18"/>
  <c r="B1570" i="18"/>
  <c r="B1569" i="18"/>
  <c r="B1568" i="18"/>
  <c r="B1567" i="18"/>
  <c r="B1566" i="18"/>
  <c r="B1565" i="18"/>
  <c r="B1564" i="18"/>
  <c r="B1563" i="18"/>
  <c r="B1562" i="18"/>
  <c r="B1561" i="18"/>
  <c r="B1560" i="18"/>
  <c r="B1559" i="18"/>
  <c r="B1558" i="18"/>
  <c r="B1557" i="18"/>
  <c r="B1556" i="18"/>
  <c r="B1555" i="18"/>
  <c r="B1554" i="18"/>
  <c r="B1553" i="18"/>
  <c r="B1552" i="18"/>
  <c r="B1551" i="18"/>
  <c r="B1550" i="18"/>
  <c r="B1549" i="18"/>
  <c r="B1548" i="18"/>
  <c r="B1547" i="18"/>
  <c r="B1546" i="18"/>
  <c r="B1545" i="18"/>
  <c r="B1544" i="18"/>
  <c r="B1543" i="18"/>
  <c r="B1542" i="18"/>
  <c r="B1541" i="18"/>
  <c r="B1540" i="18"/>
  <c r="B1539" i="18"/>
  <c r="B1538" i="18"/>
  <c r="B1537" i="18"/>
  <c r="B1536" i="18"/>
  <c r="B1535" i="18"/>
  <c r="B1534" i="18"/>
  <c r="B1533" i="18"/>
  <c r="B1532" i="18"/>
  <c r="B1531" i="18"/>
  <c r="B1530" i="18"/>
  <c r="B1529" i="18"/>
  <c r="B1528" i="18"/>
  <c r="B1527" i="18"/>
  <c r="B1526" i="18"/>
  <c r="B1525" i="18"/>
  <c r="B1524" i="18"/>
  <c r="B1523" i="18"/>
  <c r="B1522" i="18"/>
  <c r="B1521" i="18"/>
  <c r="B1520" i="18"/>
  <c r="B1519" i="18"/>
  <c r="B1518" i="18"/>
  <c r="B1517" i="18"/>
  <c r="B1516" i="18"/>
  <c r="B1515" i="18"/>
  <c r="B1514" i="18"/>
  <c r="B1513" i="18"/>
  <c r="B1512" i="18"/>
  <c r="B1511" i="18"/>
  <c r="B1510" i="18"/>
  <c r="B1509" i="18"/>
  <c r="B1508" i="18"/>
  <c r="B1507" i="18"/>
  <c r="B1506" i="18"/>
  <c r="B1505" i="18"/>
  <c r="B1504" i="18"/>
  <c r="B1503" i="18"/>
  <c r="B1502" i="18"/>
  <c r="B1501" i="18"/>
  <c r="B1500" i="18"/>
  <c r="B1499" i="18"/>
  <c r="B1498" i="18"/>
  <c r="B1497" i="18"/>
  <c r="B1496" i="18"/>
  <c r="B1495" i="18"/>
  <c r="B1494" i="18"/>
  <c r="B1493" i="18"/>
  <c r="B1492" i="18"/>
  <c r="B1491" i="18"/>
  <c r="B1490" i="18"/>
  <c r="B1489" i="18"/>
  <c r="B1488" i="18"/>
  <c r="B1487" i="18"/>
  <c r="B1486" i="18"/>
  <c r="B1485" i="18"/>
  <c r="B1484" i="18"/>
  <c r="B1483" i="18"/>
  <c r="B1482" i="18"/>
  <c r="B1481" i="18"/>
  <c r="B1480" i="18"/>
  <c r="B1479" i="18"/>
  <c r="B1478" i="18"/>
  <c r="B1477" i="18"/>
  <c r="B1476" i="18"/>
  <c r="B1475" i="18"/>
  <c r="B1474" i="18"/>
  <c r="B1473" i="18"/>
  <c r="B1472" i="18"/>
  <c r="B1471" i="18"/>
  <c r="B1470" i="18"/>
  <c r="B1469" i="18"/>
  <c r="B1468" i="18"/>
  <c r="B1467" i="18"/>
  <c r="B1466" i="18"/>
  <c r="B1465" i="18"/>
  <c r="B1464" i="18"/>
  <c r="B1463" i="18"/>
  <c r="B1462" i="18"/>
  <c r="B1461" i="18"/>
  <c r="B1460" i="18"/>
  <c r="B1459" i="18"/>
  <c r="B1458" i="18"/>
  <c r="B1457" i="18"/>
  <c r="B1456" i="18"/>
  <c r="B1455" i="18"/>
  <c r="B1454" i="18"/>
  <c r="B1453" i="18"/>
  <c r="B1452" i="18"/>
  <c r="B1451" i="18"/>
  <c r="B1450" i="18"/>
  <c r="B1449" i="18"/>
  <c r="B1448" i="18"/>
  <c r="B1447" i="18"/>
  <c r="B1446" i="18"/>
  <c r="B1445" i="18"/>
  <c r="B1444" i="18"/>
  <c r="B1443" i="18"/>
  <c r="B1442" i="18"/>
  <c r="B1441" i="18"/>
  <c r="B1440" i="18"/>
  <c r="B1439" i="18"/>
  <c r="B1438" i="18"/>
  <c r="B1437" i="18"/>
  <c r="B1436" i="18"/>
  <c r="B1435" i="18"/>
  <c r="B1434" i="18"/>
  <c r="B1433" i="18"/>
  <c r="B1432" i="18"/>
  <c r="B1431" i="18"/>
  <c r="B1430" i="18"/>
  <c r="B1429" i="18"/>
  <c r="B1428" i="18"/>
  <c r="B1427" i="18"/>
  <c r="B1426" i="18"/>
  <c r="B1425" i="18"/>
  <c r="B1424" i="18"/>
  <c r="B1423" i="18"/>
  <c r="B1422" i="18"/>
  <c r="B1421" i="18"/>
  <c r="B1420" i="18"/>
  <c r="B1419" i="18"/>
  <c r="B1418" i="18"/>
  <c r="B1417" i="18"/>
  <c r="B1416" i="18"/>
  <c r="B1415" i="18"/>
  <c r="B1414" i="18"/>
  <c r="B1413" i="18"/>
  <c r="B1412" i="18"/>
  <c r="B1411" i="18"/>
  <c r="B1410" i="18"/>
  <c r="B1409" i="18"/>
  <c r="B1408" i="18"/>
  <c r="B1407" i="18"/>
  <c r="B1406" i="18"/>
  <c r="B1405" i="18"/>
  <c r="B1404" i="18"/>
  <c r="B1403" i="18"/>
  <c r="B1402" i="18"/>
  <c r="B1401" i="18"/>
  <c r="B1400" i="18"/>
  <c r="B1399" i="18"/>
  <c r="B1398" i="18"/>
  <c r="B1397" i="18"/>
  <c r="B1396" i="18"/>
  <c r="B1395" i="18"/>
  <c r="B1394" i="18"/>
  <c r="B1393" i="18"/>
  <c r="B1392" i="18"/>
  <c r="B1391" i="18"/>
  <c r="B1390" i="18"/>
  <c r="B1389" i="18"/>
  <c r="B1388" i="18"/>
  <c r="B1387" i="18"/>
  <c r="B1386" i="18"/>
  <c r="B1385" i="18"/>
  <c r="B1384" i="18"/>
  <c r="B1383" i="18"/>
  <c r="B1382" i="18"/>
  <c r="B1381" i="18"/>
  <c r="B1380" i="18"/>
  <c r="B1379" i="18"/>
  <c r="B1378" i="18"/>
  <c r="B1377" i="18"/>
  <c r="B1376" i="18"/>
  <c r="B1375" i="18"/>
  <c r="B1374" i="18"/>
  <c r="B1373" i="18"/>
  <c r="B1372" i="18"/>
  <c r="B1371" i="18"/>
  <c r="B1370" i="18"/>
  <c r="B1369" i="18"/>
  <c r="B1368" i="18"/>
  <c r="B1367" i="18"/>
  <c r="B1366" i="18"/>
  <c r="B1365" i="18"/>
  <c r="B1364" i="18"/>
  <c r="B1363" i="18"/>
  <c r="B1362" i="18"/>
  <c r="B1361" i="18"/>
  <c r="B1360" i="18"/>
  <c r="B1359" i="18"/>
  <c r="B1358" i="18"/>
  <c r="B1357" i="18"/>
  <c r="B1356" i="18"/>
  <c r="B1355" i="18"/>
  <c r="B1354" i="18"/>
  <c r="B1353" i="18"/>
  <c r="B1352" i="18"/>
  <c r="B1351" i="18"/>
  <c r="B1350" i="18"/>
  <c r="B1349" i="18"/>
  <c r="B1348" i="18"/>
  <c r="B1347" i="18"/>
  <c r="B1346" i="18"/>
  <c r="B1345" i="18"/>
  <c r="B1344" i="18"/>
  <c r="B1343" i="18"/>
  <c r="B1342" i="18"/>
  <c r="B1341" i="18"/>
  <c r="B1340" i="18"/>
  <c r="B1339" i="18"/>
  <c r="B1338" i="18"/>
  <c r="B1337" i="18"/>
  <c r="B1336" i="18"/>
  <c r="B1335" i="18"/>
  <c r="B1334" i="18"/>
  <c r="B1333" i="18"/>
  <c r="B1332" i="18"/>
  <c r="B1331" i="18"/>
  <c r="B1330" i="18"/>
  <c r="B1329" i="18"/>
  <c r="B1328" i="18"/>
  <c r="B1327" i="18"/>
  <c r="B1326" i="18"/>
  <c r="B1325" i="18"/>
  <c r="B1324" i="18"/>
  <c r="B1323" i="18"/>
  <c r="B1322" i="18"/>
  <c r="B1321" i="18"/>
  <c r="B1320" i="18"/>
  <c r="B1319" i="18"/>
  <c r="B1318" i="18"/>
  <c r="B1317" i="18"/>
  <c r="B1316" i="18"/>
  <c r="B1315" i="18"/>
  <c r="B1314" i="18"/>
  <c r="B1313" i="18"/>
  <c r="B1312" i="18"/>
  <c r="B1311" i="18"/>
  <c r="B1310" i="18"/>
  <c r="B1309" i="18"/>
  <c r="B1308" i="18"/>
  <c r="B1307" i="18"/>
  <c r="B1306" i="18"/>
  <c r="B1305" i="18"/>
  <c r="B1304" i="18"/>
  <c r="B1303" i="18"/>
  <c r="B1302" i="18"/>
  <c r="B1301" i="18"/>
  <c r="B1300" i="18"/>
  <c r="B1299" i="18"/>
  <c r="B1298" i="18"/>
  <c r="B1297" i="18"/>
  <c r="B1296" i="18"/>
  <c r="B1295" i="18"/>
  <c r="B1294" i="18"/>
  <c r="B1293" i="18"/>
  <c r="B1292" i="18"/>
  <c r="B1291" i="18"/>
  <c r="B1290" i="18"/>
  <c r="B1289" i="18"/>
  <c r="B1288" i="18"/>
  <c r="B1287" i="18"/>
  <c r="B1286" i="18"/>
  <c r="B1285" i="18"/>
  <c r="B1284" i="18"/>
  <c r="B1283" i="18"/>
  <c r="B1282" i="18"/>
  <c r="B1281" i="18"/>
  <c r="B1280" i="18"/>
  <c r="B1279" i="18"/>
  <c r="B1278" i="18"/>
  <c r="B1277" i="18"/>
  <c r="B1276" i="18"/>
  <c r="B1275" i="18"/>
  <c r="B1274" i="18"/>
  <c r="B1273" i="18"/>
  <c r="B1272" i="18"/>
  <c r="B1271" i="18"/>
  <c r="B1270" i="18"/>
  <c r="B1269" i="18"/>
  <c r="B1268" i="18"/>
  <c r="B1267" i="18"/>
  <c r="B1266" i="18"/>
  <c r="B1265" i="18"/>
  <c r="B1264" i="18"/>
  <c r="B1263" i="18"/>
  <c r="B1262" i="18"/>
  <c r="B1261" i="18"/>
  <c r="B1260" i="18"/>
  <c r="B1259" i="18"/>
  <c r="B1258" i="18"/>
  <c r="B1257" i="18"/>
  <c r="B1256" i="18"/>
  <c r="B1255" i="18"/>
  <c r="B1254" i="18"/>
  <c r="B1253" i="18"/>
  <c r="B1252" i="18"/>
  <c r="B1251" i="18"/>
  <c r="B1250" i="18"/>
  <c r="B1249" i="18"/>
  <c r="B1248" i="18"/>
  <c r="B1247" i="18"/>
  <c r="B1246" i="18"/>
  <c r="B1245" i="18"/>
  <c r="B1244" i="18"/>
  <c r="B1243" i="18"/>
  <c r="B1242" i="18"/>
  <c r="B1241" i="18"/>
  <c r="B1240" i="18"/>
  <c r="B1239" i="18"/>
  <c r="B1238" i="18"/>
  <c r="B1237" i="18"/>
  <c r="B1236" i="18"/>
  <c r="B1235" i="18"/>
  <c r="B1234" i="18"/>
  <c r="B1233" i="18"/>
  <c r="B1232" i="18"/>
  <c r="B1231" i="18"/>
  <c r="B1230" i="18"/>
  <c r="B1229" i="18"/>
  <c r="B1228" i="18"/>
  <c r="B1227" i="18"/>
  <c r="B1226" i="18"/>
  <c r="B1225" i="18"/>
  <c r="B1224" i="18"/>
  <c r="B1223" i="18"/>
  <c r="B1222" i="18"/>
  <c r="B1221" i="18"/>
  <c r="B1220" i="18"/>
  <c r="B1219" i="18"/>
  <c r="B1218" i="18"/>
  <c r="B1217" i="18"/>
  <c r="B1216" i="18"/>
  <c r="B1215" i="18"/>
  <c r="B1214" i="18"/>
  <c r="B1213" i="18"/>
  <c r="B1212" i="18"/>
  <c r="B1211" i="18"/>
  <c r="B1210" i="18"/>
  <c r="B1209" i="18"/>
  <c r="B1208" i="18"/>
  <c r="B1207" i="18"/>
  <c r="B1206" i="18"/>
  <c r="B1205" i="18"/>
  <c r="B1204" i="18"/>
  <c r="B1203" i="18"/>
  <c r="B1202" i="18"/>
  <c r="B1201" i="18"/>
  <c r="B1200" i="18"/>
  <c r="B1199" i="18"/>
  <c r="B1198" i="18"/>
  <c r="B1197" i="18"/>
  <c r="B1196" i="18"/>
  <c r="B1195" i="18"/>
  <c r="B1194" i="18"/>
  <c r="B1193" i="18"/>
  <c r="B1192" i="18"/>
  <c r="B1191" i="18"/>
  <c r="B1190" i="18"/>
  <c r="B1189" i="18"/>
  <c r="B1188" i="18"/>
  <c r="B1187" i="18"/>
  <c r="B1186" i="18"/>
  <c r="B1185" i="18"/>
  <c r="B1184" i="18"/>
  <c r="B1183" i="18"/>
  <c r="B1182" i="18"/>
  <c r="B1181" i="18"/>
  <c r="B1180" i="18"/>
  <c r="B1179" i="18"/>
  <c r="B1178" i="18"/>
  <c r="B1177" i="18"/>
  <c r="B1176" i="18"/>
  <c r="B1175" i="18"/>
  <c r="B1174" i="18"/>
  <c r="B1173" i="18"/>
  <c r="B1172" i="18"/>
  <c r="B1171" i="18"/>
  <c r="B1170" i="18"/>
  <c r="B1169" i="18"/>
  <c r="B1168" i="18"/>
  <c r="B1167" i="18"/>
  <c r="B1166" i="18"/>
  <c r="B1165" i="18"/>
  <c r="B1164" i="18"/>
  <c r="B1163" i="18"/>
  <c r="B1162" i="18"/>
  <c r="B1161" i="18"/>
  <c r="B1160" i="18"/>
  <c r="B1159" i="18"/>
  <c r="B1158" i="18"/>
  <c r="B1157" i="18"/>
  <c r="B1156" i="18"/>
  <c r="B1155" i="18"/>
  <c r="B1154" i="18"/>
  <c r="B1153" i="18"/>
  <c r="B1152" i="18"/>
  <c r="B1151" i="18"/>
  <c r="B1150" i="18"/>
  <c r="B1149" i="18"/>
  <c r="B1148" i="18"/>
  <c r="B1147" i="18"/>
  <c r="B1146" i="18"/>
  <c r="B1145" i="18"/>
  <c r="B1144" i="18"/>
  <c r="B1143" i="18"/>
  <c r="B1142" i="18"/>
  <c r="B1141" i="18"/>
  <c r="B1140" i="18"/>
  <c r="B1139" i="18"/>
  <c r="B1138" i="18"/>
  <c r="B1137" i="18"/>
  <c r="B1136" i="18"/>
  <c r="B1135" i="18"/>
  <c r="B1134" i="18"/>
  <c r="B1133" i="18"/>
  <c r="B1132" i="18"/>
  <c r="B1131" i="18"/>
  <c r="B1130" i="18"/>
  <c r="B1129" i="18"/>
  <c r="B1128" i="18"/>
  <c r="B1127" i="18"/>
  <c r="B1126" i="18"/>
  <c r="B1125" i="18"/>
  <c r="B1124" i="18"/>
  <c r="B1123" i="18"/>
  <c r="B1122" i="18"/>
  <c r="B1121" i="18"/>
  <c r="B1120" i="18"/>
  <c r="B1119" i="18"/>
  <c r="B1118" i="18"/>
  <c r="B1117" i="18"/>
  <c r="B1116" i="18"/>
  <c r="B1115" i="18"/>
  <c r="B1114" i="18"/>
  <c r="B1113" i="18"/>
  <c r="B1112" i="18"/>
  <c r="B1111" i="18"/>
  <c r="B1110" i="18"/>
  <c r="B1109" i="18"/>
  <c r="B1108" i="18"/>
  <c r="B1107" i="18"/>
  <c r="B1106" i="18"/>
  <c r="B1105" i="18"/>
  <c r="B1104" i="18"/>
  <c r="B1103" i="18"/>
  <c r="B1102" i="18"/>
  <c r="B1101" i="18"/>
  <c r="B1100" i="18"/>
  <c r="B1099" i="18"/>
  <c r="B1098" i="18"/>
  <c r="B1097" i="18"/>
  <c r="B1096" i="18"/>
  <c r="B1095" i="18"/>
  <c r="B1094" i="18"/>
  <c r="B1093" i="18"/>
  <c r="B1092" i="18"/>
  <c r="B1091" i="18"/>
  <c r="B1090" i="18"/>
  <c r="B1089" i="18"/>
  <c r="B1088" i="18"/>
  <c r="B1087" i="18"/>
  <c r="B1086" i="18"/>
  <c r="B1085" i="18"/>
  <c r="B1084" i="18"/>
  <c r="B1083" i="18"/>
  <c r="B1082" i="18"/>
  <c r="B1081" i="18"/>
  <c r="B1080" i="18"/>
  <c r="B1079" i="18"/>
  <c r="B1078" i="18"/>
  <c r="B1077" i="18"/>
  <c r="B1076" i="18"/>
  <c r="B1075" i="18"/>
  <c r="B1074" i="18"/>
  <c r="B1073" i="18"/>
  <c r="B1072" i="18"/>
  <c r="B1071" i="18"/>
  <c r="B1070" i="18"/>
  <c r="B1069" i="18"/>
  <c r="B1068" i="18"/>
  <c r="B1067" i="18"/>
  <c r="B1066" i="18"/>
  <c r="B1065" i="18"/>
  <c r="B1064" i="18"/>
  <c r="B1063" i="18"/>
  <c r="B1062" i="18"/>
  <c r="B1061" i="18"/>
  <c r="B1060" i="18"/>
  <c r="B1059" i="18"/>
  <c r="B1058" i="18"/>
  <c r="B1057" i="18"/>
  <c r="B1056" i="18"/>
  <c r="B1055" i="18"/>
  <c r="B1054" i="18"/>
  <c r="B1053" i="18"/>
  <c r="B1052" i="18"/>
  <c r="B1051" i="18"/>
  <c r="B1050" i="18"/>
  <c r="B1049" i="18"/>
  <c r="B1048" i="18"/>
  <c r="B1047" i="18"/>
  <c r="B1046" i="18"/>
  <c r="B1045" i="18"/>
  <c r="B1044" i="18"/>
  <c r="B1043" i="18"/>
  <c r="B1042" i="18"/>
  <c r="B1041" i="18"/>
  <c r="B1040" i="18"/>
  <c r="B1039" i="18"/>
  <c r="B1038" i="18"/>
  <c r="B1037" i="18"/>
  <c r="B1036" i="18"/>
  <c r="B1035" i="18"/>
  <c r="B1034" i="18"/>
  <c r="B1033" i="18"/>
  <c r="B1032" i="18"/>
  <c r="B1031" i="18"/>
  <c r="B1030" i="18"/>
  <c r="B1029" i="18"/>
  <c r="B1028" i="18"/>
  <c r="B1027" i="18"/>
  <c r="B1026" i="18"/>
  <c r="B1025" i="18"/>
  <c r="B1024" i="18"/>
  <c r="B1023" i="18"/>
  <c r="B1022" i="18"/>
  <c r="B1021" i="18"/>
  <c r="B1020" i="18"/>
  <c r="B1019" i="18"/>
  <c r="B1018" i="18"/>
  <c r="B1017" i="18"/>
  <c r="B1016" i="18"/>
  <c r="B1015" i="18"/>
  <c r="B1014" i="18"/>
  <c r="B1013" i="18"/>
  <c r="B1012" i="18"/>
  <c r="B1011" i="18"/>
  <c r="B1010" i="18"/>
  <c r="B1009" i="18"/>
  <c r="B1008" i="18"/>
  <c r="B1007" i="18"/>
  <c r="B1006" i="18"/>
  <c r="B1005" i="18"/>
  <c r="B1004" i="18"/>
  <c r="B1003" i="18"/>
  <c r="B1002" i="18"/>
  <c r="B1001" i="18"/>
  <c r="B1000" i="18"/>
  <c r="B999" i="18"/>
  <c r="B998" i="18"/>
  <c r="B997" i="18"/>
  <c r="B996" i="18"/>
  <c r="B995" i="18"/>
  <c r="B994" i="18"/>
  <c r="B993" i="18"/>
  <c r="B992" i="18"/>
  <c r="B991" i="18"/>
  <c r="B990" i="18"/>
  <c r="B989" i="18"/>
  <c r="B988" i="18"/>
  <c r="B987" i="18"/>
  <c r="B986" i="18"/>
  <c r="B985" i="18"/>
  <c r="B984" i="18"/>
  <c r="B983" i="18"/>
  <c r="B982" i="18"/>
  <c r="B981" i="18"/>
  <c r="B980" i="18"/>
  <c r="B979" i="18"/>
  <c r="B978" i="18"/>
  <c r="B977" i="18"/>
  <c r="B976" i="18"/>
  <c r="B975" i="18"/>
  <c r="B974" i="18"/>
  <c r="B973" i="18"/>
  <c r="B972" i="18"/>
  <c r="B971" i="18"/>
  <c r="B970" i="18"/>
  <c r="B969" i="18"/>
  <c r="B968" i="18"/>
  <c r="B967" i="18"/>
  <c r="B966" i="18"/>
  <c r="B965" i="18"/>
  <c r="B964" i="18"/>
  <c r="B963" i="18"/>
  <c r="B962" i="18"/>
  <c r="B961" i="18"/>
  <c r="B960" i="18"/>
  <c r="B959" i="18"/>
  <c r="B958" i="18"/>
  <c r="B957" i="18"/>
  <c r="B956" i="18"/>
  <c r="B955" i="18"/>
  <c r="B954" i="18"/>
  <c r="B953" i="18"/>
  <c r="B952" i="18"/>
  <c r="B951" i="18"/>
  <c r="B950" i="18"/>
  <c r="B949" i="18"/>
  <c r="B948" i="18"/>
  <c r="B947" i="18"/>
  <c r="B946" i="18"/>
  <c r="B945" i="18"/>
  <c r="B944" i="18"/>
  <c r="B943" i="18"/>
  <c r="B942" i="18"/>
  <c r="B941" i="18"/>
  <c r="B940" i="18"/>
  <c r="B939" i="18"/>
  <c r="B938" i="18"/>
  <c r="B937" i="18"/>
  <c r="B936" i="18"/>
  <c r="B935" i="18"/>
  <c r="B934" i="18"/>
  <c r="B933" i="18"/>
  <c r="B932" i="18"/>
  <c r="B931" i="18"/>
  <c r="B930" i="18"/>
  <c r="B929" i="18"/>
  <c r="B928" i="18"/>
  <c r="B927" i="18"/>
  <c r="B926" i="18"/>
  <c r="B925" i="18"/>
  <c r="B924" i="18"/>
  <c r="B923" i="18"/>
  <c r="B922" i="18"/>
  <c r="B921" i="18"/>
  <c r="B920" i="18"/>
  <c r="B919" i="18"/>
  <c r="B918" i="18"/>
  <c r="B917" i="18"/>
  <c r="B916" i="18"/>
  <c r="B915" i="18"/>
  <c r="B914" i="18"/>
  <c r="B913" i="18"/>
  <c r="B912" i="18"/>
  <c r="B911" i="18"/>
  <c r="B910" i="18"/>
  <c r="B909" i="18"/>
  <c r="B908" i="18"/>
  <c r="B907" i="18"/>
  <c r="B906" i="18"/>
  <c r="B905" i="18"/>
  <c r="B904" i="18"/>
  <c r="B903" i="18"/>
  <c r="B902" i="18"/>
  <c r="B901" i="18"/>
  <c r="B900" i="18"/>
  <c r="B899" i="18"/>
  <c r="B898" i="18"/>
  <c r="B897" i="18"/>
  <c r="B896" i="18"/>
  <c r="B895" i="18"/>
  <c r="B894" i="18"/>
  <c r="B893" i="18"/>
  <c r="B892" i="18"/>
  <c r="B891" i="18"/>
  <c r="B890" i="18"/>
  <c r="B889" i="18"/>
  <c r="B888" i="18"/>
  <c r="B887" i="18"/>
  <c r="B886" i="18"/>
  <c r="B885" i="18"/>
  <c r="B884" i="18"/>
  <c r="B883" i="18"/>
  <c r="B882" i="18"/>
  <c r="B881" i="18"/>
  <c r="B880" i="18"/>
  <c r="B879" i="18"/>
  <c r="B878" i="18"/>
  <c r="B877" i="18"/>
  <c r="B876" i="18"/>
  <c r="B875" i="18"/>
  <c r="B874" i="18"/>
  <c r="B873" i="18"/>
  <c r="B872" i="18"/>
  <c r="B871" i="18"/>
  <c r="B870" i="18"/>
  <c r="B869" i="18"/>
  <c r="B868" i="18"/>
  <c r="B867" i="18"/>
  <c r="B866" i="18"/>
  <c r="B865" i="18"/>
  <c r="B864" i="18"/>
  <c r="B863" i="18"/>
  <c r="B862" i="18"/>
  <c r="B861" i="18"/>
  <c r="B860" i="18"/>
  <c r="B859" i="18"/>
  <c r="B858" i="18"/>
  <c r="B857" i="18"/>
  <c r="B856" i="18"/>
  <c r="B855" i="18"/>
  <c r="B854" i="18"/>
  <c r="B853" i="18"/>
  <c r="B852" i="18"/>
  <c r="B851" i="18"/>
  <c r="B850" i="18"/>
  <c r="B849" i="18"/>
  <c r="B848" i="18"/>
  <c r="B847" i="18"/>
  <c r="B846" i="18"/>
  <c r="B845" i="18"/>
  <c r="B844" i="18"/>
  <c r="B843" i="18"/>
  <c r="B842" i="18"/>
  <c r="B841" i="18"/>
  <c r="B840" i="18"/>
  <c r="B839" i="18"/>
  <c r="B838" i="18"/>
  <c r="B837" i="18"/>
  <c r="B836" i="18"/>
  <c r="B835" i="18"/>
  <c r="B834" i="18"/>
  <c r="B833" i="18"/>
  <c r="B832" i="18"/>
  <c r="B831" i="18"/>
  <c r="B830" i="18"/>
  <c r="B829" i="18"/>
  <c r="B828" i="18"/>
  <c r="B827" i="18"/>
  <c r="B826" i="18"/>
  <c r="B825" i="18"/>
  <c r="B824" i="18"/>
  <c r="B823" i="18"/>
  <c r="B822" i="18"/>
  <c r="B821" i="18"/>
  <c r="B820" i="18"/>
  <c r="B819" i="18"/>
  <c r="B818" i="18"/>
  <c r="B817" i="18"/>
  <c r="B816" i="18"/>
  <c r="B815" i="18"/>
  <c r="B814" i="18"/>
  <c r="B813" i="18"/>
  <c r="B812" i="18"/>
  <c r="B811" i="18"/>
  <c r="B810" i="18"/>
  <c r="B809" i="18"/>
  <c r="B808" i="18"/>
  <c r="B807" i="18"/>
  <c r="B806" i="18"/>
  <c r="B805" i="18"/>
  <c r="B804" i="18"/>
  <c r="B803" i="18"/>
  <c r="B802" i="18"/>
  <c r="B801" i="18"/>
  <c r="B800" i="18"/>
  <c r="B799" i="18"/>
  <c r="B798" i="18"/>
  <c r="B797" i="18"/>
  <c r="B796" i="18"/>
  <c r="B795" i="18"/>
  <c r="B794" i="18"/>
  <c r="B793" i="18"/>
  <c r="B792" i="18"/>
  <c r="B791" i="18"/>
  <c r="B790" i="18"/>
  <c r="B789" i="18"/>
  <c r="B788" i="18"/>
  <c r="B787" i="18"/>
  <c r="B786" i="18"/>
  <c r="B785" i="18"/>
  <c r="B784" i="18"/>
  <c r="B783" i="18"/>
  <c r="B782" i="18"/>
  <c r="B781" i="18"/>
  <c r="B780" i="18"/>
  <c r="B779" i="18"/>
  <c r="B778" i="18"/>
  <c r="B777" i="18"/>
  <c r="B776" i="18"/>
  <c r="B775" i="18"/>
  <c r="B774" i="18"/>
  <c r="B773" i="18"/>
  <c r="B772" i="18"/>
  <c r="B771" i="18"/>
  <c r="B770" i="18"/>
  <c r="B769" i="18"/>
  <c r="B768" i="18"/>
  <c r="B767" i="18"/>
  <c r="B766" i="18"/>
  <c r="B765" i="18"/>
  <c r="B764" i="18"/>
  <c r="B763" i="18"/>
  <c r="B762" i="18"/>
  <c r="B761" i="18"/>
  <c r="B760" i="18"/>
  <c r="B759" i="18"/>
  <c r="B758" i="18"/>
  <c r="B757" i="18"/>
  <c r="B756" i="18"/>
  <c r="B755" i="18"/>
  <c r="B754" i="18"/>
  <c r="B753" i="18"/>
  <c r="B752" i="18"/>
  <c r="B751" i="18"/>
  <c r="B750" i="18"/>
  <c r="B749" i="18"/>
  <c r="B748" i="18"/>
  <c r="B747" i="18"/>
  <c r="B746" i="18"/>
  <c r="B745" i="18"/>
  <c r="B744" i="18"/>
  <c r="B743" i="18"/>
  <c r="B742" i="18"/>
  <c r="B741" i="18"/>
  <c r="B740" i="18"/>
  <c r="B739" i="18"/>
  <c r="B738" i="18"/>
  <c r="B737" i="18"/>
  <c r="B736" i="18"/>
  <c r="B735" i="18"/>
  <c r="B734" i="18"/>
  <c r="B733" i="18"/>
  <c r="B732" i="18"/>
  <c r="B731" i="18"/>
  <c r="B730" i="18"/>
  <c r="B729" i="18"/>
  <c r="B728" i="18"/>
  <c r="B727" i="18"/>
  <c r="B726" i="18"/>
  <c r="B725" i="18"/>
  <c r="B724" i="18"/>
  <c r="B723" i="18"/>
  <c r="B722" i="18"/>
  <c r="B721" i="18"/>
  <c r="B720" i="18"/>
  <c r="B719" i="18"/>
  <c r="B718" i="18"/>
  <c r="B717" i="18"/>
  <c r="B716" i="18"/>
  <c r="B715" i="18"/>
  <c r="B714" i="18"/>
  <c r="B713" i="18"/>
  <c r="B712" i="18"/>
  <c r="B711" i="18"/>
  <c r="B710" i="18"/>
  <c r="B709" i="18"/>
  <c r="B708" i="18"/>
  <c r="B707" i="18"/>
  <c r="B706" i="18"/>
  <c r="B705" i="18"/>
  <c r="B704" i="18"/>
  <c r="B703" i="18"/>
  <c r="B702" i="18"/>
  <c r="B701" i="18"/>
  <c r="B700" i="18"/>
  <c r="B699" i="18"/>
  <c r="B698" i="18"/>
  <c r="B697" i="18"/>
  <c r="B696" i="18"/>
  <c r="B695" i="18"/>
  <c r="B694" i="18"/>
  <c r="B693" i="18"/>
  <c r="B692" i="18"/>
  <c r="B691" i="18"/>
  <c r="B690" i="18"/>
  <c r="B689" i="18"/>
  <c r="B688" i="18"/>
  <c r="B687" i="18"/>
  <c r="B686" i="18"/>
  <c r="B685" i="18"/>
  <c r="B684" i="18"/>
  <c r="B683" i="18"/>
  <c r="B682" i="18"/>
  <c r="B681" i="18"/>
  <c r="B680" i="18"/>
  <c r="B679" i="18"/>
  <c r="B678" i="18"/>
  <c r="B677" i="18"/>
  <c r="B676" i="18"/>
  <c r="B675" i="18"/>
  <c r="B674" i="18"/>
  <c r="B673" i="18"/>
  <c r="B672" i="18"/>
  <c r="B671" i="18"/>
  <c r="B670" i="18"/>
  <c r="B669" i="18"/>
  <c r="B668" i="18"/>
  <c r="B667" i="18"/>
  <c r="B666" i="18"/>
  <c r="B665" i="18"/>
  <c r="B664" i="18"/>
  <c r="B663" i="18"/>
  <c r="B662" i="18"/>
  <c r="B661" i="18"/>
  <c r="B660" i="18"/>
  <c r="B659" i="18"/>
  <c r="B658" i="18"/>
  <c r="B657" i="18"/>
  <c r="B656" i="18"/>
  <c r="B655" i="18"/>
  <c r="B654" i="18"/>
  <c r="B653" i="18"/>
  <c r="B652" i="18"/>
  <c r="B651" i="18"/>
  <c r="B650" i="18"/>
  <c r="B649" i="18"/>
  <c r="B648" i="18"/>
  <c r="B647" i="18"/>
  <c r="B646" i="18"/>
  <c r="B645" i="18"/>
  <c r="B644" i="18"/>
  <c r="B643" i="18"/>
  <c r="B642" i="18"/>
  <c r="B641" i="18"/>
  <c r="B640" i="18"/>
  <c r="B639" i="18"/>
  <c r="B638" i="18"/>
  <c r="B637" i="18"/>
  <c r="B636" i="18"/>
  <c r="B635" i="18"/>
  <c r="B634" i="18"/>
  <c r="B633" i="18"/>
  <c r="B632" i="18"/>
  <c r="B631" i="18"/>
  <c r="B630" i="18"/>
  <c r="B629" i="18"/>
  <c r="B628" i="18"/>
  <c r="B627" i="18"/>
  <c r="B626" i="18"/>
  <c r="B625" i="18"/>
  <c r="B624" i="18"/>
  <c r="B623" i="18"/>
  <c r="B622" i="18"/>
  <c r="B621" i="18"/>
  <c r="B620" i="18"/>
  <c r="B619" i="18"/>
  <c r="B618" i="18"/>
  <c r="B617" i="18"/>
  <c r="B616" i="18"/>
  <c r="B615" i="18"/>
  <c r="B614" i="18"/>
  <c r="B613" i="18"/>
  <c r="B612" i="18"/>
  <c r="B611" i="18"/>
  <c r="B610" i="18"/>
  <c r="B609" i="18"/>
  <c r="B608" i="18"/>
  <c r="B607" i="18"/>
  <c r="B606" i="18"/>
  <c r="B605" i="18"/>
  <c r="B604" i="18"/>
  <c r="B603" i="18"/>
  <c r="B602" i="18"/>
  <c r="B601" i="18"/>
  <c r="B600" i="18"/>
  <c r="B599" i="18"/>
  <c r="B598" i="18"/>
  <c r="B597" i="18"/>
  <c r="B596" i="18"/>
  <c r="B595" i="18"/>
  <c r="B594" i="18"/>
  <c r="B593" i="18"/>
  <c r="B592" i="18"/>
  <c r="B591" i="18"/>
  <c r="B590" i="18"/>
  <c r="B589" i="18"/>
  <c r="B588" i="18"/>
  <c r="B587" i="18"/>
  <c r="B586" i="18"/>
  <c r="B585" i="18"/>
  <c r="B584" i="18"/>
  <c r="B583" i="18"/>
  <c r="B582" i="18"/>
  <c r="B581" i="18"/>
  <c r="B580" i="18"/>
  <c r="B579" i="18"/>
  <c r="B578" i="18"/>
  <c r="B577" i="18"/>
  <c r="B576" i="18"/>
  <c r="B575" i="18"/>
  <c r="B574" i="18"/>
  <c r="B573" i="18"/>
  <c r="B572" i="18"/>
  <c r="B571" i="18"/>
  <c r="B570" i="18"/>
  <c r="B569" i="18"/>
  <c r="B568" i="18"/>
  <c r="B567" i="18"/>
  <c r="B566" i="18"/>
  <c r="B565" i="18"/>
  <c r="B564" i="18"/>
  <c r="B563" i="18"/>
  <c r="B562" i="18"/>
  <c r="B561" i="18"/>
  <c r="B560" i="18"/>
  <c r="B559" i="18"/>
  <c r="B558" i="18"/>
  <c r="B557" i="18"/>
  <c r="B556" i="18"/>
  <c r="B555" i="18"/>
  <c r="B554" i="18"/>
  <c r="B553" i="18"/>
  <c r="B552" i="18"/>
  <c r="B551" i="18"/>
  <c r="B550" i="18"/>
  <c r="B549" i="18"/>
  <c r="B548" i="18"/>
  <c r="B547" i="18"/>
  <c r="B546" i="18"/>
  <c r="B545" i="18"/>
  <c r="B544" i="18"/>
  <c r="B543" i="18"/>
  <c r="B542" i="18"/>
  <c r="B541" i="18"/>
  <c r="B540" i="18"/>
  <c r="B539" i="18"/>
  <c r="B538" i="18"/>
  <c r="B537" i="18"/>
  <c r="B536" i="18"/>
  <c r="B535" i="18"/>
  <c r="B534" i="18"/>
  <c r="B533" i="18"/>
  <c r="B532" i="18"/>
  <c r="B531" i="18"/>
  <c r="B530" i="18"/>
  <c r="B529" i="18"/>
  <c r="B528" i="18"/>
  <c r="B527" i="18"/>
  <c r="B526" i="18"/>
  <c r="B525" i="18"/>
  <c r="B524" i="18"/>
  <c r="B523" i="18"/>
  <c r="B522" i="18"/>
  <c r="B521" i="18"/>
  <c r="B520" i="18"/>
  <c r="B519" i="18"/>
  <c r="B518" i="18"/>
  <c r="B517" i="18"/>
  <c r="B516" i="18"/>
  <c r="B515" i="18"/>
  <c r="B514" i="18"/>
  <c r="B513" i="18"/>
  <c r="B512" i="18"/>
  <c r="B511" i="18"/>
  <c r="B510" i="18"/>
  <c r="B509" i="18"/>
  <c r="B508" i="18"/>
  <c r="B507" i="18"/>
  <c r="B506" i="18"/>
  <c r="B505" i="18"/>
  <c r="B504" i="18"/>
  <c r="B503" i="18"/>
  <c r="B502" i="18"/>
  <c r="B501" i="18"/>
  <c r="B500" i="18"/>
  <c r="B499" i="18"/>
  <c r="B498" i="18"/>
  <c r="B497" i="18"/>
  <c r="B496" i="18"/>
  <c r="B495" i="18"/>
  <c r="B494" i="18"/>
  <c r="B493" i="18"/>
  <c r="B492" i="18"/>
  <c r="B491" i="18"/>
  <c r="B490" i="18"/>
  <c r="B489" i="18"/>
  <c r="B488" i="18"/>
  <c r="B487" i="18"/>
  <c r="B486" i="18"/>
  <c r="B485" i="18"/>
  <c r="B484" i="18"/>
  <c r="B483" i="18"/>
  <c r="B482" i="18"/>
  <c r="B481" i="18"/>
  <c r="B480" i="18"/>
  <c r="B479" i="18"/>
  <c r="B478" i="18"/>
  <c r="B477" i="18"/>
  <c r="B476" i="18"/>
  <c r="B475" i="18"/>
  <c r="B474" i="18"/>
  <c r="B473" i="18"/>
  <c r="B472" i="18"/>
  <c r="B471" i="18"/>
  <c r="B470" i="18"/>
  <c r="B469" i="18"/>
  <c r="B468" i="18"/>
  <c r="B467" i="18"/>
  <c r="B466" i="18"/>
  <c r="B465" i="18"/>
  <c r="B464" i="18"/>
  <c r="B463" i="18"/>
  <c r="B462" i="18"/>
  <c r="B461" i="18"/>
  <c r="B460" i="18"/>
  <c r="B459" i="18"/>
  <c r="B458" i="18"/>
  <c r="B457" i="18"/>
  <c r="B456" i="18"/>
  <c r="B455" i="18"/>
  <c r="B454" i="18"/>
  <c r="B453" i="18"/>
  <c r="B452" i="18"/>
  <c r="B451" i="18"/>
  <c r="B450" i="18"/>
  <c r="B449" i="18"/>
  <c r="B448" i="18"/>
  <c r="B447" i="18"/>
  <c r="B446" i="18"/>
  <c r="B445" i="18"/>
  <c r="B444" i="18"/>
  <c r="B443" i="18"/>
  <c r="B442" i="18"/>
  <c r="B441" i="18"/>
  <c r="B440" i="18"/>
  <c r="B439" i="18"/>
  <c r="B438" i="18"/>
  <c r="B437" i="18"/>
  <c r="B436" i="18"/>
  <c r="B435" i="18"/>
  <c r="B434" i="18"/>
  <c r="B433" i="18"/>
  <c r="B432" i="18"/>
  <c r="B431" i="18"/>
  <c r="B430" i="18"/>
  <c r="B429" i="18"/>
  <c r="B428" i="18"/>
  <c r="B427" i="18"/>
  <c r="B426" i="18"/>
  <c r="B425" i="18"/>
  <c r="B424" i="18"/>
  <c r="B423" i="18"/>
  <c r="B422" i="18"/>
  <c r="B421" i="18"/>
  <c r="B420" i="18"/>
  <c r="B419" i="18"/>
  <c r="B418" i="18"/>
  <c r="B417" i="18"/>
  <c r="B416" i="18"/>
  <c r="B415" i="18"/>
  <c r="B414" i="18"/>
  <c r="B413" i="18"/>
  <c r="B412" i="18"/>
  <c r="B411" i="18"/>
  <c r="B410" i="18"/>
  <c r="B409" i="18"/>
  <c r="B408" i="18"/>
  <c r="B407" i="18"/>
  <c r="B406" i="18"/>
  <c r="B405" i="18"/>
  <c r="B404" i="18"/>
  <c r="B403" i="18"/>
  <c r="B402" i="18"/>
  <c r="B401" i="18"/>
  <c r="B400" i="18"/>
  <c r="B399" i="18"/>
  <c r="B398" i="18"/>
  <c r="B397" i="18"/>
  <c r="B396" i="18"/>
  <c r="B395" i="18"/>
  <c r="B394" i="18"/>
  <c r="B393" i="18"/>
  <c r="B392" i="18"/>
  <c r="B391" i="18"/>
  <c r="B390" i="18"/>
  <c r="B389" i="18"/>
  <c r="B388" i="18"/>
  <c r="B387" i="18"/>
  <c r="B386" i="18"/>
  <c r="B385" i="18"/>
  <c r="B384" i="18"/>
  <c r="B383" i="18"/>
  <c r="B382" i="18"/>
  <c r="B381" i="18"/>
  <c r="B380" i="18"/>
  <c r="B379" i="18"/>
  <c r="B378" i="18"/>
  <c r="B377" i="18"/>
  <c r="B376" i="18"/>
  <c r="B375" i="18"/>
  <c r="B374" i="18"/>
  <c r="B373" i="18"/>
  <c r="B372" i="18"/>
  <c r="B371" i="18"/>
  <c r="B370" i="18"/>
  <c r="B369" i="18"/>
  <c r="B368" i="18"/>
  <c r="B367" i="18"/>
  <c r="B366" i="18"/>
  <c r="B365" i="18"/>
  <c r="B364" i="18"/>
  <c r="B363" i="18"/>
  <c r="B362" i="18"/>
  <c r="B361" i="18"/>
  <c r="B360" i="18"/>
  <c r="B359" i="18"/>
  <c r="B358" i="18"/>
  <c r="B357" i="18"/>
  <c r="B356" i="18"/>
  <c r="B355" i="18"/>
  <c r="B354" i="18"/>
  <c r="B353" i="18"/>
  <c r="B352" i="18"/>
  <c r="B351" i="18"/>
  <c r="B350" i="18"/>
  <c r="B349" i="18"/>
  <c r="B348" i="18"/>
  <c r="B347" i="18"/>
  <c r="B346" i="18"/>
  <c r="B345" i="18"/>
  <c r="B344" i="18"/>
  <c r="B343" i="18"/>
  <c r="B342" i="18"/>
  <c r="B341" i="18"/>
  <c r="B340" i="18"/>
  <c r="B339" i="18"/>
  <c r="B338" i="18"/>
  <c r="B337" i="18"/>
  <c r="B336" i="18"/>
  <c r="B335" i="18"/>
  <c r="B334" i="18"/>
  <c r="B333" i="18"/>
  <c r="B332" i="18"/>
  <c r="B331" i="18"/>
  <c r="B330" i="18"/>
  <c r="B329" i="18"/>
  <c r="B328" i="18"/>
  <c r="B327" i="18"/>
  <c r="B326" i="18"/>
  <c r="B325" i="18"/>
  <c r="B324" i="18"/>
  <c r="B323" i="18"/>
  <c r="B322" i="18"/>
  <c r="B321" i="18"/>
  <c r="B320" i="18"/>
  <c r="B319" i="18"/>
  <c r="B318" i="18"/>
  <c r="B317" i="18"/>
  <c r="B316" i="18"/>
  <c r="B315" i="18"/>
  <c r="B314" i="18"/>
  <c r="B313" i="18"/>
  <c r="B312" i="18"/>
  <c r="B311" i="18"/>
  <c r="B310" i="18"/>
  <c r="B309" i="18"/>
  <c r="B308" i="18"/>
  <c r="B307" i="18"/>
  <c r="B306" i="18"/>
  <c r="B305" i="18"/>
  <c r="B304" i="18"/>
  <c r="B303" i="18"/>
  <c r="B302" i="18"/>
  <c r="B301" i="18"/>
  <c r="B300" i="18"/>
  <c r="B299" i="18"/>
  <c r="B298" i="18"/>
  <c r="B297" i="18"/>
  <c r="B296" i="18"/>
  <c r="B295" i="18"/>
  <c r="B294" i="18"/>
  <c r="B293" i="18"/>
  <c r="B292" i="18"/>
  <c r="B291" i="18"/>
  <c r="B290" i="18"/>
  <c r="B289" i="18"/>
  <c r="B288" i="18"/>
  <c r="B287" i="18"/>
  <c r="B286" i="18"/>
  <c r="B285" i="18"/>
  <c r="B284" i="18"/>
  <c r="B283" i="18"/>
  <c r="B282" i="18"/>
  <c r="B281" i="18"/>
  <c r="B280" i="18"/>
  <c r="B279" i="18"/>
  <c r="B278" i="18"/>
  <c r="B277" i="18"/>
  <c r="B276" i="18"/>
  <c r="B275" i="18"/>
  <c r="B274" i="18"/>
  <c r="B273" i="18"/>
  <c r="B272" i="18"/>
  <c r="B271" i="18"/>
  <c r="B270" i="18"/>
  <c r="B269" i="18"/>
  <c r="B268" i="18"/>
  <c r="B267" i="18"/>
  <c r="B266" i="18"/>
  <c r="B265" i="18"/>
  <c r="B264" i="18"/>
  <c r="B263" i="18"/>
  <c r="B262" i="18"/>
  <c r="B261" i="18"/>
  <c r="B260" i="18"/>
  <c r="B259" i="18"/>
  <c r="B258" i="18"/>
  <c r="B257" i="18"/>
  <c r="B256" i="18"/>
  <c r="B255" i="18"/>
  <c r="B254" i="18"/>
  <c r="B253" i="18"/>
  <c r="B252" i="18"/>
  <c r="B251" i="18"/>
  <c r="B250" i="18"/>
  <c r="B249" i="18"/>
  <c r="B248" i="18"/>
  <c r="B247" i="18"/>
  <c r="B246" i="18"/>
  <c r="B245" i="18"/>
  <c r="B244" i="18"/>
  <c r="B243" i="18"/>
  <c r="B242" i="18"/>
  <c r="B241" i="18"/>
  <c r="B240" i="18"/>
  <c r="B239" i="18"/>
  <c r="B238" i="18"/>
  <c r="B237" i="18"/>
  <c r="B236" i="18"/>
  <c r="B235" i="18"/>
  <c r="B234" i="18"/>
  <c r="B233" i="18"/>
  <c r="B232" i="18"/>
  <c r="B231" i="18"/>
  <c r="B230" i="18"/>
  <c r="B229" i="18"/>
  <c r="B228" i="18"/>
  <c r="B227" i="18"/>
  <c r="B226" i="18"/>
  <c r="B225" i="18"/>
  <c r="B224" i="18"/>
  <c r="B223" i="18"/>
  <c r="B222" i="18"/>
  <c r="B221" i="18"/>
  <c r="B220" i="18"/>
  <c r="B219" i="18"/>
  <c r="B218" i="18"/>
  <c r="B217" i="18"/>
  <c r="B216" i="18"/>
  <c r="B215" i="18"/>
  <c r="B214" i="18"/>
  <c r="B213" i="18"/>
  <c r="B212" i="18"/>
  <c r="B211" i="18"/>
  <c r="B210" i="18"/>
  <c r="B209" i="18"/>
  <c r="B208" i="18"/>
  <c r="B207" i="18"/>
  <c r="B206" i="18"/>
  <c r="B205" i="18"/>
  <c r="B204" i="18"/>
  <c r="B203" i="18"/>
  <c r="B202" i="18"/>
  <c r="B201" i="18"/>
  <c r="B200" i="18"/>
  <c r="B199" i="18"/>
  <c r="B198" i="18"/>
  <c r="B197" i="18"/>
  <c r="B196" i="18"/>
  <c r="B195" i="18"/>
  <c r="B194" i="18"/>
  <c r="B193" i="18"/>
  <c r="B192" i="18"/>
  <c r="B191" i="18"/>
  <c r="B190" i="18"/>
  <c r="B189" i="18"/>
  <c r="B188" i="18"/>
  <c r="B187" i="18"/>
  <c r="B186" i="18"/>
  <c r="B185" i="18"/>
  <c r="B184" i="18"/>
  <c r="B183" i="18"/>
  <c r="B182" i="18"/>
  <c r="B181" i="18"/>
  <c r="B180" i="18"/>
  <c r="B179" i="18"/>
  <c r="B178" i="18"/>
  <c r="B177" i="18"/>
  <c r="B176" i="18"/>
  <c r="B175" i="18"/>
  <c r="B174" i="18"/>
  <c r="B173" i="18"/>
  <c r="B172" i="18"/>
  <c r="B171" i="18"/>
  <c r="B170" i="18"/>
  <c r="B169" i="18"/>
  <c r="B168" i="18"/>
  <c r="B167" i="18"/>
  <c r="B166" i="18"/>
  <c r="B165" i="18"/>
  <c r="B164" i="18"/>
  <c r="B163" i="18"/>
  <c r="B162" i="18"/>
  <c r="B161" i="18"/>
  <c r="B160" i="18"/>
  <c r="B159" i="18"/>
  <c r="B158" i="18"/>
  <c r="B157" i="18"/>
  <c r="B156" i="18"/>
  <c r="B155" i="18"/>
  <c r="B154" i="18"/>
  <c r="B153" i="18"/>
  <c r="B152" i="18"/>
  <c r="B151" i="18"/>
  <c r="B150" i="18"/>
  <c r="B149" i="18"/>
  <c r="B148" i="18"/>
  <c r="B147" i="18"/>
  <c r="B146" i="18"/>
  <c r="B145" i="18"/>
  <c r="B144" i="18"/>
  <c r="B143" i="18"/>
  <c r="B142" i="18"/>
  <c r="B141" i="18"/>
  <c r="B140" i="18"/>
  <c r="B139" i="18"/>
  <c r="B138" i="18"/>
  <c r="B137" i="18"/>
  <c r="B136" i="18"/>
  <c r="B135" i="18"/>
  <c r="B134" i="18"/>
  <c r="B133" i="18"/>
  <c r="B132" i="18"/>
  <c r="B131" i="18"/>
  <c r="B130" i="18"/>
  <c r="B129" i="18"/>
  <c r="B128" i="18"/>
  <c r="B127" i="18"/>
  <c r="B126" i="18"/>
  <c r="B125" i="18"/>
  <c r="B124" i="18"/>
  <c r="B123" i="18"/>
  <c r="B122" i="18"/>
  <c r="B121" i="18"/>
  <c r="B120" i="18"/>
  <c r="B119" i="18"/>
  <c r="B118" i="18"/>
  <c r="B117" i="18"/>
  <c r="B116" i="18"/>
  <c r="B115" i="18"/>
  <c r="B114" i="18"/>
  <c r="B113" i="18"/>
  <c r="B112" i="18"/>
  <c r="B111" i="18"/>
  <c r="B110" i="18"/>
  <c r="B109" i="18"/>
  <c r="B108" i="18"/>
  <c r="B107" i="18"/>
  <c r="B106" i="18"/>
  <c r="B105" i="18"/>
  <c r="B104" i="18"/>
  <c r="B103" i="18"/>
  <c r="B102" i="18"/>
  <c r="B101" i="18"/>
  <c r="B100" i="18"/>
  <c r="B99" i="18"/>
  <c r="B98" i="18"/>
  <c r="B97" i="18"/>
  <c r="B96" i="18"/>
  <c r="B95" i="18"/>
  <c r="B94" i="18"/>
  <c r="B93" i="18"/>
  <c r="B92" i="18"/>
  <c r="B91" i="18"/>
  <c r="B90" i="18"/>
  <c r="B89" i="18"/>
  <c r="B88" i="18"/>
  <c r="B87" i="18"/>
  <c r="B86" i="18"/>
  <c r="B85" i="18"/>
  <c r="B84" i="18"/>
  <c r="B83" i="18"/>
  <c r="B82" i="18"/>
  <c r="B81" i="18"/>
  <c r="B80" i="18"/>
  <c r="B79" i="18"/>
  <c r="B78" i="18"/>
  <c r="B77" i="18"/>
  <c r="B76" i="18"/>
  <c r="B75" i="18"/>
  <c r="B74" i="18"/>
  <c r="B73" i="18"/>
  <c r="B72" i="18"/>
  <c r="B71" i="18"/>
  <c r="B70" i="18"/>
  <c r="B69" i="18"/>
  <c r="B68" i="18"/>
  <c r="B67" i="18"/>
  <c r="B66" i="18"/>
  <c r="B65" i="18"/>
  <c r="B64" i="18"/>
  <c r="B63" i="18"/>
  <c r="B62" i="18"/>
  <c r="B61" i="18"/>
  <c r="B60" i="18"/>
  <c r="B59" i="18"/>
  <c r="B58" i="18"/>
  <c r="B57" i="18"/>
  <c r="B56" i="18"/>
  <c r="B55" i="18"/>
  <c r="B54" i="18"/>
  <c r="B53" i="18"/>
  <c r="B52" i="18"/>
  <c r="B51" i="18"/>
  <c r="B50" i="18"/>
  <c r="B49" i="18"/>
  <c r="B48" i="18"/>
  <c r="B47" i="18"/>
  <c r="B46" i="18"/>
  <c r="B45" i="18"/>
  <c r="B44" i="18"/>
  <c r="B43" i="18"/>
  <c r="B42" i="18"/>
  <c r="B41" i="18"/>
  <c r="B40" i="18"/>
  <c r="B39" i="18"/>
  <c r="B38" i="18"/>
  <c r="B37" i="18"/>
  <c r="B36" i="18"/>
  <c r="B35" i="18"/>
  <c r="B34" i="18"/>
  <c r="B33" i="18"/>
  <c r="B32" i="18"/>
  <c r="B31" i="18"/>
  <c r="B30" i="18"/>
  <c r="B29" i="18"/>
  <c r="B28" i="18"/>
  <c r="B27" i="18"/>
  <c r="B26" i="18"/>
  <c r="B25" i="18"/>
  <c r="B24" i="18"/>
  <c r="B23" i="18"/>
  <c r="B22" i="18"/>
  <c r="B21" i="18"/>
  <c r="B20" i="18"/>
  <c r="B19" i="18"/>
  <c r="B18" i="18"/>
  <c r="B17" i="18"/>
  <c r="B16" i="18"/>
  <c r="B15" i="18"/>
  <c r="B14" i="18"/>
  <c r="B13" i="18"/>
  <c r="B12" i="18"/>
  <c r="B11" i="18"/>
  <c r="B10" i="18"/>
  <c r="B9" i="18"/>
  <c r="B8" i="18"/>
  <c r="B7" i="18"/>
  <c r="B6" i="18"/>
  <c r="B5" i="18"/>
  <c r="B4" i="18"/>
  <c r="B3" i="18"/>
  <c r="S210" i="10"/>
  <c r="S209" i="10"/>
  <c r="S208" i="10"/>
  <c r="S207" i="10"/>
  <c r="S206" i="10"/>
  <c r="S205" i="10"/>
  <c r="S204" i="10"/>
  <c r="S203" i="10"/>
  <c r="S202" i="10"/>
  <c r="S201" i="10"/>
  <c r="S200" i="10"/>
  <c r="S199" i="10"/>
  <c r="S198" i="10"/>
  <c r="S197" i="10"/>
  <c r="S196" i="10"/>
  <c r="S195" i="10"/>
  <c r="S194" i="10"/>
  <c r="S193" i="10"/>
  <c r="S192" i="10"/>
  <c r="S191" i="10"/>
  <c r="S190" i="10"/>
  <c r="S189" i="10"/>
  <c r="S188" i="10"/>
  <c r="S187" i="10"/>
  <c r="S186" i="10"/>
  <c r="S185" i="10"/>
  <c r="S184" i="10"/>
  <c r="S183" i="10"/>
  <c r="S182" i="10"/>
  <c r="S181" i="10"/>
  <c r="S180" i="10"/>
  <c r="S179" i="10"/>
  <c r="S178" i="10"/>
  <c r="S177" i="10"/>
  <c r="S176" i="10"/>
  <c r="S175" i="10"/>
  <c r="S174" i="10"/>
  <c r="S173" i="10"/>
  <c r="S172" i="10"/>
  <c r="S171" i="10"/>
  <c r="S170" i="10"/>
  <c r="S169" i="10"/>
  <c r="S168" i="10"/>
  <c r="S167" i="10"/>
  <c r="S166" i="10"/>
  <c r="S165" i="10"/>
  <c r="S164" i="10"/>
  <c r="S163" i="10"/>
  <c r="S162" i="10"/>
  <c r="S161" i="10"/>
  <c r="S160" i="10"/>
  <c r="S159" i="10"/>
  <c r="S158" i="10"/>
  <c r="S157" i="10"/>
  <c r="S156" i="10"/>
  <c r="S155" i="10"/>
  <c r="S154" i="10"/>
  <c r="S153" i="10"/>
  <c r="S152" i="10"/>
  <c r="S151" i="10"/>
  <c r="S150" i="10"/>
  <c r="S149" i="10"/>
  <c r="S148" i="10"/>
  <c r="S147" i="10"/>
  <c r="S146" i="10"/>
  <c r="S145" i="10"/>
  <c r="S144" i="10"/>
  <c r="S143" i="10"/>
  <c r="S142" i="10"/>
  <c r="S141" i="10"/>
  <c r="S140" i="10"/>
  <c r="S139" i="10"/>
  <c r="S138" i="10"/>
  <c r="S137" i="10"/>
  <c r="S136" i="10"/>
  <c r="S135" i="10"/>
  <c r="S134" i="10"/>
  <c r="S133" i="10"/>
  <c r="S132" i="10"/>
  <c r="S131" i="10"/>
  <c r="S130" i="10"/>
  <c r="S129" i="10"/>
  <c r="S128" i="10"/>
  <c r="S127" i="10"/>
  <c r="S126" i="10"/>
  <c r="S125" i="10"/>
  <c r="S124" i="10"/>
  <c r="S123" i="10"/>
  <c r="S122" i="10"/>
  <c r="S121" i="10"/>
  <c r="S120" i="10"/>
  <c r="S119" i="10"/>
  <c r="S118" i="10"/>
  <c r="S117" i="10"/>
  <c r="S116" i="10"/>
  <c r="S115" i="10"/>
  <c r="S114" i="10"/>
  <c r="S113" i="10"/>
  <c r="S112" i="10"/>
  <c r="S111" i="10"/>
  <c r="S110" i="10"/>
  <c r="S109" i="10"/>
  <c r="S108" i="10"/>
  <c r="S107" i="10"/>
  <c r="S106" i="10"/>
  <c r="S105" i="10"/>
  <c r="S104" i="10"/>
  <c r="S103" i="10"/>
  <c r="S102" i="10"/>
  <c r="S101" i="10"/>
  <c r="S100" i="10"/>
  <c r="S99" i="10"/>
  <c r="S98" i="10"/>
  <c r="S97" i="10"/>
  <c r="S96" i="10"/>
  <c r="S95" i="10"/>
  <c r="S94" i="10"/>
  <c r="S93" i="10"/>
  <c r="S92" i="10"/>
  <c r="S91" i="10"/>
  <c r="S90" i="10"/>
  <c r="S89" i="10"/>
  <c r="S88" i="10"/>
  <c r="S87" i="10"/>
  <c r="S86" i="10"/>
  <c r="S85" i="10"/>
  <c r="S84" i="10"/>
  <c r="S83" i="10"/>
  <c r="S82" i="10"/>
  <c r="S81" i="10"/>
  <c r="S80" i="10"/>
  <c r="S79" i="10"/>
  <c r="S78" i="10"/>
  <c r="S77" i="10"/>
  <c r="S76" i="10"/>
  <c r="S75" i="10"/>
  <c r="S74" i="10"/>
  <c r="S73" i="10"/>
  <c r="S72" i="10"/>
  <c r="S71" i="10"/>
  <c r="S70" i="10"/>
  <c r="S69" i="10"/>
  <c r="S68" i="10"/>
  <c r="S67" i="10"/>
  <c r="S66" i="10"/>
  <c r="S65" i="10"/>
  <c r="S64" i="10"/>
  <c r="S63" i="10"/>
  <c r="S62" i="10"/>
  <c r="S61" i="10"/>
  <c r="S60" i="10"/>
  <c r="S59" i="10"/>
  <c r="S58" i="10"/>
  <c r="S57" i="10"/>
  <c r="S56" i="10"/>
  <c r="S55" i="10"/>
  <c r="S54" i="10"/>
  <c r="S53" i="10"/>
  <c r="S52" i="10"/>
  <c r="S51" i="10"/>
  <c r="S50" i="10"/>
  <c r="S49" i="10"/>
  <c r="S48" i="10"/>
  <c r="S47" i="10"/>
  <c r="S46" i="10"/>
  <c r="S45" i="10"/>
  <c r="S44" i="10"/>
  <c r="S43" i="10"/>
  <c r="S42" i="10"/>
  <c r="S41" i="10"/>
  <c r="S40" i="10"/>
  <c r="S39" i="10"/>
  <c r="S38" i="10"/>
  <c r="S37" i="10"/>
  <c r="S36" i="10"/>
  <c r="S35" i="10"/>
  <c r="S34" i="10"/>
  <c r="S33" i="10"/>
  <c r="S32" i="10"/>
  <c r="S31" i="10"/>
  <c r="S30" i="10"/>
  <c r="S29" i="10"/>
  <c r="S28" i="10"/>
  <c r="S27" i="10"/>
  <c r="S26" i="10"/>
  <c r="S25" i="10"/>
  <c r="S24" i="10"/>
  <c r="S23" i="10"/>
  <c r="S22" i="10"/>
  <c r="S21" i="10"/>
  <c r="S20" i="10"/>
  <c r="S19" i="10"/>
  <c r="S18" i="10"/>
  <c r="S17" i="10"/>
  <c r="S16" i="10"/>
  <c r="S15" i="10"/>
  <c r="S14" i="10"/>
  <c r="S13" i="10"/>
  <c r="S12" i="10"/>
  <c r="S11" i="10"/>
  <c r="S10" i="10"/>
  <c r="S9" i="10"/>
  <c r="S8" i="10"/>
  <c r="S7" i="10"/>
  <c r="S6" i="10"/>
  <c r="S5" i="10"/>
  <c r="S4" i="10"/>
  <c r="R210" i="10"/>
  <c r="R209" i="10"/>
  <c r="R208" i="10"/>
  <c r="R207" i="10"/>
  <c r="R206" i="10"/>
  <c r="R205" i="10"/>
  <c r="R204" i="10"/>
  <c r="R203" i="10"/>
  <c r="R202" i="10"/>
  <c r="R201" i="10"/>
  <c r="R200" i="10"/>
  <c r="R199" i="10"/>
  <c r="R198" i="10"/>
  <c r="R197" i="10"/>
  <c r="R196" i="10"/>
  <c r="R195" i="10"/>
  <c r="R194" i="10"/>
  <c r="R193" i="10"/>
  <c r="R192" i="10"/>
  <c r="R191" i="10"/>
  <c r="R190" i="10"/>
  <c r="R189" i="10"/>
  <c r="R188" i="10"/>
  <c r="R187" i="10"/>
  <c r="R186" i="10"/>
  <c r="R185" i="10"/>
  <c r="R184" i="10"/>
  <c r="R183" i="10"/>
  <c r="R182" i="10"/>
  <c r="R181" i="10"/>
  <c r="R180" i="10"/>
  <c r="R179" i="10"/>
  <c r="R178" i="10"/>
  <c r="R177" i="10"/>
  <c r="R176" i="10"/>
  <c r="R175" i="10"/>
  <c r="R174" i="10"/>
  <c r="R173" i="10"/>
  <c r="R172" i="10"/>
  <c r="R171" i="10"/>
  <c r="R170" i="10"/>
  <c r="R169" i="10"/>
  <c r="R168" i="10"/>
  <c r="R167" i="10"/>
  <c r="R166" i="10"/>
  <c r="R165" i="10"/>
  <c r="R164" i="10"/>
  <c r="R163" i="10"/>
  <c r="R162" i="10"/>
  <c r="R161" i="10"/>
  <c r="R160" i="10"/>
  <c r="R159" i="10"/>
  <c r="R158" i="10"/>
  <c r="R157" i="10"/>
  <c r="R156" i="10"/>
  <c r="R155" i="10"/>
  <c r="R154" i="10"/>
  <c r="R153" i="10"/>
  <c r="R152" i="10"/>
  <c r="R151" i="10"/>
  <c r="R150" i="10"/>
  <c r="R149" i="10"/>
  <c r="R148" i="10"/>
  <c r="R147" i="10"/>
  <c r="R146" i="10"/>
  <c r="R145" i="10"/>
  <c r="R144" i="10"/>
  <c r="R143" i="10"/>
  <c r="R142" i="10"/>
  <c r="R141" i="10"/>
  <c r="R140" i="10"/>
  <c r="R139" i="10"/>
  <c r="R138" i="10"/>
  <c r="R137" i="10"/>
  <c r="R136" i="10"/>
  <c r="R135" i="10"/>
  <c r="R134" i="10"/>
  <c r="R133" i="10"/>
  <c r="R132" i="10"/>
  <c r="R131" i="10"/>
  <c r="R130" i="10"/>
  <c r="R129" i="10"/>
  <c r="R128" i="10"/>
  <c r="R127" i="10"/>
  <c r="R126" i="10"/>
  <c r="R125" i="10"/>
  <c r="R124" i="10"/>
  <c r="R123" i="10"/>
  <c r="R122" i="10"/>
  <c r="R121" i="10"/>
  <c r="R120" i="10"/>
  <c r="R119" i="10"/>
  <c r="R118" i="10"/>
  <c r="R117" i="10"/>
  <c r="R116" i="10"/>
  <c r="R115" i="10"/>
  <c r="R114" i="10"/>
  <c r="R113" i="10"/>
  <c r="R112" i="10"/>
  <c r="R111" i="10"/>
  <c r="R110" i="10"/>
  <c r="R109" i="10"/>
  <c r="R108" i="10"/>
  <c r="R107" i="10"/>
  <c r="R106" i="10"/>
  <c r="R105" i="10"/>
  <c r="R104" i="10"/>
  <c r="R103" i="10"/>
  <c r="R102" i="10"/>
  <c r="R101" i="10"/>
  <c r="R100" i="10"/>
  <c r="R99" i="10"/>
  <c r="R98" i="10"/>
  <c r="R97" i="10"/>
  <c r="R96" i="10"/>
  <c r="R95" i="10"/>
  <c r="R94" i="10"/>
  <c r="R93" i="10"/>
  <c r="R92" i="10"/>
  <c r="R91" i="10"/>
  <c r="R90" i="10"/>
  <c r="R89" i="10"/>
  <c r="R88" i="10"/>
  <c r="R87" i="10"/>
  <c r="R86" i="10"/>
  <c r="R85" i="10"/>
  <c r="R84" i="10"/>
  <c r="R83" i="10"/>
  <c r="R82" i="10"/>
  <c r="R81" i="10"/>
  <c r="R80" i="10"/>
  <c r="R79" i="10"/>
  <c r="R78" i="10"/>
  <c r="R77" i="10"/>
  <c r="R76" i="10"/>
  <c r="R75" i="10"/>
  <c r="R74" i="10"/>
  <c r="R73" i="10"/>
  <c r="R72" i="10"/>
  <c r="R71" i="10"/>
  <c r="R70" i="10"/>
  <c r="R69" i="10"/>
  <c r="R68" i="10"/>
  <c r="R67" i="10"/>
  <c r="R66" i="10"/>
  <c r="R65" i="10"/>
  <c r="R64" i="10"/>
  <c r="R63" i="10"/>
  <c r="R62" i="10"/>
  <c r="R61" i="10"/>
  <c r="R60" i="10"/>
  <c r="R59" i="10"/>
  <c r="R58" i="10"/>
  <c r="R57" i="10"/>
  <c r="R56" i="10"/>
  <c r="R55" i="10"/>
  <c r="R54" i="10"/>
  <c r="R53" i="10"/>
  <c r="R52" i="10"/>
  <c r="R51" i="10"/>
  <c r="R50" i="10"/>
  <c r="R49" i="10"/>
  <c r="R48" i="10"/>
  <c r="R47" i="10"/>
  <c r="R46" i="10"/>
  <c r="R45" i="10"/>
  <c r="R44" i="10"/>
  <c r="R43" i="10"/>
  <c r="R42" i="10"/>
  <c r="R41" i="10"/>
  <c r="R40" i="10"/>
  <c r="R39" i="10"/>
  <c r="R38" i="10"/>
  <c r="R37" i="10"/>
  <c r="R36" i="10"/>
  <c r="R35" i="10"/>
  <c r="R34" i="10"/>
  <c r="R33" i="10"/>
  <c r="R32" i="10"/>
  <c r="R31" i="10"/>
  <c r="R30" i="10"/>
  <c r="R29" i="10"/>
  <c r="R28" i="10"/>
  <c r="R27" i="10"/>
  <c r="R26" i="10"/>
  <c r="R25" i="10"/>
  <c r="R24" i="10"/>
  <c r="R23" i="10"/>
  <c r="R22" i="10"/>
  <c r="R21" i="10"/>
  <c r="R20" i="10"/>
  <c r="R19" i="10"/>
  <c r="R18" i="10"/>
  <c r="R17" i="10"/>
  <c r="R16" i="10"/>
  <c r="R15" i="10"/>
  <c r="R14" i="10"/>
  <c r="R13" i="10"/>
  <c r="R12" i="10"/>
  <c r="R11" i="10"/>
  <c r="R10" i="10"/>
  <c r="R9" i="10"/>
  <c r="R8" i="10"/>
  <c r="R7" i="10"/>
  <c r="R6" i="10"/>
  <c r="R5" i="10"/>
  <c r="R4" i="10"/>
  <c r="Q210" i="10"/>
  <c r="Q209" i="10"/>
  <c r="Q208" i="10"/>
  <c r="Q207" i="10"/>
  <c r="Q206" i="10"/>
  <c r="Q205" i="10"/>
  <c r="Q204" i="10"/>
  <c r="Q203" i="10"/>
  <c r="Q202" i="10"/>
  <c r="Q201" i="10"/>
  <c r="Q200" i="10"/>
  <c r="Q199" i="10"/>
  <c r="Q198" i="10"/>
  <c r="Q197" i="10"/>
  <c r="Q196" i="10"/>
  <c r="Q195" i="10"/>
  <c r="Q194" i="10"/>
  <c r="Q193" i="10"/>
  <c r="Q192" i="10"/>
  <c r="Q191" i="10"/>
  <c r="Q190" i="10"/>
  <c r="Q189" i="10"/>
  <c r="Q188" i="10"/>
  <c r="Q187" i="10"/>
  <c r="Q186" i="10"/>
  <c r="Q185" i="10"/>
  <c r="Q184" i="10"/>
  <c r="Q183" i="10"/>
  <c r="Q182" i="10"/>
  <c r="Q181" i="10"/>
  <c r="Q180" i="10"/>
  <c r="Q179" i="10"/>
  <c r="Q178" i="10"/>
  <c r="Q177" i="10"/>
  <c r="Q176" i="10"/>
  <c r="Q175" i="10"/>
  <c r="Q174" i="10"/>
  <c r="Q173" i="10"/>
  <c r="Q172" i="10"/>
  <c r="Q171" i="10"/>
  <c r="Q170" i="10"/>
  <c r="Q169" i="10"/>
  <c r="Q168" i="10"/>
  <c r="Q167" i="10"/>
  <c r="Q166" i="10"/>
  <c r="Q165" i="10"/>
  <c r="Q164" i="10"/>
  <c r="Q163" i="10"/>
  <c r="Q162" i="10"/>
  <c r="Q161" i="10"/>
  <c r="Q160" i="10"/>
  <c r="Q159" i="10"/>
  <c r="Q158" i="10"/>
  <c r="Q157" i="10"/>
  <c r="Q156" i="10"/>
  <c r="Q155" i="10"/>
  <c r="Q154" i="10"/>
  <c r="Q153" i="10"/>
  <c r="Q152" i="10"/>
  <c r="Q151" i="10"/>
  <c r="Q150" i="10"/>
  <c r="Q149" i="10"/>
  <c r="Q148" i="10"/>
  <c r="Q147" i="10"/>
  <c r="Q146" i="10"/>
  <c r="Q145" i="10"/>
  <c r="Q144" i="10"/>
  <c r="Q143" i="10"/>
  <c r="Q142" i="10"/>
  <c r="Q141" i="10"/>
  <c r="Q140" i="10"/>
  <c r="Q139" i="10"/>
  <c r="Q138" i="10"/>
  <c r="Q137" i="10"/>
  <c r="Q136" i="10"/>
  <c r="Q135" i="10"/>
  <c r="Q134" i="10"/>
  <c r="Q133" i="10"/>
  <c r="Q132" i="10"/>
  <c r="Q131" i="10"/>
  <c r="Q130" i="10"/>
  <c r="Q129" i="10"/>
  <c r="Q128" i="10"/>
  <c r="Q127" i="10"/>
  <c r="Q126" i="10"/>
  <c r="Q125" i="10"/>
  <c r="Q124" i="10"/>
  <c r="Q123" i="10"/>
  <c r="Q122" i="10"/>
  <c r="Q121" i="10"/>
  <c r="Q120" i="10"/>
  <c r="Q119" i="10"/>
  <c r="Q118" i="10"/>
  <c r="Q117" i="10"/>
  <c r="Q116" i="10"/>
  <c r="Q115" i="10"/>
  <c r="Q114" i="10"/>
  <c r="Q113" i="10"/>
  <c r="Q112" i="10"/>
  <c r="Q111" i="10"/>
  <c r="Q110" i="10"/>
  <c r="Q109" i="10"/>
  <c r="Q108" i="10"/>
  <c r="Q107" i="10"/>
  <c r="Q106" i="10"/>
  <c r="Q105" i="10"/>
  <c r="Q104" i="10"/>
  <c r="Q103" i="10"/>
  <c r="Q102" i="10"/>
  <c r="Q101" i="10"/>
  <c r="Q100" i="10"/>
  <c r="Q99" i="10"/>
  <c r="Q98" i="10"/>
  <c r="Q97" i="10"/>
  <c r="Q96" i="10"/>
  <c r="Q95" i="10"/>
  <c r="Q94" i="10"/>
  <c r="Q93" i="10"/>
  <c r="Q92" i="10"/>
  <c r="Q91" i="10"/>
  <c r="Q90" i="10"/>
  <c r="Q89" i="10"/>
  <c r="Q88" i="10"/>
  <c r="Q87" i="10"/>
  <c r="Q86" i="10"/>
  <c r="Q85" i="10"/>
  <c r="Q84" i="10"/>
  <c r="Q83" i="10"/>
  <c r="Q82" i="10"/>
  <c r="Q81" i="10"/>
  <c r="Q80" i="10"/>
  <c r="Q79" i="10"/>
  <c r="Q78" i="10"/>
  <c r="Q77" i="10"/>
  <c r="Q76" i="10"/>
  <c r="Q75" i="10"/>
  <c r="Q74" i="10"/>
  <c r="Q73" i="10"/>
  <c r="Q72" i="10"/>
  <c r="Q71" i="10"/>
  <c r="Q70" i="10"/>
  <c r="Q69" i="10"/>
  <c r="Q68" i="10"/>
  <c r="Q67" i="10"/>
  <c r="Q66" i="10"/>
  <c r="Q65" i="10"/>
  <c r="Q64" i="10"/>
  <c r="Q63" i="10"/>
  <c r="Q62" i="10"/>
  <c r="Q61" i="10"/>
  <c r="Q60" i="10"/>
  <c r="Q59" i="10"/>
  <c r="Q58" i="10"/>
  <c r="Q57" i="10"/>
  <c r="Q56" i="10"/>
  <c r="Q55" i="10"/>
  <c r="Q54" i="10"/>
  <c r="Q53" i="10"/>
  <c r="Q52" i="10"/>
  <c r="Q51" i="10"/>
  <c r="Q50" i="10"/>
  <c r="Q49" i="10"/>
  <c r="Q48" i="10"/>
  <c r="Q47" i="10"/>
  <c r="Q46" i="10"/>
  <c r="Q45" i="10"/>
  <c r="Q44" i="10"/>
  <c r="Q43" i="10"/>
  <c r="Q42" i="10"/>
  <c r="Q41" i="10"/>
  <c r="Q40" i="10"/>
  <c r="Q39" i="10"/>
  <c r="Q38" i="10"/>
  <c r="Q37" i="10"/>
  <c r="Q36" i="10"/>
  <c r="Q35" i="10"/>
  <c r="Q34" i="10"/>
  <c r="Q33" i="10"/>
  <c r="Q32" i="10"/>
  <c r="Q31" i="10"/>
  <c r="Q30" i="10"/>
  <c r="Q29" i="10"/>
  <c r="Q28" i="10"/>
  <c r="Q27" i="10"/>
  <c r="Q26" i="10"/>
  <c r="Q25" i="10"/>
  <c r="Q24" i="10"/>
  <c r="Q23" i="10"/>
  <c r="Q22" i="10"/>
  <c r="Q21" i="10"/>
  <c r="Q20" i="10"/>
  <c r="Q19" i="10"/>
  <c r="Q18" i="10"/>
  <c r="Q17" i="10"/>
  <c r="Q16" i="10"/>
  <c r="Q15" i="10"/>
  <c r="Q14" i="10"/>
  <c r="Q13" i="10"/>
  <c r="Q12" i="10"/>
  <c r="Q11" i="10"/>
  <c r="Q10" i="10"/>
  <c r="Q9" i="10"/>
  <c r="Q8" i="10"/>
  <c r="Q7" i="10"/>
  <c r="Q6" i="10"/>
  <c r="Q5" i="10"/>
  <c r="Q4" i="10"/>
  <c r="C13" i="2"/>
  <c r="O210" i="10"/>
  <c r="O209" i="10"/>
  <c r="O208" i="10"/>
  <c r="O207" i="10"/>
  <c r="O206" i="10"/>
  <c r="O205" i="10"/>
  <c r="O204" i="10"/>
  <c r="O203" i="10"/>
  <c r="O202" i="10"/>
  <c r="O201" i="10"/>
  <c r="O200" i="10"/>
  <c r="O199" i="10"/>
  <c r="O198" i="10"/>
  <c r="O197" i="10"/>
  <c r="O196" i="10"/>
  <c r="O195" i="10"/>
  <c r="O194" i="10"/>
  <c r="O193" i="10"/>
  <c r="O192" i="10"/>
  <c r="O191" i="10"/>
  <c r="O190" i="10"/>
  <c r="O189" i="10"/>
  <c r="O188" i="10"/>
  <c r="O187" i="10"/>
  <c r="O186" i="10"/>
  <c r="O185" i="10"/>
  <c r="O184" i="10"/>
  <c r="O183" i="10"/>
  <c r="O182" i="10"/>
  <c r="O181" i="10"/>
  <c r="O180" i="10"/>
  <c r="O179" i="10"/>
  <c r="O178" i="10"/>
  <c r="O177" i="10"/>
  <c r="O176" i="10"/>
  <c r="O175" i="10"/>
  <c r="O174" i="10"/>
  <c r="O173" i="10"/>
  <c r="O172" i="10"/>
  <c r="O171" i="10"/>
  <c r="O170" i="10"/>
  <c r="O169" i="10"/>
  <c r="O168" i="10"/>
  <c r="O167" i="10"/>
  <c r="O166" i="10"/>
  <c r="O165" i="10"/>
  <c r="O164" i="10"/>
  <c r="O163" i="10"/>
  <c r="O162" i="10"/>
  <c r="O161" i="10"/>
  <c r="O160" i="10"/>
  <c r="O159" i="10"/>
  <c r="O158" i="10"/>
  <c r="O157" i="10"/>
  <c r="O156" i="10"/>
  <c r="O155" i="10"/>
  <c r="O154" i="10"/>
  <c r="O153" i="10"/>
  <c r="O152" i="10"/>
  <c r="O151" i="10"/>
  <c r="O150" i="10"/>
  <c r="O149" i="10"/>
  <c r="O148" i="10"/>
  <c r="O147" i="10"/>
  <c r="O146" i="10"/>
  <c r="O145" i="10"/>
  <c r="O144" i="10"/>
  <c r="O143" i="10"/>
  <c r="O142" i="10"/>
  <c r="O141" i="10"/>
  <c r="O140" i="10"/>
  <c r="O139" i="10"/>
  <c r="O138" i="10"/>
  <c r="O137" i="10"/>
  <c r="O136" i="10"/>
  <c r="O135" i="10"/>
  <c r="O134" i="10"/>
  <c r="O133" i="10"/>
  <c r="O132" i="10"/>
  <c r="O131" i="10"/>
  <c r="O130" i="10"/>
  <c r="O129" i="10"/>
  <c r="O128" i="10"/>
  <c r="O127" i="10"/>
  <c r="O126" i="10"/>
  <c r="O125" i="10"/>
  <c r="O124" i="10"/>
  <c r="O123" i="10"/>
  <c r="O122" i="10"/>
  <c r="O121" i="10"/>
  <c r="O120" i="10"/>
  <c r="O119" i="10"/>
  <c r="O118" i="10"/>
  <c r="O117" i="10"/>
  <c r="O116" i="10"/>
  <c r="O115" i="10"/>
  <c r="O114" i="10"/>
  <c r="O113" i="10"/>
  <c r="O112" i="10"/>
  <c r="O111" i="10"/>
  <c r="O110" i="10"/>
  <c r="O109" i="10"/>
  <c r="O108" i="10"/>
  <c r="O107" i="10"/>
  <c r="O106" i="10"/>
  <c r="O105" i="10"/>
  <c r="O104" i="10"/>
  <c r="O103" i="10"/>
  <c r="O102" i="10"/>
  <c r="O101" i="10"/>
  <c r="O100" i="10"/>
  <c r="O99" i="10"/>
  <c r="O98" i="10"/>
  <c r="O97" i="10"/>
  <c r="O96" i="10"/>
  <c r="O95" i="10"/>
  <c r="O94" i="10"/>
  <c r="O93" i="10"/>
  <c r="O92" i="10"/>
  <c r="O91" i="10"/>
  <c r="O90" i="10"/>
  <c r="O89" i="10"/>
  <c r="O88" i="10"/>
  <c r="O87" i="10"/>
  <c r="O86" i="10"/>
  <c r="O85" i="10"/>
  <c r="O84" i="10"/>
  <c r="O83" i="10"/>
  <c r="O82" i="10"/>
  <c r="O81" i="10"/>
  <c r="O80" i="10"/>
  <c r="O79" i="10"/>
  <c r="O78" i="10"/>
  <c r="O77" i="10"/>
  <c r="O76" i="10"/>
  <c r="O75" i="10"/>
  <c r="O74" i="10"/>
  <c r="O73" i="10"/>
  <c r="O72" i="10"/>
  <c r="O71" i="10"/>
  <c r="O70" i="10"/>
  <c r="O69" i="10"/>
  <c r="O68" i="10"/>
  <c r="O67" i="10"/>
  <c r="O66" i="10"/>
  <c r="O65" i="10"/>
  <c r="O64" i="10"/>
  <c r="O63" i="10"/>
  <c r="O62" i="10"/>
  <c r="O61" i="10"/>
  <c r="O60" i="10"/>
  <c r="O59" i="10"/>
  <c r="O58" i="10"/>
  <c r="O57" i="10"/>
  <c r="O56" i="10"/>
  <c r="O55" i="10"/>
  <c r="O54" i="10"/>
  <c r="O53" i="10"/>
  <c r="O52" i="10"/>
  <c r="O51" i="10"/>
  <c r="O50" i="10"/>
  <c r="O49" i="10"/>
  <c r="O48" i="10"/>
  <c r="O47" i="10"/>
  <c r="O46" i="10"/>
  <c r="O45" i="10"/>
  <c r="O44" i="10"/>
  <c r="O43" i="10"/>
  <c r="O42" i="10"/>
  <c r="O41" i="10"/>
  <c r="O40" i="10"/>
  <c r="O39" i="10"/>
  <c r="O38" i="10"/>
  <c r="O37" i="10"/>
  <c r="O36" i="10"/>
  <c r="O35" i="10"/>
  <c r="O34" i="10"/>
  <c r="O33" i="10"/>
  <c r="O32" i="10"/>
  <c r="O31" i="10"/>
  <c r="O30" i="10"/>
  <c r="O29" i="10"/>
  <c r="O28" i="10"/>
  <c r="O27" i="10"/>
  <c r="O26" i="10"/>
  <c r="O25" i="10"/>
  <c r="O24" i="10"/>
  <c r="O23" i="10"/>
  <c r="O22" i="10"/>
  <c r="O21" i="10"/>
  <c r="O20" i="10"/>
  <c r="O19" i="10"/>
  <c r="O18" i="10"/>
  <c r="O17" i="10"/>
  <c r="O16" i="10"/>
  <c r="O15" i="10"/>
  <c r="O14" i="10"/>
  <c r="O13" i="10"/>
  <c r="O12" i="10"/>
  <c r="O11" i="10"/>
  <c r="O10" i="10"/>
  <c r="O9" i="10"/>
  <c r="O8" i="10"/>
  <c r="O7" i="10"/>
  <c r="O6" i="10"/>
  <c r="O5" i="10"/>
  <c r="O4" i="10"/>
  <c r="H382" i="9"/>
  <c r="H571" i="9"/>
  <c r="H430" i="9"/>
  <c r="H429" i="9"/>
  <c r="H674" i="9"/>
  <c r="H860" i="9"/>
  <c r="H179" i="9"/>
  <c r="H673" i="9"/>
  <c r="H596" i="9"/>
  <c r="H221" i="9"/>
  <c r="H117" i="9"/>
  <c r="H738" i="9"/>
  <c r="H792" i="9"/>
  <c r="H241" i="9"/>
  <c r="H712" i="9"/>
  <c r="H428" i="9"/>
  <c r="H224" i="9"/>
  <c r="H784" i="9"/>
  <c r="H881" i="9"/>
  <c r="H670" i="9"/>
  <c r="H868" i="9"/>
  <c r="H669" i="9"/>
  <c r="H178" i="9"/>
  <c r="H214" i="9"/>
  <c r="H711" i="9"/>
  <c r="H88" i="9"/>
  <c r="H805" i="9"/>
  <c r="H131" i="9"/>
  <c r="H709" i="9"/>
  <c r="H668" i="9"/>
  <c r="H45" i="9"/>
  <c r="H667" i="9"/>
  <c r="H804" i="9"/>
  <c r="H737" i="9"/>
  <c r="H220" i="9"/>
  <c r="H379" i="9"/>
  <c r="H378" i="9"/>
  <c r="H816" i="9"/>
  <c r="H708" i="9"/>
  <c r="H666" i="9"/>
  <c r="H436" i="9"/>
  <c r="H891" i="9"/>
  <c r="H12" i="9"/>
  <c r="H814" i="9"/>
  <c r="H177" i="9"/>
  <c r="H707" i="9"/>
  <c r="H85" i="9"/>
  <c r="H52" i="9"/>
  <c r="H880" i="9"/>
  <c r="H665" i="9"/>
  <c r="H73" i="9"/>
  <c r="H783" i="9"/>
  <c r="H223" i="9"/>
  <c r="H219" i="9"/>
  <c r="H528" i="9"/>
  <c r="H705" i="9"/>
  <c r="H762" i="9"/>
  <c r="H240" i="9"/>
  <c r="H435" i="9"/>
  <c r="H831" i="9"/>
  <c r="H130" i="9"/>
  <c r="H116" i="9"/>
  <c r="H248" i="9"/>
  <c r="H527" i="9"/>
  <c r="H704" i="9"/>
  <c r="H841" i="9"/>
  <c r="H239" i="9"/>
  <c r="H238" i="9"/>
  <c r="H244" i="9"/>
  <c r="H376" i="9"/>
  <c r="H176" i="9"/>
  <c r="H175" i="9"/>
  <c r="H664" i="9"/>
  <c r="H803" i="9"/>
  <c r="H663" i="9"/>
  <c r="H662" i="9"/>
  <c r="H375" i="9"/>
  <c r="H374" i="9"/>
  <c r="H761" i="9"/>
  <c r="H536" i="9"/>
  <c r="H237" i="9"/>
  <c r="H42" i="9"/>
  <c r="H661" i="9"/>
  <c r="H236" i="9"/>
  <c r="H883" i="9"/>
  <c r="H569" i="9"/>
  <c r="H373" i="9"/>
  <c r="H890" i="9"/>
  <c r="H427" i="9"/>
  <c r="H507" i="9"/>
  <c r="H760" i="9"/>
  <c r="H174" i="9"/>
  <c r="H173" i="9"/>
  <c r="H791" i="9"/>
  <c r="H372" i="9"/>
  <c r="H568" i="9"/>
  <c r="H426" i="9"/>
  <c r="H283" i="9"/>
  <c r="H425" i="9"/>
  <c r="H660" i="9"/>
  <c r="H40" i="9"/>
  <c r="H703" i="9"/>
  <c r="H200" i="9"/>
  <c r="H759" i="9"/>
  <c r="H787" i="9"/>
  <c r="H786" i="9"/>
  <c r="H781" i="9"/>
  <c r="H129" i="9"/>
  <c r="H526" i="9"/>
  <c r="H66" i="9"/>
  <c r="H65" i="9"/>
  <c r="H736" i="9"/>
  <c r="H450" i="9"/>
  <c r="H702" i="9"/>
  <c r="H525" i="9"/>
  <c r="H235" i="9"/>
  <c r="H524" i="9"/>
  <c r="H497" i="9"/>
  <c r="H658" i="9"/>
  <c r="H657" i="9"/>
  <c r="H818" i="9"/>
  <c r="H496" i="9"/>
  <c r="H172" i="9"/>
  <c r="H171" i="9"/>
  <c r="H370" i="9"/>
  <c r="H6" i="9"/>
  <c r="H873" i="9"/>
  <c r="H128" i="9"/>
  <c r="H218" i="9"/>
  <c r="H112" i="9"/>
  <c r="H247" i="9"/>
  <c r="H423" i="9"/>
  <c r="H127" i="9"/>
  <c r="H839" i="9"/>
  <c r="H495" i="9"/>
  <c r="H523" i="9"/>
  <c r="H369" i="9"/>
  <c r="H368" i="9"/>
  <c r="H656" i="9"/>
  <c r="H879" i="9"/>
  <c r="H655" i="9"/>
  <c r="H735" i="9"/>
  <c r="H734" i="9"/>
  <c r="H182" i="9"/>
  <c r="H367" i="9"/>
  <c r="H422" i="9"/>
  <c r="H421" i="9"/>
  <c r="H493" i="9"/>
  <c r="H39" i="9"/>
  <c r="H859" i="9"/>
  <c r="H84" i="9"/>
  <c r="H566" i="9"/>
  <c r="H733" i="9"/>
  <c r="H51" i="9"/>
  <c r="H535" i="9"/>
  <c r="H780" i="9"/>
  <c r="H50" i="9"/>
  <c r="H565" i="9"/>
  <c r="H651" i="9"/>
  <c r="H38" i="9"/>
  <c r="H49" i="9"/>
  <c r="H650" i="9"/>
  <c r="H564" i="9"/>
  <c r="H649" i="9"/>
  <c r="H168" i="9"/>
  <c r="H835" i="9"/>
  <c r="H819" i="9"/>
  <c r="H534" i="9"/>
  <c r="H522" i="9"/>
  <c r="H420" i="9"/>
  <c r="H199" i="9"/>
  <c r="H48" i="9"/>
  <c r="H779" i="9"/>
  <c r="H884" i="9"/>
  <c r="H778" i="9"/>
  <c r="H789" i="9"/>
  <c r="H365" i="9"/>
  <c r="H37" i="9"/>
  <c r="H732" i="9"/>
  <c r="H817" i="9"/>
  <c r="H840" i="9"/>
  <c r="H364" i="9"/>
  <c r="H701" i="9"/>
  <c r="H700" i="9"/>
  <c r="H492" i="9"/>
  <c r="H36" i="9"/>
  <c r="H363" i="9"/>
  <c r="H362" i="9"/>
  <c r="H361" i="9"/>
  <c r="H217" i="9"/>
  <c r="H360" i="9"/>
  <c r="H562" i="9"/>
  <c r="H491" i="9"/>
  <c r="H47" i="9"/>
  <c r="H358" i="9"/>
  <c r="H357" i="9"/>
  <c r="H110" i="9"/>
  <c r="H7" i="9"/>
  <c r="H731" i="9"/>
  <c r="H64" i="9"/>
  <c r="H167" i="9"/>
  <c r="H777" i="9"/>
  <c r="H356" i="9"/>
  <c r="H460" i="9"/>
  <c r="H355" i="9"/>
  <c r="H419" i="9"/>
  <c r="H198" i="9"/>
  <c r="H354" i="9"/>
  <c r="H418" i="9"/>
  <c r="H851" i="9"/>
  <c r="H197" i="9"/>
  <c r="H647" i="9"/>
  <c r="H490" i="9"/>
  <c r="H35" i="9"/>
  <c r="H802" i="9"/>
  <c r="H34" i="9"/>
  <c r="H33" i="9"/>
  <c r="H801" i="9"/>
  <c r="H829" i="9"/>
  <c r="H109" i="9"/>
  <c r="H63" i="9"/>
  <c r="H645" i="9"/>
  <c r="H353" i="9"/>
  <c r="H352" i="9"/>
  <c r="H208" i="9"/>
  <c r="H489" i="9"/>
  <c r="H246" i="9"/>
  <c r="H441" i="9"/>
  <c r="H824" i="9"/>
  <c r="H351" i="9"/>
  <c r="H207" i="9"/>
  <c r="H185" i="9"/>
  <c r="H350" i="9"/>
  <c r="H166" i="9"/>
  <c r="H196" i="9"/>
  <c r="H349" i="9"/>
  <c r="H575" i="9"/>
  <c r="H447" i="9"/>
  <c r="H644" i="9"/>
  <c r="H758" i="9"/>
  <c r="H107" i="9"/>
  <c r="H698" i="9"/>
  <c r="H417" i="9"/>
  <c r="H776" i="9"/>
  <c r="H800" i="9"/>
  <c r="H643" i="9"/>
  <c r="H165" i="9"/>
  <c r="H757" i="9"/>
  <c r="H32" i="9"/>
  <c r="H416" i="9"/>
  <c r="H642" i="9"/>
  <c r="H488" i="9"/>
  <c r="H90" i="9"/>
  <c r="H346" i="9"/>
  <c r="H756" i="9"/>
  <c r="H466" i="9"/>
  <c r="H345" i="9"/>
  <c r="H697" i="9"/>
  <c r="H415" i="9"/>
  <c r="H456" i="9"/>
  <c r="H872" i="9"/>
  <c r="H775" i="9"/>
  <c r="H487" i="9"/>
  <c r="H106" i="9"/>
  <c r="H344" i="9"/>
  <c r="H31" i="9"/>
  <c r="H579" i="9"/>
  <c r="H729" i="9"/>
  <c r="H343" i="9"/>
  <c r="H861" i="9"/>
  <c r="H854" i="9"/>
  <c r="H889" i="9"/>
  <c r="H641" i="9"/>
  <c r="H445" i="9"/>
  <c r="H867" i="9"/>
  <c r="H459" i="9"/>
  <c r="H439" i="9"/>
  <c r="H215" i="9"/>
  <c r="H212" i="9"/>
  <c r="H342" i="9"/>
  <c r="H206" i="9"/>
  <c r="H438" i="9"/>
  <c r="H163" i="9"/>
  <c r="H728" i="9"/>
  <c r="H275" i="9"/>
  <c r="H639" i="9"/>
  <c r="H597" i="9"/>
  <c r="H755" i="9"/>
  <c r="H83" i="9"/>
  <c r="H437" i="9"/>
  <c r="H519" i="9"/>
  <c r="H341" i="9"/>
  <c r="H505" i="9"/>
  <c r="H340" i="9"/>
  <c r="H799" i="9"/>
  <c r="H560" i="9"/>
  <c r="H453" i="9"/>
  <c r="H62" i="9"/>
  <c r="H696" i="9"/>
  <c r="H754" i="9"/>
  <c r="H638" i="9"/>
  <c r="H808" i="9"/>
  <c r="H125" i="9"/>
  <c r="H823" i="9"/>
  <c r="H162" i="9"/>
  <c r="H339" i="9"/>
  <c r="H591" i="9"/>
  <c r="H637" i="9"/>
  <c r="H338" i="9"/>
  <c r="H69" i="9"/>
  <c r="H245" i="9"/>
  <c r="H825" i="9"/>
  <c r="H753" i="9"/>
  <c r="H413" i="9"/>
  <c r="H636" i="9"/>
  <c r="H120" i="9"/>
  <c r="H432" i="9"/>
  <c r="H836" i="9"/>
  <c r="H809" i="9"/>
  <c r="H798" i="9"/>
  <c r="H337" i="9"/>
  <c r="H10" i="9"/>
  <c r="H595" i="9"/>
  <c r="H635" i="9"/>
  <c r="H634" i="9"/>
  <c r="H216" i="9"/>
  <c r="H694" i="9"/>
  <c r="H412" i="9"/>
  <c r="H557" i="9"/>
  <c r="H556" i="9"/>
  <c r="H727" i="9"/>
  <c r="H503" i="9"/>
  <c r="H411" i="9"/>
  <c r="H633" i="9"/>
  <c r="H29" i="9"/>
  <c r="H774" i="9"/>
  <c r="H410" i="9"/>
  <c r="H274" i="9"/>
  <c r="H853" i="9"/>
  <c r="H463" i="9"/>
  <c r="H82" i="9"/>
  <c r="H234" i="9"/>
  <c r="H408" i="9"/>
  <c r="H161" i="9"/>
  <c r="H632" i="9"/>
  <c r="H28" i="9"/>
  <c r="H693" i="9"/>
  <c r="H160" i="9"/>
  <c r="H518" i="9"/>
  <c r="H462" i="9"/>
  <c r="H27" i="9"/>
  <c r="H336" i="9"/>
  <c r="H407" i="9"/>
  <c r="H335" i="9"/>
  <c r="H533" i="9"/>
  <c r="H848" i="9"/>
  <c r="H105" i="9"/>
  <c r="H631" i="9"/>
  <c r="H233" i="9"/>
  <c r="H334" i="9"/>
  <c r="H555" i="9"/>
  <c r="H464" i="9"/>
  <c r="H692" i="9"/>
  <c r="H470" i="9"/>
  <c r="H61" i="9"/>
  <c r="H333" i="9"/>
  <c r="H184" i="9"/>
  <c r="H878" i="9"/>
  <c r="H104" i="9"/>
  <c r="H630" i="9"/>
  <c r="H159" i="9"/>
  <c r="H103" i="9"/>
  <c r="H332" i="9"/>
  <c r="H181" i="9"/>
  <c r="H242" i="9"/>
  <c r="H888" i="9"/>
  <c r="H629" i="9"/>
  <c r="H726" i="9"/>
  <c r="H773" i="9"/>
  <c r="H25" i="9"/>
  <c r="H195" i="9"/>
  <c r="H204" i="9"/>
  <c r="H772" i="9"/>
  <c r="H877" i="9"/>
  <c r="H876" i="9"/>
  <c r="H331" i="9"/>
  <c r="H875" i="9"/>
  <c r="H232" i="9"/>
  <c r="H272" i="9"/>
  <c r="H330" i="9"/>
  <c r="H440" i="9"/>
  <c r="H785" i="9"/>
  <c r="H806" i="9"/>
  <c r="H329" i="9"/>
  <c r="H194" i="9"/>
  <c r="H213" i="9"/>
  <c r="H887" i="9"/>
  <c r="H24" i="9"/>
  <c r="H446" i="9"/>
  <c r="H554" i="9"/>
  <c r="H691" i="9"/>
  <c r="H553" i="9"/>
  <c r="H552" i="9"/>
  <c r="H628" i="9"/>
  <c r="H405" i="9"/>
  <c r="H551" i="9"/>
  <c r="H838" i="9"/>
  <c r="H594" i="9"/>
  <c r="H222" i="9"/>
  <c r="H788" i="9"/>
  <c r="H725" i="9"/>
  <c r="H752" i="9"/>
  <c r="H193" i="9"/>
  <c r="H192" i="9"/>
  <c r="H627" i="9"/>
  <c r="H846" i="9"/>
  <c r="H874" i="9"/>
  <c r="H43" i="9"/>
  <c r="H502" i="9"/>
  <c r="H23" i="9"/>
  <c r="H231" i="9"/>
  <c r="H751" i="9"/>
  <c r="H404" i="9"/>
  <c r="H205" i="9"/>
  <c r="H431" i="9"/>
  <c r="H102" i="9"/>
  <c r="H157" i="9"/>
  <c r="H517" i="9"/>
  <c r="H328" i="9"/>
  <c r="H271" i="9"/>
  <c r="H230" i="9"/>
  <c r="H549" i="9"/>
  <c r="H229" i="9"/>
  <c r="H486" i="9"/>
  <c r="H516" i="9"/>
  <c r="H60" i="9"/>
  <c r="H578" i="9"/>
  <c r="H858" i="9"/>
  <c r="H403" i="9"/>
  <c r="H119" i="9"/>
  <c r="H577" i="9"/>
  <c r="H156" i="9"/>
  <c r="H81" i="9"/>
  <c r="H203" i="9"/>
  <c r="H771" i="9"/>
  <c r="H155" i="9"/>
  <c r="H71" i="9"/>
  <c r="H325" i="9"/>
  <c r="H324" i="9"/>
  <c r="H624" i="9"/>
  <c r="H323" i="9"/>
  <c r="H322" i="9"/>
  <c r="H532" i="9"/>
  <c r="H137" i="9"/>
  <c r="H690" i="9"/>
  <c r="H484" i="9"/>
  <c r="H589" i="9"/>
  <c r="H885" i="9"/>
  <c r="H154" i="9"/>
  <c r="H321" i="9"/>
  <c r="H461" i="9"/>
  <c r="H724" i="9"/>
  <c r="H124" i="9"/>
  <c r="H750" i="9"/>
  <c r="H590" i="9"/>
  <c r="H101" i="9"/>
  <c r="H886" i="9"/>
  <c r="H123" i="9"/>
  <c r="H623" i="9"/>
  <c r="H547" i="9"/>
  <c r="H622" i="9"/>
  <c r="H482" i="9"/>
  <c r="H22" i="9"/>
  <c r="H442" i="9"/>
  <c r="H59" i="9"/>
  <c r="H621" i="9"/>
  <c r="H620" i="9"/>
  <c r="H21" i="9"/>
  <c r="H268" i="9"/>
  <c r="H473" i="9"/>
  <c r="H70" i="9"/>
  <c r="H832" i="9"/>
  <c r="H619" i="9"/>
  <c r="H857" i="9"/>
  <c r="H20" i="9"/>
  <c r="H202" i="9"/>
  <c r="H190" i="9"/>
  <c r="H573" i="9"/>
  <c r="H266" i="9"/>
  <c r="H544" i="9"/>
  <c r="H749" i="9"/>
  <c r="H506" i="9"/>
  <c r="H812" i="9"/>
  <c r="H319" i="9"/>
  <c r="H434" i="9"/>
  <c r="H845" i="9"/>
  <c r="H722" i="9"/>
  <c r="H99" i="9"/>
  <c r="H318" i="9"/>
  <c r="H748" i="9"/>
  <c r="H80" i="9"/>
  <c r="H481" i="9"/>
  <c r="H317" i="9"/>
  <c r="H834" i="9"/>
  <c r="H543" i="9"/>
  <c r="H871" i="9"/>
  <c r="H616" i="9"/>
  <c r="H822" i="9"/>
  <c r="H821" i="9"/>
  <c r="H400" i="9"/>
  <c r="H316" i="9"/>
  <c r="H399" i="9"/>
  <c r="H315" i="9"/>
  <c r="H810" i="9"/>
  <c r="H576" i="9"/>
  <c r="H398" i="9"/>
  <c r="H515" i="9"/>
  <c r="H827" i="9"/>
  <c r="H688" i="9"/>
  <c r="H721" i="9"/>
  <c r="H770" i="9"/>
  <c r="H572" i="9"/>
  <c r="H882" i="9"/>
  <c r="H813" i="9"/>
  <c r="H189" i="9"/>
  <c r="H797" i="9"/>
  <c r="H397" i="9"/>
  <c r="H8" i="9"/>
  <c r="H314" i="9"/>
  <c r="H480" i="9"/>
  <c r="H479" i="9"/>
  <c r="H98" i="9"/>
  <c r="H720" i="9"/>
  <c r="H312" i="9"/>
  <c r="H228" i="9"/>
  <c r="H311" i="9"/>
  <c r="H587" i="9"/>
  <c r="H14" i="9"/>
  <c r="H79" i="9"/>
  <c r="H769" i="9"/>
  <c r="H747" i="9"/>
  <c r="H443" i="9"/>
  <c r="H686" i="9"/>
  <c r="H152" i="9"/>
  <c r="H542" i="9"/>
  <c r="H97" i="9"/>
  <c r="H614" i="9"/>
  <c r="H310" i="9"/>
  <c r="H309" i="9"/>
  <c r="H746" i="9"/>
  <c r="H188" i="9"/>
  <c r="H396" i="9"/>
  <c r="H448" i="9"/>
  <c r="H261" i="9"/>
  <c r="H307" i="9"/>
  <c r="H258" i="9"/>
  <c r="H796" i="9"/>
  <c r="H384" i="9"/>
  <c r="H811" i="9"/>
  <c r="H745" i="9"/>
  <c r="H613" i="9"/>
  <c r="H306" i="9"/>
  <c r="H395" i="9"/>
  <c r="H227" i="9"/>
  <c r="H719" i="9"/>
  <c r="H394" i="9"/>
  <c r="H305" i="9"/>
  <c r="H612" i="9"/>
  <c r="H68" i="9"/>
  <c r="H744" i="9"/>
  <c r="H304" i="9"/>
  <c r="H77" i="9"/>
  <c r="H118" i="9"/>
  <c r="H303" i="9"/>
  <c r="H465" i="9"/>
  <c r="H76" i="9"/>
  <c r="H795" i="9"/>
  <c r="H151" i="9"/>
  <c r="H540" i="9"/>
  <c r="H302" i="9"/>
  <c r="H95" i="9"/>
  <c r="H513" i="9"/>
  <c r="H433" i="9"/>
  <c r="H75" i="9"/>
  <c r="H593" i="9"/>
  <c r="H743" i="9"/>
  <c r="H610" i="9"/>
  <c r="H609" i="9"/>
  <c r="H391" i="9"/>
  <c r="H768" i="9"/>
  <c r="H249" i="9"/>
  <c r="H866" i="9"/>
  <c r="H19" i="9"/>
  <c r="H608" i="9"/>
  <c r="H390" i="9"/>
  <c r="H301" i="9"/>
  <c r="H300" i="9"/>
  <c r="H512" i="9"/>
  <c r="H299" i="9"/>
  <c r="H718" i="9"/>
  <c r="H478" i="9"/>
  <c r="H58" i="9"/>
  <c r="H685" i="9"/>
  <c r="H298" i="9"/>
  <c r="H297" i="9"/>
  <c r="H186" i="9"/>
  <c r="H767" i="9"/>
  <c r="H295" i="9"/>
  <c r="H511" i="9"/>
  <c r="H684" i="9"/>
  <c r="H454" i="9"/>
  <c r="H683" i="9"/>
  <c r="H67" i="9"/>
  <c r="H18" i="9"/>
  <c r="H682" i="9"/>
  <c r="H607" i="9"/>
  <c r="H477" i="9"/>
  <c r="H584" i="9"/>
  <c r="H681" i="9"/>
  <c r="H293" i="9"/>
  <c r="H538" i="9"/>
  <c r="H844" i="9"/>
  <c r="H680" i="9"/>
  <c r="H226" i="9"/>
  <c r="H606" i="9"/>
  <c r="H94" i="9"/>
  <c r="H149" i="9"/>
  <c r="H679" i="9"/>
  <c r="H256" i="9"/>
  <c r="H794" i="9"/>
  <c r="H93" i="9"/>
  <c r="H605" i="9"/>
  <c r="H678" i="9"/>
  <c r="H92" i="9"/>
  <c r="H870" i="9"/>
  <c r="H604" i="9"/>
  <c r="H292" i="9"/>
  <c r="H717" i="9"/>
  <c r="H741" i="9"/>
  <c r="H468" i="9"/>
  <c r="H510" i="9"/>
  <c r="H290" i="9"/>
  <c r="H833" i="9"/>
  <c r="H588" i="9"/>
  <c r="H820" i="9"/>
  <c r="H852" i="9"/>
  <c r="H740" i="9"/>
  <c r="H715" i="9"/>
  <c r="H134" i="9"/>
  <c r="H57" i="9"/>
  <c r="H56" i="9"/>
  <c r="H837" i="9"/>
  <c r="H766" i="9"/>
  <c r="H250" i="9"/>
  <c r="H183" i="9"/>
  <c r="H255" i="9"/>
  <c r="H765" i="9"/>
  <c r="H16" i="9"/>
  <c r="H148" i="9"/>
  <c r="H714" i="9"/>
  <c r="H531" i="9"/>
  <c r="H254" i="9"/>
  <c r="H383" i="9"/>
  <c r="H388" i="9"/>
  <c r="H764" i="9"/>
  <c r="H444" i="9"/>
  <c r="H147" i="9"/>
  <c r="H763" i="9"/>
  <c r="H289" i="9"/>
  <c r="H15" i="9"/>
  <c r="H677" i="9"/>
  <c r="H146" i="9"/>
  <c r="H793" i="9"/>
  <c r="H288" i="9"/>
  <c r="H739" i="9"/>
  <c r="H55" i="9"/>
  <c r="H387" i="9"/>
  <c r="H601" i="9"/>
  <c r="H508" i="9"/>
  <c r="H386" i="9"/>
  <c r="H385" i="9"/>
  <c r="H46" i="9"/>
  <c r="H869" i="9"/>
  <c r="H145" i="9"/>
  <c r="H713" i="9"/>
  <c r="H91" i="9"/>
  <c r="H529" i="9"/>
  <c r="H287" i="9"/>
  <c r="H842" i="9"/>
  <c r="H286" i="9"/>
  <c r="H285" i="9"/>
  <c r="H284" i="9"/>
  <c r="H498" i="9"/>
  <c r="H282" i="9"/>
  <c r="H281" i="9"/>
  <c r="H280" i="9"/>
  <c r="H279" i="9"/>
  <c r="H278" i="9"/>
  <c r="H277" i="9"/>
  <c r="H409" i="9"/>
  <c r="H273" i="9"/>
  <c r="H270" i="9"/>
  <c r="H267" i="9"/>
  <c r="H320" i="9"/>
  <c r="H265" i="9"/>
  <c r="H687" i="9"/>
  <c r="H264" i="9"/>
  <c r="H263" i="9"/>
  <c r="H262" i="9"/>
  <c r="H260" i="9"/>
  <c r="H259" i="9"/>
  <c r="H257" i="9"/>
  <c r="H74" i="9"/>
  <c r="H144" i="9"/>
  <c r="C3" i="13"/>
  <c r="C12" i="2"/>
  <c r="C11" i="2"/>
  <c r="C10" i="2"/>
  <c r="C14" i="2"/>
</calcChain>
</file>

<file path=xl/sharedStrings.xml><?xml version="1.0" encoding="utf-8"?>
<sst xmlns="http://schemas.openxmlformats.org/spreadsheetml/2006/main" count="28837" uniqueCount="10887">
  <si>
    <t>lat</t>
  </si>
  <si>
    <t>lon</t>
  </si>
  <si>
    <t>id</t>
  </si>
  <si>
    <t>ARL, Washington DC</t>
  </si>
  <si>
    <t>Baltimore Convention Center, Maryland</t>
  </si>
  <si>
    <t>Botley Park Hotel, Southampton</t>
  </si>
  <si>
    <t>Cardiff University, UK</t>
  </si>
  <si>
    <t>IBM Hursley, UK</t>
  </si>
  <si>
    <t>IBM Research, Yorktown Heights</t>
  </si>
  <si>
    <t>Salamanca University, Spain</t>
  </si>
  <si>
    <t>USMA, West Point</t>
  </si>
  <si>
    <t>University of Maryland, US</t>
  </si>
  <si>
    <t>primary type</t>
  </si>
  <si>
    <t>secondary type</t>
  </si>
  <si>
    <t>name</t>
  </si>
  <si>
    <t>short name</t>
  </si>
  <si>
    <t>country</t>
  </si>
  <si>
    <t>place</t>
  </si>
  <si>
    <t>ARL</t>
  </si>
  <si>
    <t>US</t>
  </si>
  <si>
    <t>Cardiff University</t>
  </si>
  <si>
    <t>Cardiff</t>
  </si>
  <si>
    <t>UK</t>
  </si>
  <si>
    <t>IBM UK</t>
  </si>
  <si>
    <t>IBM US</t>
  </si>
  <si>
    <t>West point</t>
  </si>
  <si>
    <t>USMA</t>
  </si>
  <si>
    <t>ITA organisation</t>
  </si>
  <si>
    <t>government organisation</t>
  </si>
  <si>
    <t>industrial organisation</t>
  </si>
  <si>
    <t>academic organisation</t>
  </si>
  <si>
    <t>aka</t>
  </si>
  <si>
    <t>full name</t>
  </si>
  <si>
    <t>start date</t>
  </si>
  <si>
    <t>end date</t>
  </si>
  <si>
    <t>url</t>
  </si>
  <si>
    <t>event series</t>
  </si>
  <si>
    <t>date</t>
  </si>
  <si>
    <t>AFM (or ACITA)</t>
  </si>
  <si>
    <t>FUSION</t>
  </si>
  <si>
    <t>ISIF</t>
  </si>
  <si>
    <t>ACITA|AFM</t>
  </si>
  <si>
    <t>ACITA 2012</t>
  </si>
  <si>
    <t>https://www.usukitacs.com/acita2012</t>
  </si>
  <si>
    <t>AFM 2015</t>
  </si>
  <si>
    <t>https://www.usukitacs.com/2015_AFM</t>
  </si>
  <si>
    <t>Fusion 2014</t>
  </si>
  <si>
    <t>http://isif.org/events/conference/fusion-2014</t>
  </si>
  <si>
    <t>SPIE DSS 2012</t>
  </si>
  <si>
    <t>http://spie.org/conferences-and-exhibitions/past-events/past-conferences-and-exhibitions/past-events/defense-security-and-sensing/defense-security-and-sensing-2012</t>
  </si>
  <si>
    <t>SPIE DSS</t>
  </si>
  <si>
    <t>code name</t>
  </si>
  <si>
    <t>project plan</t>
  </si>
  <si>
    <t>technical area</t>
  </si>
  <si>
    <t>BPP11P4</t>
  </si>
  <si>
    <t>BPP11</t>
  </si>
  <si>
    <t>TA6</t>
  </si>
  <si>
    <t>BPP13P4</t>
  </si>
  <si>
    <t>BPP13</t>
  </si>
  <si>
    <t>year</t>
  </si>
  <si>
    <t>FPP15</t>
  </si>
  <si>
    <t>BPP11|BPP13|FPP15</t>
  </si>
  <si>
    <t>2011|2012</t>
  </si>
  <si>
    <t>2013|2014</t>
  </si>
  <si>
    <t>forename</t>
  </si>
  <si>
    <t>surname</t>
  </si>
  <si>
    <t>organisation</t>
  </si>
  <si>
    <t>profile picture</t>
  </si>
  <si>
    <t>citation</t>
  </si>
  <si>
    <t>main</t>
  </si>
  <si>
    <t>date checked</t>
  </si>
  <si>
    <t>citation count</t>
  </si>
  <si>
    <t>h-index</t>
  </si>
  <si>
    <t>alun_preece</t>
  </si>
  <si>
    <t>Alun</t>
  </si>
  <si>
    <t>Preece</t>
  </si>
  <si>
    <t>christos_parizas</t>
  </si>
  <si>
    <t>Christos</t>
  </si>
  <si>
    <t>Parizas</t>
  </si>
  <si>
    <t>dave_braines</t>
  </si>
  <si>
    <t>Dave</t>
  </si>
  <si>
    <t>Braines</t>
  </si>
  <si>
    <t>david_mott</t>
  </si>
  <si>
    <t>David</t>
  </si>
  <si>
    <t>Mott</t>
  </si>
  <si>
    <t>david_vyvyan</t>
  </si>
  <si>
    <t>Vyvyan</t>
  </si>
  <si>
    <t>diego_pizzocaro</t>
  </si>
  <si>
    <t>Diego</t>
  </si>
  <si>
    <t>Pizzocaro</t>
  </si>
  <si>
    <t>geeth_de_mel</t>
  </si>
  <si>
    <t>Geeth</t>
  </si>
  <si>
    <t>graham_bent</t>
  </si>
  <si>
    <t>Graham</t>
  </si>
  <si>
    <t>Bent</t>
  </si>
  <si>
    <t>hannah_grosso</t>
  </si>
  <si>
    <t>Hannah</t>
  </si>
  <si>
    <t>Grosso</t>
  </si>
  <si>
    <t>jinny_yan</t>
  </si>
  <si>
    <t>Jinny</t>
  </si>
  <si>
    <t>Yan</t>
  </si>
  <si>
    <t>patrick_dantressangle</t>
  </si>
  <si>
    <t>Patrick</t>
  </si>
  <si>
    <t>Dantressangle</t>
  </si>
  <si>
    <t>theodore_hoel</t>
  </si>
  <si>
    <t>Theodore</t>
  </si>
  <si>
    <t>Hoel</t>
  </si>
  <si>
    <t>tien_pham</t>
  </si>
  <si>
    <t>Tien</t>
  </si>
  <si>
    <t>Pham</t>
  </si>
  <si>
    <t>doc-1434</t>
  </si>
  <si>
    <t>concept</t>
  </si>
  <si>
    <t>title</t>
  </si>
  <si>
    <t>publish date</t>
  </si>
  <si>
    <t>Feb-2009</t>
  </si>
  <si>
    <t>abstract</t>
  </si>
  <si>
    <t>paper file</t>
  </si>
  <si>
    <t>paper thumbnail</t>
  </si>
  <si>
    <t>authors</t>
  </si>
  <si>
    <t>doc-1855a</t>
  </si>
  <si>
    <t>venue</t>
  </si>
  <si>
    <t>project</t>
  </si>
  <si>
    <t>presentation_file</t>
  </si>
  <si>
    <t>variant</t>
  </si>
  <si>
    <t>doc-1855c</t>
  </si>
  <si>
    <t>doc-2377</t>
  </si>
  <si>
    <t>old venue</t>
  </si>
  <si>
    <t>noteworthy</t>
  </si>
  <si>
    <t>doc-2630</t>
  </si>
  <si>
    <t>journal document</t>
  </si>
  <si>
    <t>Human-Machine Conversations to Support Multi-Agency Missions</t>
  </si>
  <si>
    <t>Oct-2013</t>
  </si>
  <si>
    <t>Jan-2014</t>
  </si>
  <si>
    <t>ACM SIGMOBILE Mobile Computing and Communications Review, Volume 18 Issue 1</t>
  </si>
  <si>
    <t>doc-2697</t>
  </si>
  <si>
    <t>https://scholar.google.co.uk/scholar?q=%22Enabling+CoIST+Users%3A+D2D+at+the+Network+Edge%22&amp;btnG=&amp;hl=en&amp;as_sdt=0%2C5</t>
  </si>
  <si>
    <t>doc-2998</t>
  </si>
  <si>
    <t>19/01/2016</t>
  </si>
  <si>
    <t>10/01/2016</t>
  </si>
  <si>
    <t>11/01/2016</t>
  </si>
  <si>
    <t>09/02/2016</t>
  </si>
  <si>
    <t>doc-x0406</t>
  </si>
  <si>
    <t>2013</t>
  </si>
  <si>
    <t>Root folder:</t>
  </si>
  <si>
    <t>Header comment:</t>
  </si>
  <si>
    <t>sheet name</t>
  </si>
  <si>
    <t>range</t>
  </si>
  <si>
    <t>file name</t>
  </si>
  <si>
    <t>GENERAL VARIABLES</t>
  </si>
  <si>
    <t>SHEETS TO GENERATE</t>
  </si>
  <si>
    <t>projects.ce</t>
  </si>
  <si>
    <t>places.ce</t>
  </si>
  <si>
    <t>projects</t>
  </si>
  <si>
    <t>places</t>
  </si>
  <si>
    <t>Max rows to check</t>
  </si>
  <si>
    <t>B3:F(max)</t>
  </si>
  <si>
    <t>B3:D(max)</t>
  </si>
  <si>
    <t>technical areas</t>
  </si>
  <si>
    <t>technical_areas.ce</t>
  </si>
  <si>
    <t>B3:E(max)</t>
  </si>
  <si>
    <t>there is an ITA project named '{1}'
  has '{2}' as code name
  has '{3}' as name
  has the ITA project plan '{4}' as project plan
  has the ITA technical area '{5}' as technical area</t>
  </si>
  <si>
    <t>there is an ITA technical area named '{1}'
  has '{2}' as code name
  has '{3}' as name
  has the ITA project plan '{4}' as project plan</t>
  </si>
  <si>
    <t>project plans</t>
  </si>
  <si>
    <t>project_plans.ce</t>
  </si>
  <si>
    <t>there is an ITA project plan named '{1}'
  has '{2}' as code name and
  ran during the year '{3}'</t>
  </si>
  <si>
    <t>event_series.ce</t>
  </si>
  <si>
    <t>events</t>
  </si>
  <si>
    <t>events.ce</t>
  </si>
  <si>
    <t>B3:I(max)</t>
  </si>
  <si>
    <t>there is an event named '{1}'
  has '{2}' as full name
  occurs at the place '{3}'
  has '{4}' as start date
  has '{5}' as end date
  has '{6}' as url
  is part of the event series '{7}'
  corresponds to the date '{8}'</t>
  </si>
  <si>
    <t>papers</t>
  </si>
  <si>
    <t>people</t>
  </si>
  <si>
    <t>organisations</t>
  </si>
  <si>
    <t>papers.ce</t>
  </si>
  <si>
    <t>people.ce</t>
  </si>
  <si>
    <t>organisations.ce</t>
  </si>
  <si>
    <t>B3:H(max)</t>
  </si>
  <si>
    <t>there is an organisation named '{1}'
  is a {2}
  is a {3}
  has '{4}' as name
  has '{5}' as short name
  is affiliated to the country '{6}'
  is located at the place '{7}'</t>
  </si>
  <si>
    <t>gs citation</t>
  </si>
  <si>
    <t>B4:H(max)</t>
  </si>
  <si>
    <t>people_citations.ce</t>
  </si>
  <si>
    <t>paper_abstracts.ce</t>
  </si>
  <si>
    <t>there is an academic document named '{1}'
  has '{8}' as abstract</t>
  </si>
  <si>
    <t>paper_noteworthy.ce</t>
  </si>
  <si>
    <t>there is a noteworthy document named '{1}'
  has '{13}' as noteworthy reason</t>
  </si>
  <si>
    <t>paper_citations.ce</t>
  </si>
  <si>
    <t>CE template (1)</t>
  </si>
  <si>
    <t>CE template (2)</t>
  </si>
  <si>
    <t>there is a place named '{1}'
  has '{2}' as latitude
  has '{3}' as longitude</t>
  </si>
  <si>
    <t>there is a ordered author named '{1}-author-{15}'
  has the person '{15}' as author person
  has '{#}' as author index</t>
  </si>
  <si>
    <t xml:space="preserve">there is an academic document named '{1}'
  has the paper citation count '{14}' as citation count
</t>
  </si>
  <si>
    <t>there is an academic document named '{1}'
  is a {2}
  has '{3}' as title
  has the date '{4}' as publish date
  has the ITA project '{5}' as project
  has the event '{6}' as venue
  has '{7}' as old venue
  has '{9}' as paper file
  has '{10}' as presentation file
  has '{11}' as paper thumbnail
  has the academic document '{12}' as variant
  has the ordered author '{tbc}-author-{15}' as author</t>
  </si>
  <si>
    <t>paper_authors.ce</t>
  </si>
  <si>
    <t>there is a ordered author named '[1]-author-{20}'
  has the person '{20}' as author person and
  has '1' as author index.</t>
  </si>
  <si>
    <t>there is a ordered author named '[1]-author-{21}'
  has the person '{21}' as author person and
  has '2' as author index.</t>
  </si>
  <si>
    <t>there is a ordered author named '[1]-author-{22}'
  has the person '{22}' as author person and
  has '3' as author index.</t>
  </si>
  <si>
    <t>there is a ordered author named '[1]-author-{23}'
  has the person '{23}' as author person and
  has '4' as author index.</t>
  </si>
  <si>
    <t>there is a ordered author named '[1]-author-{24}'
  has the person '{24}' as author person and
  has '5' as author index.</t>
  </si>
  <si>
    <t>there is a ordered author named '[1]-author-{25}'
  has the person '{25}' as author person and
  has '6' as author index.</t>
  </si>
  <si>
    <t>there is a ordered author named '[1]-author-{26}'
  has the person '{26}' as author person and
  has '7' as author index.</t>
  </si>
  <si>
    <t>there is a ordered author named '[1]-author-{27}'
  has the person '{27}' as author person and
  has '8' as author index.</t>
  </si>
  <si>
    <t>there is a ordered author named '[1]-author-{28}'
  has the person '{28}' as author person and
  has '9' as author index.</t>
  </si>
  <si>
    <t>there is a ordered author named '[1]-author-{29}'
  has the person '{29}' as author person and
  has '10' as author index.</t>
  </si>
  <si>
    <t>there is a paper citation count named '{14}'
  has '{16}' as url
  has '{17}' as citation count
  has '{18}' as date checked</t>
  </si>
  <si>
    <t>de Mel</t>
  </si>
  <si>
    <t>Army Research Laboratory</t>
  </si>
  <si>
    <t>6th Annual Conference of the International Technology Alliance</t>
  </si>
  <si>
    <t>17th September 2012</t>
  </si>
  <si>
    <t>21st September 2012</t>
  </si>
  <si>
    <t>9th Annual Fall Meeting of the International Technology Alliance</t>
  </si>
  <si>
    <t>15th September 2015</t>
  </si>
  <si>
    <t>17th September 2015</t>
  </si>
  <si>
    <t>17th International Conference on Information FUSION</t>
  </si>
  <si>
    <t>7th July 2014</t>
  </si>
  <si>
    <t>14th July 2014</t>
  </si>
  <si>
    <t>International Society for Optics and Photonics - Defense, Security and Sensing, 2012</t>
  </si>
  <si>
    <t>23rd April 2012</t>
  </si>
  <si>
    <t>27th April 2012</t>
  </si>
  <si>
    <t>Annual Fall Meeting of the International Technology Alliance (AFM)</t>
  </si>
  <si>
    <t>International Conference on Information Fusion (Fusion)</t>
  </si>
  <si>
    <t>P4: Shared Understanding and Information Exploitation</t>
  </si>
  <si>
    <t>P4: Human-Information Interaction</t>
  </si>
  <si>
    <t>Distributed Coalition Information Processing for Decision Making</t>
  </si>
  <si>
    <t>month</t>
  </si>
  <si>
    <t>Sep-2012</t>
  </si>
  <si>
    <t>Sep-2015</t>
  </si>
  <si>
    <t>Jul-2014</t>
  </si>
  <si>
    <t>Apr-2012</t>
  </si>
  <si>
    <t>countries</t>
  </si>
  <si>
    <t>countries.ce</t>
  </si>
  <si>
    <t>dates</t>
  </si>
  <si>
    <t>dates.ce</t>
  </si>
  <si>
    <t>B3:B(max)</t>
  </si>
  <si>
    <t>there is a date named '{1}'
  has '{2}' as month
  has '{3}' as year</t>
  </si>
  <si>
    <t>International Society for Optics and Photonics - Defense, Security and Sensing (SPIE DSS)</t>
  </si>
  <si>
    <t>http://spie.org/dss</t>
  </si>
  <si>
    <t>there is an event series named '{1}'
  has '{2}' as full name
  is also known as '{3}'
  has '{4}' as url</t>
  </si>
  <si>
    <t>Macintosh HD:Users:davebraines:Documents:CESTORE:eclipse_NSCTA:workspace:SL_data:WebContent:ce:facts:generated</t>
  </si>
  <si>
    <t>Paper range max</t>
  </si>
  <si>
    <t>message text</t>
  </si>
  <si>
    <t>msg date</t>
  </si>
  <si>
    <t>messages</t>
  </si>
  <si>
    <t>B3:C(max)</t>
  </si>
  <si>
    <t>messages.ce</t>
  </si>
  <si>
    <t>there is a UI message named '{1}'
  has '{2}' as message text</t>
  </si>
  <si>
    <t>(max)</t>
  </si>
  <si>
    <t>there is a person named '{1}'
  has '{2}' as forename
  has '{3}' as surname
  has '{4}' as full name
  is employed by the organisation '{5}'
  has '{6}' as profile picture
  has the person citation count '{7}' as citation count</t>
  </si>
  <si>
    <t>jim_hendler</t>
  </si>
  <si>
    <t>Jim</t>
  </si>
  <si>
    <t>Hendler</t>
  </si>
  <si>
    <t>RPI</t>
  </si>
  <si>
    <t>people_noteworthy.ce</t>
  </si>
  <si>
    <t>position</t>
  </si>
  <si>
    <t>award</t>
  </si>
  <si>
    <t>katia_sycara</t>
  </si>
  <si>
    <t>Katia</t>
  </si>
  <si>
    <t>Sycara</t>
  </si>
  <si>
    <t>CMU</t>
  </si>
  <si>
    <t>Fellow of IEEE|Member of the National Academies Study "Complex Operational Decision Making in Networked Systems of Humans and Machines: A Multidisciplinary Approach" (2012-2014). The report was released July 2014|Fellow of AAAI</t>
  </si>
  <si>
    <t>Recipient of the ACM/SIGART award for Research Excellence in Autonomous Agents and Multi-Agent Systems|Co-recipient (second time in a row) of the Semantic Web Scientific Association Most Influential 10-year Paper Award for the paper titled "Semantic Matching of Web Services Capabilities". The award was presented at the 11th International Semantic Web Conference (ISWC), Boston, USA, November 11-15, 2012|Co-recipient of the Semantic Web Scientific Association Most Influential 10-year Paper Award, for the paper titled "DAML-S: Semantic Markup for Web Services". The award was presented at the 10th International Semantic Web Conference (ISWC), Bonn, Germany, October 23-27, 2011|Recipient of the INFORMS award for Research Excellence in Group Decision and Negotiation</t>
  </si>
  <si>
    <t>there is a noteworthy person named '{1}'
  has '{14}' as noteworthy position
  has '{15}' as noteworthy award</t>
  </si>
  <si>
    <t>B4:P(max)</t>
  </si>
  <si>
    <t>synonym</t>
  </si>
  <si>
    <t>UniCambridge</t>
  </si>
  <si>
    <t>person:internal paper count:value</t>
  </si>
  <si>
    <t>PennState</t>
  </si>
  <si>
    <t>person:perfect paper count:value</t>
  </si>
  <si>
    <t>academic document:citation count:paper citation count</t>
  </si>
  <si>
    <t>person:co-author:person</t>
  </si>
  <si>
    <t>person:external paper count:value</t>
  </si>
  <si>
    <t>event:url:value</t>
  </si>
  <si>
    <t>website</t>
  </si>
  <si>
    <t>person:total publication count:value</t>
  </si>
  <si>
    <t>person:is employed by:organisation</t>
  </si>
  <si>
    <t>academic document:paper file:value</t>
  </si>
  <si>
    <t>person:journal paper count:value</t>
  </si>
  <si>
    <t>event:occurs at:place</t>
  </si>
  <si>
    <t>document:author:ordered author</t>
  </si>
  <si>
    <t>academic document:poster file:value</t>
  </si>
  <si>
    <t>poster</t>
  </si>
  <si>
    <t>person:citation count:person citation count</t>
  </si>
  <si>
    <t>thomas_laporta</t>
  </si>
  <si>
    <t>=</t>
  </si>
  <si>
    <t>equals</t>
  </si>
  <si>
    <t>academic document:venue:event</t>
  </si>
  <si>
    <t>document:title:value</t>
  </si>
  <si>
    <t>person:technical report count:value</t>
  </si>
  <si>
    <t>person:profile picture:value</t>
  </si>
  <si>
    <t>organisation:type:value</t>
  </si>
  <si>
    <t>industry</t>
  </si>
  <si>
    <t>organisation:employs:person</t>
  </si>
  <si>
    <t>academic document:abstract:value</t>
  </si>
  <si>
    <t>person:full name:value</t>
  </si>
  <si>
    <t>academic document:presentation file:value</t>
  </si>
  <si>
    <t>presentation</t>
  </si>
  <si>
    <t>person:wrote:academic document</t>
  </si>
  <si>
    <t>ananthram_swami</t>
  </si>
  <si>
    <t>academic document:final date:date</t>
  </si>
  <si>
    <t>organisation:is located at:place</t>
  </si>
  <si>
    <t>timothy_norman</t>
  </si>
  <si>
    <t>event:end date:value</t>
  </si>
  <si>
    <t>end</t>
  </si>
  <si>
    <t>dave_conway_jones</t>
  </si>
  <si>
    <t>event:start date:value</t>
  </si>
  <si>
    <t>start</t>
  </si>
  <si>
    <t>Tom LaPorta|Tom La Porta</t>
  </si>
  <si>
    <t>Dave Brains</t>
  </si>
  <si>
    <t>Alan Preece</t>
  </si>
  <si>
    <t>Tim Norman</t>
  </si>
  <si>
    <t>Penn State|PSU</t>
  </si>
  <si>
    <t>Anathram|Swami</t>
  </si>
  <si>
    <t>A R L</t>
  </si>
  <si>
    <t>Cambridge University|Cambridge</t>
  </si>
  <si>
    <t>Dave Conway Jones</t>
  </si>
  <si>
    <t>summary|outline</t>
  </si>
  <si>
    <t>citation|citations</t>
  </si>
  <si>
    <t>published|date</t>
  </si>
  <si>
    <t>file|paper|download</t>
  </si>
  <si>
    <t>where|located</t>
  </si>
  <si>
    <t>wrote|authored|authors</t>
  </si>
  <si>
    <t>location|occurs|occur|located|found</t>
  </si>
  <si>
    <t>employees|employed|employ</t>
  </si>
  <si>
    <t>located|location|found</t>
  </si>
  <si>
    <t>journal|journal paper|journal papers|journals</t>
  </si>
  <si>
    <t>write|written</t>
  </si>
  <si>
    <t>linguistics</t>
  </si>
  <si>
    <t>linguistics.ce</t>
  </si>
  <si>
    <t>there is a linguistic thing named '{1}'
  is expressed by '{2}'</t>
  </si>
  <si>
    <t>AFRL</t>
  </si>
  <si>
    <t>Edwards Air Force Base</t>
  </si>
  <si>
    <t>CERDEC</t>
  </si>
  <si>
    <t>CERDEC, Washington DC</t>
  </si>
  <si>
    <t>DSTL</t>
  </si>
  <si>
    <t>DSTL, UK</t>
  </si>
  <si>
    <t>MoD</t>
  </si>
  <si>
    <t>MoD, London</t>
  </si>
  <si>
    <t>USArmy</t>
  </si>
  <si>
    <t>US Army, Pentagon</t>
  </si>
  <si>
    <t>ARA</t>
  </si>
  <si>
    <t>ARA, US</t>
  </si>
  <si>
    <t>AT&amp;T Labs-Research</t>
  </si>
  <si>
    <t>AT&amp;T</t>
  </si>
  <si>
    <t>AT&amp;T Labs-Research, New York</t>
  </si>
  <si>
    <t>Agent Dynamics Inc, Pittsburgh</t>
  </si>
  <si>
    <t>Agent Dynamics Inc, Pennsylvania</t>
  </si>
  <si>
    <t>Applied Communication Sciences</t>
  </si>
  <si>
    <t>ACS</t>
  </si>
  <si>
    <t>Applied Communication Sciences, New York</t>
  </si>
  <si>
    <t>BBN</t>
  </si>
  <si>
    <t>BBN Technologies, Illinois</t>
  </si>
  <si>
    <t>Boeing</t>
  </si>
  <si>
    <t>Boeing, Seattle</t>
  </si>
  <si>
    <t>Broadcom</t>
  </si>
  <si>
    <t>Broadcom, California</t>
  </si>
  <si>
    <t>CUBRC</t>
  </si>
  <si>
    <t>CUBRC, Buffalo</t>
  </si>
  <si>
    <t>Cisco</t>
  </si>
  <si>
    <t>Cisco, San Jose</t>
  </si>
  <si>
    <t>Deutsche Telekom Laboratories/TU-Berlin</t>
  </si>
  <si>
    <t>Deutsche</t>
  </si>
  <si>
    <t>Germany</t>
  </si>
  <si>
    <t>Deutsche Telekom Laboratories/TU-Berlin, Germany</t>
  </si>
  <si>
    <t>DoCoMo Labs USA</t>
  </si>
  <si>
    <t>DoCoMo</t>
  </si>
  <si>
    <t>DoCoMo Labs, California</t>
  </si>
  <si>
    <t>EADS</t>
  </si>
  <si>
    <t>EADS, UK</t>
  </si>
  <si>
    <t>ETH, Zurich</t>
  </si>
  <si>
    <t>ETH</t>
  </si>
  <si>
    <t>Switzerland</t>
  </si>
  <si>
    <t>Fiksu Inc, Boston MA</t>
  </si>
  <si>
    <t>Fiksu</t>
  </si>
  <si>
    <t>Fiksu Inc, Boston</t>
  </si>
  <si>
    <t>HeavyIron</t>
  </si>
  <si>
    <t>Heavy Iron Studios, LA</t>
  </si>
  <si>
    <t>Honeywell</t>
  </si>
  <si>
    <t>Honeywell, Minneapolis</t>
  </si>
  <si>
    <t>IBM India Research Lab</t>
  </si>
  <si>
    <t>India</t>
  </si>
  <si>
    <t>IBM Research, India</t>
  </si>
  <si>
    <t>IBM Research, Bangalore</t>
  </si>
  <si>
    <t>IBM Research, Beijing</t>
  </si>
  <si>
    <t>China</t>
  </si>
  <si>
    <t>IBM Research, Zurich</t>
  </si>
  <si>
    <t>IBM-UK</t>
  </si>
  <si>
    <t>IBM-US</t>
  </si>
  <si>
    <t>Eurecom</t>
  </si>
  <si>
    <t>France</t>
  </si>
  <si>
    <t>Institute for Infocomm Research</t>
  </si>
  <si>
    <t>Infocomm</t>
  </si>
  <si>
    <t>Singapore</t>
  </si>
  <si>
    <t>Institute for Infocomm Research, Singapore</t>
  </si>
  <si>
    <t>Logica</t>
  </si>
  <si>
    <t>Log</t>
  </si>
  <si>
    <t>Logica, UK</t>
  </si>
  <si>
    <t>Microsoft Research</t>
  </si>
  <si>
    <t>MS</t>
  </si>
  <si>
    <t>Microsoft Research, UK</t>
  </si>
  <si>
    <t>Nokia Research Center, Palo Alto</t>
  </si>
  <si>
    <t>Nokia</t>
  </si>
  <si>
    <t>Nokia Research Center, Palo Alto, California</t>
  </si>
  <si>
    <t>PARC</t>
  </si>
  <si>
    <t>PARC, Palo Alto</t>
  </si>
  <si>
    <t>Roke</t>
  </si>
  <si>
    <t>Roke Manor Research Ltd, UK</t>
  </si>
  <si>
    <t>SEA</t>
  </si>
  <si>
    <t>Systems Engineering &amp; Assessment, UK</t>
  </si>
  <si>
    <t>SRI International</t>
  </si>
  <si>
    <t>SRI</t>
  </si>
  <si>
    <t>SRI International, California</t>
  </si>
  <si>
    <t>Sprint</t>
  </si>
  <si>
    <t>Sprint, California</t>
  </si>
  <si>
    <t>Teledyne</t>
  </si>
  <si>
    <t>Teledyne, CA</t>
  </si>
  <si>
    <t>The MITRE Corporation, USA</t>
  </si>
  <si>
    <t>MITRE</t>
  </si>
  <si>
    <t>Vipadia Ltd</t>
  </si>
  <si>
    <t>Vipadia</t>
  </si>
  <si>
    <t>Vipadia Ltd, Cambridge</t>
  </si>
  <si>
    <t>American University of Beirut</t>
  </si>
  <si>
    <t>AUB</t>
  </si>
  <si>
    <t>Lebanon</t>
  </si>
  <si>
    <t>American University of Beirut, Lebanon</t>
  </si>
  <si>
    <t>Arizona State University</t>
  </si>
  <si>
    <t>ASU</t>
  </si>
  <si>
    <t>Arizona State University, Arizona</t>
  </si>
  <si>
    <t>Bar-Ilan University, Israel</t>
  </si>
  <si>
    <t>BIU</t>
  </si>
  <si>
    <t>Israel</t>
  </si>
  <si>
    <t>Bar-Ilan University, Ramat Gan, Israel</t>
  </si>
  <si>
    <t>Beijing University of Posts and Telecommunications</t>
  </si>
  <si>
    <t>BUP&amp;T</t>
  </si>
  <si>
    <t>BUP&amp;T, Beijing, China</t>
  </si>
  <si>
    <t>Bordeaux University, LaBRI, CNRS</t>
  </si>
  <si>
    <t>Bordeaux</t>
  </si>
  <si>
    <t>Bordeaux University, France</t>
  </si>
  <si>
    <t>Boston University</t>
  </si>
  <si>
    <t>Boston</t>
  </si>
  <si>
    <t>Boston University, Massachusetts</t>
  </si>
  <si>
    <t>Carnegie Mellon University, Pennsylvania</t>
  </si>
  <si>
    <t>CNR, Italy</t>
  </si>
  <si>
    <t>CNR</t>
  </si>
  <si>
    <t>Italy</t>
  </si>
  <si>
    <t>CUNY</t>
  </si>
  <si>
    <t>The City University of New York, New York</t>
  </si>
  <si>
    <t>CWI, Amsterdam</t>
  </si>
  <si>
    <t>CWI</t>
  </si>
  <si>
    <t>Amsterdam</t>
  </si>
  <si>
    <t>Centrum Wiskunde &amp; Informatica, Netherlands</t>
  </si>
  <si>
    <t>California Institute of Technology</t>
  </si>
  <si>
    <t>CIT</t>
  </si>
  <si>
    <t>California Institute of Technology, California</t>
  </si>
  <si>
    <t>CardiffUni</t>
  </si>
  <si>
    <t>Chinese Academy of Sciences, China</t>
  </si>
  <si>
    <t>CAS</t>
  </si>
  <si>
    <t>Chinese Academy of Sciences</t>
  </si>
  <si>
    <t>City University, London</t>
  </si>
  <si>
    <t>City</t>
  </si>
  <si>
    <t>City University, UK</t>
  </si>
  <si>
    <t>Columbia</t>
  </si>
  <si>
    <t>Columbia, NYC</t>
  </si>
  <si>
    <t>Cornell</t>
  </si>
  <si>
    <t>Cornell University, Ithica</t>
  </si>
  <si>
    <t>Cranfield</t>
  </si>
  <si>
    <t>Cranfield, UK</t>
  </si>
  <si>
    <t>EPFL, Switzerland</t>
  </si>
  <si>
    <t>EPFL</t>
  </si>
  <si>
    <t>Edinburgh University</t>
  </si>
  <si>
    <t>Edinburgh</t>
  </si>
  <si>
    <t>Edinburgh Uni, UK</t>
  </si>
  <si>
    <t>Federal University of Santa Catarina</t>
  </si>
  <si>
    <t>FUSC</t>
  </si>
  <si>
    <t>Brazil</t>
  </si>
  <si>
    <t>Federal University of Santa Catarina, Brazil</t>
  </si>
  <si>
    <t>Florida international University</t>
  </si>
  <si>
    <t>Florida</t>
  </si>
  <si>
    <t>Florida International University, Florida</t>
  </si>
  <si>
    <t>George Washington University</t>
  </si>
  <si>
    <t>GWU</t>
  </si>
  <si>
    <t>Georgia Institute of Technology</t>
  </si>
  <si>
    <t>Georgia Institute of Technology, Georgia</t>
  </si>
  <si>
    <t>Guandong University of Foreign Studies</t>
  </si>
  <si>
    <t>Guandong</t>
  </si>
  <si>
    <t>Guandong University</t>
  </si>
  <si>
    <t>Hainan University, China</t>
  </si>
  <si>
    <t>Hainan</t>
  </si>
  <si>
    <t>Hainan, China</t>
  </si>
  <si>
    <t>Heinrich Heine University</t>
  </si>
  <si>
    <t>Heine</t>
  </si>
  <si>
    <t>Heinrich Heine University, Germany</t>
  </si>
  <si>
    <t>Hongik University, Korea</t>
  </si>
  <si>
    <t>Hongik</t>
  </si>
  <si>
    <t>South Korea</t>
  </si>
  <si>
    <t>IIIA-CSIC, Bellaterra, Spain</t>
  </si>
  <si>
    <t>IIIA</t>
  </si>
  <si>
    <t>Spain</t>
  </si>
  <si>
    <t>Bellaterra, Spain</t>
  </si>
  <si>
    <t>IMDEA Software Institute</t>
  </si>
  <si>
    <t>IMDEA</t>
  </si>
  <si>
    <t>IMDEA Software Institute, Spain</t>
  </si>
  <si>
    <t>INRIA, Paris-Rocquencourt Center</t>
  </si>
  <si>
    <t>INRIA</t>
  </si>
  <si>
    <t>INRIA, Paris-Rocquencourt Center, France</t>
  </si>
  <si>
    <t>IST Austria</t>
  </si>
  <si>
    <t>IST</t>
  </si>
  <si>
    <t>Austria</t>
  </si>
  <si>
    <t>IST, Austria</t>
  </si>
  <si>
    <t>Imperial</t>
  </si>
  <si>
    <t>Imperial College London, UK</t>
  </si>
  <si>
    <t>Institute of Bioinformatics and Translational Research, UMIT, Austria</t>
  </si>
  <si>
    <t>UMIT</t>
  </si>
  <si>
    <t>UMIT, Austria</t>
  </si>
  <si>
    <t>IowaStateUni</t>
  </si>
  <si>
    <t>Iowa</t>
  </si>
  <si>
    <t>Iowa State University, Iowa</t>
  </si>
  <si>
    <t>Istituto Superiore Mario Boella Torino</t>
  </si>
  <si>
    <t>ISMBT</t>
  </si>
  <si>
    <t>Istituto Superiore Mario Boella Torino, Italy</t>
  </si>
  <si>
    <t>Jilin University, China</t>
  </si>
  <si>
    <t>Jilin</t>
  </si>
  <si>
    <t>Jilin, China</t>
  </si>
  <si>
    <t>KSU</t>
  </si>
  <si>
    <t>Kansas State University, Kansas</t>
  </si>
  <si>
    <t>Karlsruhe Institute of Technology</t>
  </si>
  <si>
    <t>Karlsruhe</t>
  </si>
  <si>
    <t>Karlsruhe Institute of Technology, Germany</t>
  </si>
  <si>
    <t>Karlstad University, Sweden</t>
  </si>
  <si>
    <t>Karlstad</t>
  </si>
  <si>
    <t>Sweden</t>
  </si>
  <si>
    <t>Kings College London</t>
  </si>
  <si>
    <t>KCL</t>
  </si>
  <si>
    <t>Kings College London, UK</t>
  </si>
  <si>
    <t>Leipzig University</t>
  </si>
  <si>
    <t>Leipzig</t>
  </si>
  <si>
    <t>Leipzig University, Germany</t>
  </si>
  <si>
    <t>Los Alamos National Laboratories</t>
  </si>
  <si>
    <t>Los Alamos National Laboratories, New Mexico</t>
  </si>
  <si>
    <t>Massachusetts Institute of Technology</t>
  </si>
  <si>
    <t>MIT</t>
  </si>
  <si>
    <t>Massachusetts Institute of Technology, Massachusetts</t>
  </si>
  <si>
    <t>National Institute of Informatics, Japan</t>
  </si>
  <si>
    <t>NII</t>
  </si>
  <si>
    <t>Japan</t>
  </si>
  <si>
    <t>New York University</t>
  </si>
  <si>
    <t>NYU</t>
  </si>
  <si>
    <t>New York University, New York</t>
  </si>
  <si>
    <t>North Carolina State University</t>
  </si>
  <si>
    <t>NCSU</t>
  </si>
  <si>
    <t>North Carolina State University, North Carolina</t>
  </si>
  <si>
    <t>Ohio State University</t>
  </si>
  <si>
    <t>OSU</t>
  </si>
  <si>
    <t>Ohio State University, US</t>
  </si>
  <si>
    <t>Open University</t>
  </si>
  <si>
    <t>OU</t>
  </si>
  <si>
    <t>Open University, Milton Keynes</t>
  </si>
  <si>
    <t>Osaka University, Japan</t>
  </si>
  <si>
    <t>Osaka</t>
  </si>
  <si>
    <t>Oxford University</t>
  </si>
  <si>
    <t>Oxford</t>
  </si>
  <si>
    <t>Oxford University, UK</t>
  </si>
  <si>
    <t>Ozyegin University, Turkey</t>
  </si>
  <si>
    <t>Ozyegin</t>
  </si>
  <si>
    <t>Turkey</t>
  </si>
  <si>
    <t>Ozyegin University</t>
  </si>
  <si>
    <t>PSU</t>
  </si>
  <si>
    <t>Pennsylvania State University, Pennsylvania</t>
  </si>
  <si>
    <t>Pepperdine University, Malibu</t>
  </si>
  <si>
    <t>Pepperdine</t>
  </si>
  <si>
    <t>Princeton</t>
  </si>
  <si>
    <t>Princeton University, New Jersey</t>
  </si>
  <si>
    <t>Queen Mary College, London</t>
  </si>
  <si>
    <t>QMC</t>
  </si>
  <si>
    <t>Queen Mary College, London, UK</t>
  </si>
  <si>
    <t>Queens University Belfast</t>
  </si>
  <si>
    <t>QUB</t>
  </si>
  <si>
    <t>Queens University Belfast, Northern Ireland</t>
  </si>
  <si>
    <t>RHUL</t>
  </si>
  <si>
    <t>Royal Holloway University of London, UK</t>
  </si>
  <si>
    <t>Rensselaer Polytechnic Institute, New York</t>
  </si>
  <si>
    <t>Bochum</t>
  </si>
  <si>
    <t>Rutgers University, USA</t>
  </si>
  <si>
    <t>Rutgers</t>
  </si>
  <si>
    <t>Rutgers University, New Jersey</t>
  </si>
  <si>
    <t>Sangmyung University, Korea</t>
  </si>
  <si>
    <t>Sangmyung</t>
  </si>
  <si>
    <t>Sapienza University of Rome, Italy</t>
  </si>
  <si>
    <t>Sapienza</t>
  </si>
  <si>
    <t>University of Rome, Italy</t>
  </si>
  <si>
    <t>Singapore Management University</t>
  </si>
  <si>
    <t>SMU</t>
  </si>
  <si>
    <t>Singapore Management University, Singapore</t>
  </si>
  <si>
    <t>Southwest Jiaotong University</t>
  </si>
  <si>
    <t>Jiatong</t>
  </si>
  <si>
    <t>Southwest Jiaotong University, Chengdu</t>
  </si>
  <si>
    <t>Stanford University</t>
  </si>
  <si>
    <t>Stanford</t>
  </si>
  <si>
    <t>Stanford University, California</t>
  </si>
  <si>
    <t>Stevens Institue of Technology</t>
  </si>
  <si>
    <t>Stevens</t>
  </si>
  <si>
    <t>Stevens Institute of Technology</t>
  </si>
  <si>
    <t>Suffolk University, Boston MA</t>
  </si>
  <si>
    <t>Suffolk</t>
  </si>
  <si>
    <t>Suffolk University, Boston</t>
  </si>
  <si>
    <t>Technical University of Darmstadt, Germany</t>
  </si>
  <si>
    <t>TUD</t>
  </si>
  <si>
    <t>Darmstadt, Germany</t>
  </si>
  <si>
    <t>Tsinghua University, Beijing</t>
  </si>
  <si>
    <t>Tsinghua</t>
  </si>
  <si>
    <t>Tsinghua University, Beijing, China</t>
  </si>
  <si>
    <t>UCB (Berkeley)</t>
  </si>
  <si>
    <t>UCB</t>
  </si>
  <si>
    <t>UC Berkeley, California</t>
  </si>
  <si>
    <t>UCLA</t>
  </si>
  <si>
    <t>University of California, Los Angeles, California</t>
  </si>
  <si>
    <t>UCL</t>
  </si>
  <si>
    <t>University College London, UK</t>
  </si>
  <si>
    <t>UCSD</t>
  </si>
  <si>
    <t>UCSD, US</t>
  </si>
  <si>
    <t>UMD</t>
  </si>
  <si>
    <t>University of Maryland, Maryland</t>
  </si>
  <si>
    <t>UMass</t>
  </si>
  <si>
    <t>University of Massachusetts Amherst, Massachusetts</t>
  </si>
  <si>
    <t>UniAberdeen</t>
  </si>
  <si>
    <t>Aberdeen</t>
  </si>
  <si>
    <t>University of Aberdeen, UK</t>
  </si>
  <si>
    <t>Cambridge</t>
  </si>
  <si>
    <t>University of Cambridge, UK</t>
  </si>
  <si>
    <t>UniGlasgow</t>
  </si>
  <si>
    <t>Glasgow</t>
  </si>
  <si>
    <t>Glasgow Uni, UK</t>
  </si>
  <si>
    <t>UniIllinois</t>
  </si>
  <si>
    <t>University of Illinois at Urbana-Champaign, Illinois</t>
  </si>
  <si>
    <t>UniSoton</t>
  </si>
  <si>
    <t>Soton</t>
  </si>
  <si>
    <t>University of Southampton, UK</t>
  </si>
  <si>
    <t>UniYork</t>
  </si>
  <si>
    <t>York</t>
  </si>
  <si>
    <t>University of York, UK</t>
  </si>
  <si>
    <t>Universidade Federal de Minas Gerais</t>
  </si>
  <si>
    <t>UFMG</t>
  </si>
  <si>
    <t>Universidade Federal de Minas Gerais, Brazil</t>
  </si>
  <si>
    <t>Universidade de Lisboa</t>
  </si>
  <si>
    <t>Lisboa</t>
  </si>
  <si>
    <t>Portugal</t>
  </si>
  <si>
    <t>Universidade de Lisboa, Portugal</t>
  </si>
  <si>
    <t>Universidade de Minho</t>
  </si>
  <si>
    <t>Minho</t>
  </si>
  <si>
    <t>Universidade de Minho, Portugal</t>
  </si>
  <si>
    <t>Universita degli Studi di Napoli Federico II</t>
  </si>
  <si>
    <t>Napoli</t>
  </si>
  <si>
    <t>Universita degli Studi di Napoli Federico II, Italy</t>
  </si>
  <si>
    <t>Universitat Politecnica de Catalunya</t>
  </si>
  <si>
    <t>Catalunya</t>
  </si>
  <si>
    <t>Universitat Politecnica de Catalunya, Spain</t>
  </si>
  <si>
    <t>Universitat Pompeu Fabra</t>
  </si>
  <si>
    <t>UPF</t>
  </si>
  <si>
    <t>Universitat Pompeu Fabra, Spain</t>
  </si>
  <si>
    <t>Universite catholique de Louvain, Belgium</t>
  </si>
  <si>
    <t>Louvain</t>
  </si>
  <si>
    <t>Belgium</t>
  </si>
  <si>
    <t>University of Alabama</t>
  </si>
  <si>
    <t>Alabama</t>
  </si>
  <si>
    <t>University of Alabama, Alabama</t>
  </si>
  <si>
    <t>University of Alberta, Canada</t>
  </si>
  <si>
    <t>Alberta</t>
  </si>
  <si>
    <t>Canada</t>
  </si>
  <si>
    <t>University of Arizona</t>
  </si>
  <si>
    <t>Arizona</t>
  </si>
  <si>
    <t>University of Auckland, New Zealand</t>
  </si>
  <si>
    <t>Auckland</t>
  </si>
  <si>
    <t>New Zealand</t>
  </si>
  <si>
    <t>University of Bologna</t>
  </si>
  <si>
    <t>Bologna</t>
  </si>
  <si>
    <t>University of Bologna, Italy</t>
  </si>
  <si>
    <t>University of Calgary</t>
  </si>
  <si>
    <t>Calgary</t>
  </si>
  <si>
    <t>University of Calgary, Canada</t>
  </si>
  <si>
    <t>University of California Santa Barbara</t>
  </si>
  <si>
    <t>UCSB</t>
  </si>
  <si>
    <t>University of California Santa Barbara, California</t>
  </si>
  <si>
    <t>University of Catania</t>
  </si>
  <si>
    <t>Catania</t>
  </si>
  <si>
    <t>University of Catania, Italy</t>
  </si>
  <si>
    <t>University of Central Florida</t>
  </si>
  <si>
    <t>UCF</t>
  </si>
  <si>
    <t>University of Central Florida, Florida</t>
  </si>
  <si>
    <t>University of Cyprus</t>
  </si>
  <si>
    <t>Cyprus</t>
  </si>
  <si>
    <t>University of Erlangen</t>
  </si>
  <si>
    <t>Erlangen</t>
  </si>
  <si>
    <t>University of Erlangen, Germany</t>
  </si>
  <si>
    <t>University of Florence, Italy</t>
  </si>
  <si>
    <t>Florence</t>
  </si>
  <si>
    <t>University of Guelph</t>
  </si>
  <si>
    <t>Guelph</t>
  </si>
  <si>
    <t>University of Guelph, Canada</t>
  </si>
  <si>
    <t>University of Haifa</t>
  </si>
  <si>
    <t>Haifa</t>
  </si>
  <si>
    <t>University of Haifa, Israel</t>
  </si>
  <si>
    <t>University of Hong Kong</t>
  </si>
  <si>
    <t>UHK</t>
  </si>
  <si>
    <t>University of Hong Kong, China</t>
  </si>
  <si>
    <t>University of Illinois at Chicago</t>
  </si>
  <si>
    <t>Illinois</t>
  </si>
  <si>
    <t>University of Illinois at Chicago, Illinois</t>
  </si>
  <si>
    <t>University of Kansas</t>
  </si>
  <si>
    <t>Kansas</t>
  </si>
  <si>
    <t>University of Kansas, Kansas</t>
  </si>
  <si>
    <t>University of Karlsruhe</t>
  </si>
  <si>
    <t>University of Karlsruhe, Germany</t>
  </si>
  <si>
    <t>University of Kent</t>
  </si>
  <si>
    <t>Kent</t>
  </si>
  <si>
    <t>University of Kent, UK</t>
  </si>
  <si>
    <t>University of Liverpool</t>
  </si>
  <si>
    <t>Liverpool</t>
  </si>
  <si>
    <t>University of Liverpool, UK</t>
  </si>
  <si>
    <t>University of Lugano, Switzerland</t>
  </si>
  <si>
    <t>Lugano</t>
  </si>
  <si>
    <t>University of Luxembourg</t>
  </si>
  <si>
    <t>Luxembourg</t>
  </si>
  <si>
    <t>University of Luxembourg, Luxembourg</t>
  </si>
  <si>
    <t>University of Memphis</t>
  </si>
  <si>
    <t>Memphis</t>
  </si>
  <si>
    <t>University of Memphis, Tennessee</t>
  </si>
  <si>
    <t>University of Michigan</t>
  </si>
  <si>
    <t>Michigan</t>
  </si>
  <si>
    <t>University of Michigan, US</t>
  </si>
  <si>
    <t>University of Minnesota</t>
  </si>
  <si>
    <t>Minnesota</t>
  </si>
  <si>
    <t>University of Minnesota, Minnesota</t>
  </si>
  <si>
    <t>University of Namur, Belgium</t>
  </si>
  <si>
    <t>Namur</t>
  </si>
  <si>
    <t>University of North Carolina</t>
  </si>
  <si>
    <t>UNC</t>
  </si>
  <si>
    <t>University of North Carolina, North Carolina</t>
  </si>
  <si>
    <t>University of Notre Dame</t>
  </si>
  <si>
    <t>University of Notre Dame, Indiana</t>
  </si>
  <si>
    <t>University of Padova, Italy</t>
  </si>
  <si>
    <t>Padova</t>
  </si>
  <si>
    <t>University of Pisa</t>
  </si>
  <si>
    <t>Pisa</t>
  </si>
  <si>
    <t>University of Pisa, Italy</t>
  </si>
  <si>
    <t>University of Pittsburgh</t>
  </si>
  <si>
    <t>Pittsburgh</t>
  </si>
  <si>
    <t>University of Pittsburgh, Pennsylvania</t>
  </si>
  <si>
    <t>University of Southern California</t>
  </si>
  <si>
    <t>USC</t>
  </si>
  <si>
    <t>University of Southern California, California</t>
  </si>
  <si>
    <t>University of Texas</t>
  </si>
  <si>
    <t>Texas</t>
  </si>
  <si>
    <t>University of Texas, Texas</t>
  </si>
  <si>
    <t>University of Toronto</t>
  </si>
  <si>
    <t>Toronto</t>
  </si>
  <si>
    <t>University of Toronto, Canada</t>
  </si>
  <si>
    <t>USMB</t>
  </si>
  <si>
    <t>Firenze</t>
  </si>
  <si>
    <t>Uppsala University, Sweden</t>
  </si>
  <si>
    <t>Uppsala</t>
  </si>
  <si>
    <t>Virginia Commonwealth University</t>
  </si>
  <si>
    <t>VCU</t>
  </si>
  <si>
    <t>Virginia Commonwealth University, Virginia</t>
  </si>
  <si>
    <t>Yonsei University, Korea</t>
  </si>
  <si>
    <t>Yonsei</t>
  </si>
  <si>
    <t>Air Force Research Laboratory</t>
  </si>
  <si>
    <t>United States Army, Communications-Electronics Research, Development and Engineering Center</t>
  </si>
  <si>
    <t>US Army CERDEC</t>
  </si>
  <si>
    <t>Defence Science and Technology Laboratory</t>
  </si>
  <si>
    <t>Ministry of Defence</t>
  </si>
  <si>
    <t>United States Army</t>
  </si>
  <si>
    <t>US Army</t>
  </si>
  <si>
    <t>Agent Dynamics Inc</t>
  </si>
  <si>
    <t>Agent Dynamics</t>
  </si>
  <si>
    <t>Advanced Research Associates</t>
  </si>
  <si>
    <t>AT&amp;T Labs, Research</t>
  </si>
  <si>
    <t>BBN Technologies</t>
  </si>
  <si>
    <t>Cisco Systems</t>
  </si>
  <si>
    <t>Calspan University of Buffalo Research Center</t>
  </si>
  <si>
    <t>DoCoMo Labs</t>
  </si>
  <si>
    <t>Fiksu Inc</t>
  </si>
  <si>
    <t>Heavy Iron Studios</t>
  </si>
  <si>
    <t>IBM India</t>
  </si>
  <si>
    <t>IBM Bangalore</t>
  </si>
  <si>
    <t>IBM Beijing</t>
  </si>
  <si>
    <t>IBM Zurich</t>
  </si>
  <si>
    <t>Nokia Research Center</t>
  </si>
  <si>
    <t>Palo Alto Research Center</t>
  </si>
  <si>
    <t>Roke Manor Research Ltd</t>
  </si>
  <si>
    <t>Systems Engineering &amp; Assessment</t>
  </si>
  <si>
    <t>Sprint Advanced Technology Labs</t>
  </si>
  <si>
    <t>Teledyne Scientific Coh</t>
  </si>
  <si>
    <t>The MITRE Corporation</t>
  </si>
  <si>
    <t>Bar-Ilan University</t>
  </si>
  <si>
    <t>Carnegie Mellon University</t>
  </si>
  <si>
    <t>Consiglio Nazionale delle Ricerche</t>
  </si>
  <si>
    <t>Columbia University</t>
  </si>
  <si>
    <t>Cornell University</t>
  </si>
  <si>
    <t>Cranfield University</t>
  </si>
  <si>
    <t>The City University of New York</t>
  </si>
  <si>
    <t>Centrum Wiskunde &amp; Informatica</t>
  </si>
  <si>
    <t>Georgia Tech</t>
  </si>
  <si>
    <t>Hainan University</t>
  </si>
  <si>
    <t>IIIA-CSIC, Bellaterra</t>
  </si>
  <si>
    <t>Imperial College London</t>
  </si>
  <si>
    <t>Institute of Bioinformatics and Translational Research, UMIT</t>
  </si>
  <si>
    <t>Iowa State University</t>
  </si>
  <si>
    <t>Jilin University</t>
  </si>
  <si>
    <t>Kansas State University</t>
  </si>
  <si>
    <t>Los Alamos</t>
  </si>
  <si>
    <t>National Institute of Informatics</t>
  </si>
  <si>
    <t>Osaka University</t>
  </si>
  <si>
    <t>Pennsylvania State University</t>
  </si>
  <si>
    <t>Pepperdine University</t>
  </si>
  <si>
    <t>Queen Mary College</t>
  </si>
  <si>
    <t>Royal Holloway, University of London</t>
  </si>
  <si>
    <t>Rensselaer Polytechnic Institute</t>
  </si>
  <si>
    <t>Rutgers University</t>
  </si>
  <si>
    <t>Sangmyung University</t>
  </si>
  <si>
    <t>Sapienza University of Rome</t>
  </si>
  <si>
    <t>Singapore Management Univerity</t>
  </si>
  <si>
    <t>Technical University of Darmstadt</t>
  </si>
  <si>
    <t>Tsinghua University</t>
  </si>
  <si>
    <t>University of California Berkeley</t>
  </si>
  <si>
    <t>University College London</t>
  </si>
  <si>
    <t>University of California, Los Angeles</t>
  </si>
  <si>
    <t>University of California, San Diego</t>
  </si>
  <si>
    <t>University of Massachusetts Amherst</t>
  </si>
  <si>
    <t>University of Maryland</t>
  </si>
  <si>
    <t>University of Aberdeen</t>
  </si>
  <si>
    <t>University of Cambridge</t>
  </si>
  <si>
    <t>Glasgow University</t>
  </si>
  <si>
    <t>University of Illinois at Urbana-Champaign</t>
  </si>
  <si>
    <t>Uni Illinois</t>
  </si>
  <si>
    <t>University of Southampton</t>
  </si>
  <si>
    <t>Universite catholique de Louvain</t>
  </si>
  <si>
    <t>University of Alberta</t>
  </si>
  <si>
    <t>University of Auckland</t>
  </si>
  <si>
    <t>University of Florence</t>
  </si>
  <si>
    <t>University of Namur</t>
  </si>
  <si>
    <t>Notre Dame</t>
  </si>
  <si>
    <t>University of Padova</t>
  </si>
  <si>
    <t>University of York</t>
  </si>
  <si>
    <t>Uppsala University</t>
  </si>
  <si>
    <t>Yonsei University</t>
  </si>
  <si>
    <t>Alexandria, Virginia</t>
  </si>
  <si>
    <t>Anchorage, Alaska</t>
  </si>
  <si>
    <t>Askeri Museum, Istanbul</t>
  </si>
  <si>
    <t>Athens, Greece</t>
  </si>
  <si>
    <t>Atlanta, Georgia</t>
  </si>
  <si>
    <t>Bangalore, India</t>
  </si>
  <si>
    <t>Barcelona, Spain</t>
  </si>
  <si>
    <t>Beijing International Convention Centre, Beijing</t>
  </si>
  <si>
    <t>Beijing, China</t>
  </si>
  <si>
    <t>Berliner Congress Centre, Berlin</t>
  </si>
  <si>
    <t>Boston World Trade Center, Massachusetts</t>
  </si>
  <si>
    <t>Boston, Massachusetts</t>
  </si>
  <si>
    <t>Budapest, Hungary</t>
  </si>
  <si>
    <t>Buenos Aires, Argentina</t>
  </si>
  <si>
    <t>Cambridge University, UK</t>
  </si>
  <si>
    <t>Cannes, France</t>
  </si>
  <si>
    <t>Cape Town, South Africa</t>
  </si>
  <si>
    <t>Cardiff Marriott, UK</t>
  </si>
  <si>
    <t>Chicago, Illinois</t>
  </si>
  <si>
    <t>Chicago, US</t>
  </si>
  <si>
    <t>City University London, UK</t>
  </si>
  <si>
    <t>Cologne, Germany</t>
  </si>
  <si>
    <t>Copenhagen, Denmark</t>
  </si>
  <si>
    <t>Dallas, USA</t>
  </si>
  <si>
    <t>Doha, Qatar</t>
  </si>
  <si>
    <t>ECC, Budapest</t>
  </si>
  <si>
    <t>Edinburgh, UK</t>
  </si>
  <si>
    <t>Estoril, Portugal</t>
  </si>
  <si>
    <t>Fairfax, Virginia</t>
  </si>
  <si>
    <t>Galveston, Texas</t>
  </si>
  <si>
    <t>Gaylord Palms Resort &amp; Convention Center, Orlando, Florida</t>
  </si>
  <si>
    <t>George Mason University</t>
  </si>
  <si>
    <t>Georgia</t>
  </si>
  <si>
    <t>Grand Hyatt Hotel, Washington DC</t>
  </si>
  <si>
    <t>HangZhou, China</t>
  </si>
  <si>
    <t>Hawaii Convention Center</t>
  </si>
  <si>
    <t>Heidelberg, Germany</t>
  </si>
  <si>
    <t>Hilton Hawaiian Village, Honolulu</t>
  </si>
  <si>
    <t>Hong Kong, China</t>
  </si>
  <si>
    <t>Honolulu, Hawaii</t>
  </si>
  <si>
    <t>Houston, Texas</t>
  </si>
  <si>
    <t>Hyderabad, India</t>
  </si>
  <si>
    <t>IBM Palisades Conference Center, US</t>
  </si>
  <si>
    <t>Imperial College, London</t>
  </si>
  <si>
    <t>Istanbul Congress Center</t>
  </si>
  <si>
    <t>Istanbul, Turkey</t>
  </si>
  <si>
    <t>Las Vegas, Nevada</t>
  </si>
  <si>
    <t>London, UK</t>
  </si>
  <si>
    <t>Lugano, Switzerland</t>
  </si>
  <si>
    <t>Maastricht, Netherlands</t>
  </si>
  <si>
    <t>Macau, China</t>
  </si>
  <si>
    <t>Mannheim, Germany</t>
  </si>
  <si>
    <t>Marina Del Ray, California</t>
  </si>
  <si>
    <t>Marriot Wardman Park Hotel, Washington DC</t>
  </si>
  <si>
    <t>Maui, Hawaii</t>
  </si>
  <si>
    <t>Miami, Florida</t>
  </si>
  <si>
    <t>Monaco, France</t>
  </si>
  <si>
    <t>Montreal, Canada</t>
  </si>
  <si>
    <t>Montreal, Quebec</t>
  </si>
  <si>
    <t>New Orleans, Louisiana</t>
  </si>
  <si>
    <t>New York, New York</t>
  </si>
  <si>
    <t>Niagara Falls, Canada</t>
  </si>
  <si>
    <t>Orlando World Center Marriot Resort, Florida</t>
  </si>
  <si>
    <t>Orlando, Florida</t>
  </si>
  <si>
    <t>Palisades, New York</t>
  </si>
  <si>
    <t>Paris, France</t>
  </si>
  <si>
    <t>Pensacola, Florida</t>
  </si>
  <si>
    <t>Phoenix, Arizona</t>
  </si>
  <si>
    <t>Pisa, Italy</t>
  </si>
  <si>
    <t>Rio de Janeiro, Brazil</t>
  </si>
  <si>
    <t>Saint Paul, Minnesota</t>
  </si>
  <si>
    <t>San Diego Convention Center, California</t>
  </si>
  <si>
    <t>San Diego, California</t>
  </si>
  <si>
    <t>San Francisco, California</t>
  </si>
  <si>
    <t>San Jose Convention Center, California</t>
  </si>
  <si>
    <t>Santa Barbara, California</t>
  </si>
  <si>
    <t>Santorini Island, Greece</t>
  </si>
  <si>
    <t>Seattle, US</t>
  </si>
  <si>
    <t>Seattle, Washington</t>
  </si>
  <si>
    <t>Seoul, Korea</t>
  </si>
  <si>
    <t>Shanghai, China</t>
  </si>
  <si>
    <t>Sheraton Center Toronto Hotel</t>
  </si>
  <si>
    <t>Sheraton Hong Kong Hotel and Towers, Hong Kong</t>
  </si>
  <si>
    <t>Southampton, UK</t>
  </si>
  <si>
    <t>Swissotel, Singapore</t>
  </si>
  <si>
    <t>Sydney, Australia</t>
  </si>
  <si>
    <t>Taipei International Convention Center</t>
  </si>
  <si>
    <t>Tokyo, Japan</t>
  </si>
  <si>
    <t>Toronto, Canada</t>
  </si>
  <si>
    <t>Turin, Italy</t>
  </si>
  <si>
    <t>University of Wales Institute, Wales</t>
  </si>
  <si>
    <t>Valencia, Spain</t>
  </si>
  <si>
    <t>Vancouver, Canada</t>
  </si>
  <si>
    <t>Waltham, Massachusetts</t>
  </si>
  <si>
    <t>Washington, DC</t>
  </si>
  <si>
    <t>White Plains, New York</t>
  </si>
  <si>
    <t>Oct-2006</t>
  </si>
  <si>
    <t>Jan-2007</t>
  </si>
  <si>
    <t>Mar-2007</t>
  </si>
  <si>
    <t>Apr-2007</t>
  </si>
  <si>
    <t>May-2007</t>
  </si>
  <si>
    <t>Jun-2007</t>
  </si>
  <si>
    <t>Aug-2007</t>
  </si>
  <si>
    <t>Sep-2007</t>
  </si>
  <si>
    <t>Oct-2007</t>
  </si>
  <si>
    <t>Nov-2007</t>
  </si>
  <si>
    <t>Dec-2007</t>
  </si>
  <si>
    <t>Feb-2007</t>
  </si>
  <si>
    <t>Jul-2007</t>
  </si>
  <si>
    <t>Jan-2008</t>
  </si>
  <si>
    <t>Feb-2008</t>
  </si>
  <si>
    <t>Mar-2008</t>
  </si>
  <si>
    <t>Apr-2008</t>
  </si>
  <si>
    <t>May-2008</t>
  </si>
  <si>
    <t>Jun-2008</t>
  </si>
  <si>
    <t>Jul-2008</t>
  </si>
  <si>
    <t>Aug-2008</t>
  </si>
  <si>
    <t>Sep-2008</t>
  </si>
  <si>
    <t>Oct-2008</t>
  </si>
  <si>
    <t>Nov-2008</t>
  </si>
  <si>
    <t>Dec-2008</t>
  </si>
  <si>
    <t>Jan-2009</t>
  </si>
  <si>
    <t>Mar-2009</t>
  </si>
  <si>
    <t>Apr-2009</t>
  </si>
  <si>
    <t>May-2009</t>
  </si>
  <si>
    <t>Jun-2009</t>
  </si>
  <si>
    <t>Jul-2009</t>
  </si>
  <si>
    <t>Aug-2009</t>
  </si>
  <si>
    <t>Sep-2009</t>
  </si>
  <si>
    <t>Oct-2009</t>
  </si>
  <si>
    <t>Nov-2009</t>
  </si>
  <si>
    <t>Dec-2009</t>
  </si>
  <si>
    <t>Jan-2010</t>
  </si>
  <si>
    <t>Feb-2010</t>
  </si>
  <si>
    <t>Mar-2010</t>
  </si>
  <si>
    <t>Apr-2010</t>
  </si>
  <si>
    <t>May-2010</t>
  </si>
  <si>
    <t>Jun-2010</t>
  </si>
  <si>
    <t>Jul-2010</t>
  </si>
  <si>
    <t>Aug-2010</t>
  </si>
  <si>
    <t>Sep-2010</t>
  </si>
  <si>
    <t>Oct-2010</t>
  </si>
  <si>
    <t>Nov-2010</t>
  </si>
  <si>
    <t>Dec-2010</t>
  </si>
  <si>
    <t>Jan-2011</t>
  </si>
  <si>
    <t>Feb-2011</t>
  </si>
  <si>
    <t>Mar-2011</t>
  </si>
  <si>
    <t>Apr-2011</t>
  </si>
  <si>
    <t>May-2011</t>
  </si>
  <si>
    <t>Jun-2011</t>
  </si>
  <si>
    <t>Jul-2011</t>
  </si>
  <si>
    <t>Aug-2011</t>
  </si>
  <si>
    <t>Sep-2011</t>
  </si>
  <si>
    <t>Oct-2011</t>
  </si>
  <si>
    <t>Nov-2011</t>
  </si>
  <si>
    <t>Dec-2011</t>
  </si>
  <si>
    <t>Jan-2012</t>
  </si>
  <si>
    <t>Feb-2012</t>
  </si>
  <si>
    <t>Mar-2012</t>
  </si>
  <si>
    <t>May-2012</t>
  </si>
  <si>
    <t>Jun-2012</t>
  </si>
  <si>
    <t>Jul-2012</t>
  </si>
  <si>
    <t>Aug-2012</t>
  </si>
  <si>
    <t>Oct-2012</t>
  </si>
  <si>
    <t>Nov-2012</t>
  </si>
  <si>
    <t>Dec-2012</t>
  </si>
  <si>
    <t>Jan-2013</t>
  </si>
  <si>
    <t>Feb-2013</t>
  </si>
  <si>
    <t>Mar-2013</t>
  </si>
  <si>
    <t>Apr-2013</t>
  </si>
  <si>
    <t>May-2013</t>
  </si>
  <si>
    <t>Jun-2013</t>
  </si>
  <si>
    <t>Jul-2013</t>
  </si>
  <si>
    <t>Aug-2013</t>
  </si>
  <si>
    <t>Sep-2013</t>
  </si>
  <si>
    <t>Nov-2013</t>
  </si>
  <si>
    <t>Dec-2013</t>
  </si>
  <si>
    <t>Feb-2014</t>
  </si>
  <si>
    <t>Mar-2014</t>
  </si>
  <si>
    <t>Apr-2014</t>
  </si>
  <si>
    <t>May-2014</t>
  </si>
  <si>
    <t>Jun-2014</t>
  </si>
  <si>
    <t>Aug-2014</t>
  </si>
  <si>
    <t>Sep-2014</t>
  </si>
  <si>
    <t>Oct-2014</t>
  </si>
  <si>
    <t>Nov-2014</t>
  </si>
  <si>
    <t>Dec-2014</t>
  </si>
  <si>
    <t>Jan-2015</t>
  </si>
  <si>
    <t>Feb-2015</t>
  </si>
  <si>
    <t>Mar-2015</t>
  </si>
  <si>
    <t>Apr-2015</t>
  </si>
  <si>
    <t>May-2015</t>
  </si>
  <si>
    <t>Jun-2015</t>
  </si>
  <si>
    <t>Jul-2015</t>
  </si>
  <si>
    <t>Aug-2015</t>
  </si>
  <si>
    <t>Oct-2015</t>
  </si>
  <si>
    <t>Nov-2015</t>
  </si>
  <si>
    <t>Dec-2015</t>
  </si>
  <si>
    <t>Jan-2016</t>
  </si>
  <si>
    <t>Feb-2016</t>
  </si>
  <si>
    <t>Mar-2016</t>
  </si>
  <si>
    <t>Apr-2016</t>
  </si>
  <si>
    <t>May-2016</t>
  </si>
  <si>
    <t>Jun-2016</t>
  </si>
  <si>
    <t>Jul-2016</t>
  </si>
  <si>
    <t>Aug-2016</t>
  </si>
  <si>
    <t>Sep-2016</t>
  </si>
  <si>
    <t>Oct-2016</t>
  </si>
  <si>
    <t>Nov-2016</t>
  </si>
  <si>
    <t>Dec-2016</t>
  </si>
  <si>
    <t>julie_skipper</t>
  </si>
  <si>
    <t>Julie</t>
  </si>
  <si>
    <t>Skipper</t>
  </si>
  <si>
    <t>ben_simpkins</t>
  </si>
  <si>
    <t>Benjamin</t>
  </si>
  <si>
    <t>Simpkins</t>
  </si>
  <si>
    <t>louise_rasmussen</t>
  </si>
  <si>
    <t>Louise</t>
  </si>
  <si>
    <t>Rasmussen</t>
  </si>
  <si>
    <t>shane_mueller</t>
  </si>
  <si>
    <t>Shane</t>
  </si>
  <si>
    <t>Mueller</t>
  </si>
  <si>
    <t>winston_sieck</t>
  </si>
  <si>
    <t>Winston</t>
  </si>
  <si>
    <t>Sieck</t>
  </si>
  <si>
    <t>Ananthram</t>
  </si>
  <si>
    <t>Swami</t>
  </si>
  <si>
    <t>andrew_toth</t>
  </si>
  <si>
    <t>Andrew</t>
  </si>
  <si>
    <t>Toth</t>
  </si>
  <si>
    <t>brian_rivera</t>
  </si>
  <si>
    <t>Brian</t>
  </si>
  <si>
    <t>Rivera</t>
  </si>
  <si>
    <t>brian_sadler</t>
  </si>
  <si>
    <t>Sadler</t>
  </si>
  <si>
    <t>cheryl_giammanco</t>
  </si>
  <si>
    <t>Cheryl</t>
  </si>
  <si>
    <t>Giammanco</t>
  </si>
  <si>
    <t>gene_whipps</t>
  </si>
  <si>
    <t>Gene</t>
  </si>
  <si>
    <t>Whipps</t>
  </si>
  <si>
    <t>greg_cirincione</t>
  </si>
  <si>
    <t>Greg</t>
  </si>
  <si>
    <t>Cirincione</t>
  </si>
  <si>
    <t>gunjan_verma</t>
  </si>
  <si>
    <t>Gunjan</t>
  </si>
  <si>
    <t>Verma</t>
  </si>
  <si>
    <t>jemin_george</t>
  </si>
  <si>
    <t>Jemin</t>
  </si>
  <si>
    <t>George</t>
  </si>
  <si>
    <t>jinhee_cho</t>
  </si>
  <si>
    <t>Jin-Hee</t>
  </si>
  <si>
    <t>Cho</t>
  </si>
  <si>
    <t>jon_bakdash</t>
  </si>
  <si>
    <t>Jon</t>
  </si>
  <si>
    <t>Bakdash</t>
  </si>
  <si>
    <t>kelly_bennett</t>
  </si>
  <si>
    <t>Kelly</t>
  </si>
  <si>
    <t>Bennett</t>
  </si>
  <si>
    <t>kelvin_marcus</t>
  </si>
  <si>
    <t>Kelvin</t>
  </si>
  <si>
    <t>Marcus</t>
  </si>
  <si>
    <t>kevin_chan</t>
  </si>
  <si>
    <t>Kevin</t>
  </si>
  <si>
    <t>Chan</t>
  </si>
  <si>
    <t>lance_kaplan</t>
  </si>
  <si>
    <t>Lance</t>
  </si>
  <si>
    <t>Kaplan</t>
  </si>
  <si>
    <t>mike_kolodny</t>
  </si>
  <si>
    <t>Mike</t>
  </si>
  <si>
    <t>Kolodny</t>
  </si>
  <si>
    <t>mike_strub</t>
  </si>
  <si>
    <t>Strub</t>
  </si>
  <si>
    <t>natalie_ivanic</t>
  </si>
  <si>
    <t>Natalie</t>
  </si>
  <si>
    <t>Ivanic</t>
  </si>
  <si>
    <t>paul_sullivan</t>
  </si>
  <si>
    <t>Paul</t>
  </si>
  <si>
    <t>Sullivan</t>
  </si>
  <si>
    <t>paul_yu</t>
  </si>
  <si>
    <t>Yu</t>
  </si>
  <si>
    <t>pearl_gendason</t>
  </si>
  <si>
    <t>Pearl</t>
  </si>
  <si>
    <t>Gendason</t>
  </si>
  <si>
    <t>raju_damarla</t>
  </si>
  <si>
    <t>Thyagaraju</t>
  </si>
  <si>
    <t>Damarla</t>
  </si>
  <si>
    <t>ray_mcgowan</t>
  </si>
  <si>
    <t>Ray</t>
  </si>
  <si>
    <t>McGowan</t>
  </si>
  <si>
    <t>ryan_pressley</t>
  </si>
  <si>
    <t>Ryan</t>
  </si>
  <si>
    <t>Pressley</t>
  </si>
  <si>
    <t>scott_mastin</t>
  </si>
  <si>
    <t>Scott</t>
  </si>
  <si>
    <t>Mastin</t>
  </si>
  <si>
    <t>sue_toth</t>
  </si>
  <si>
    <t>Sue</t>
  </si>
  <si>
    <t>taylor_cassidy</t>
  </si>
  <si>
    <t>Taylor</t>
  </si>
  <si>
    <t>Cassidy</t>
  </si>
  <si>
    <t>jennifer_yates</t>
  </si>
  <si>
    <t>Jennifer</t>
  </si>
  <si>
    <t>Yates</t>
  </si>
  <si>
    <t>juan_garay</t>
  </si>
  <si>
    <t>Juan</t>
  </si>
  <si>
    <t>Garay</t>
  </si>
  <si>
    <t>james_tittle</t>
  </si>
  <si>
    <t>James</t>
  </si>
  <si>
    <t>Tittle</t>
  </si>
  <si>
    <t>siddharth_mehrotra</t>
  </si>
  <si>
    <t>Siddharth</t>
  </si>
  <si>
    <t>Mehrotra</t>
  </si>
  <si>
    <t>piotr_yordanov</t>
  </si>
  <si>
    <t>Piotr</t>
  </si>
  <si>
    <t>Yordanov</t>
  </si>
  <si>
    <t>dov_gordon</t>
  </si>
  <si>
    <t>Dov</t>
  </si>
  <si>
    <t>Gordon</t>
  </si>
  <si>
    <t>bao-hong_shen</t>
  </si>
  <si>
    <t>Bao-Hong</t>
  </si>
  <si>
    <t>Shen</t>
  </si>
  <si>
    <t>dijiang_huang</t>
  </si>
  <si>
    <t>Dijiang</t>
  </si>
  <si>
    <t>Huang</t>
  </si>
  <si>
    <t>alberto_medina</t>
  </si>
  <si>
    <t>Alberto</t>
  </si>
  <si>
    <t>Medina</t>
  </si>
  <si>
    <t>prithwish_basu</t>
  </si>
  <si>
    <t>Prithwish</t>
  </si>
  <si>
    <t>Basu</t>
  </si>
  <si>
    <t>rick_allen</t>
  </si>
  <si>
    <t>Rick</t>
  </si>
  <si>
    <t>Allen</t>
  </si>
  <si>
    <t>ryan_irwin</t>
  </si>
  <si>
    <t>Irwin</t>
  </si>
  <si>
    <t>saikat_guha</t>
  </si>
  <si>
    <t>Saikat</t>
  </si>
  <si>
    <t>Guha</t>
  </si>
  <si>
    <t>sam_nelson</t>
  </si>
  <si>
    <t>Sam</t>
  </si>
  <si>
    <t>Nelson</t>
  </si>
  <si>
    <t>will_leland</t>
  </si>
  <si>
    <t>Will</t>
  </si>
  <si>
    <t>Leland</t>
  </si>
  <si>
    <t>yehuda_lindell</t>
  </si>
  <si>
    <t>Yehuda</t>
  </si>
  <si>
    <t>Lindell</t>
  </si>
  <si>
    <t>mugen_peng</t>
  </si>
  <si>
    <t>Mugen</t>
  </si>
  <si>
    <t>Peng</t>
  </si>
  <si>
    <t>wenbo_wang</t>
  </si>
  <si>
    <t>Wenbo</t>
  </si>
  <si>
    <t>Wang</t>
  </si>
  <si>
    <t>ali_bahrami</t>
  </si>
  <si>
    <t>Ali</t>
  </si>
  <si>
    <t>Bahrami</t>
  </si>
  <si>
    <t>anne_hunt</t>
  </si>
  <si>
    <t>Anne</t>
  </si>
  <si>
    <t>Hunt</t>
  </si>
  <si>
    <t>anne_kao</t>
  </si>
  <si>
    <t>Kao</t>
  </si>
  <si>
    <t>changzhou_wang</t>
  </si>
  <si>
    <t>Changzhou</t>
  </si>
  <si>
    <t>guangyu_pei</t>
  </si>
  <si>
    <t>Guangyu</t>
  </si>
  <si>
    <t>Pei</t>
  </si>
  <si>
    <t>jae_kim</t>
  </si>
  <si>
    <t>Jae</t>
  </si>
  <si>
    <t>Kim</t>
  </si>
  <si>
    <t>jun_yuan</t>
  </si>
  <si>
    <t>Jun</t>
  </si>
  <si>
    <t>Yuan</t>
  </si>
  <si>
    <t>mark_handel</t>
  </si>
  <si>
    <t>Mark</t>
  </si>
  <si>
    <t>Handel</t>
  </si>
  <si>
    <t>paul_murray</t>
  </si>
  <si>
    <t>Murray</t>
  </si>
  <si>
    <t>ping_xue</t>
  </si>
  <si>
    <t>Ping</t>
  </si>
  <si>
    <t>Xue</t>
  </si>
  <si>
    <t>stephen_poltrock</t>
  </si>
  <si>
    <t>Stephen</t>
  </si>
  <si>
    <t>Poltrock</t>
  </si>
  <si>
    <t>stephen_poteet</t>
  </si>
  <si>
    <t>Poteet</t>
  </si>
  <si>
    <t>bruno_courcelle</t>
  </si>
  <si>
    <t>Bruno</t>
  </si>
  <si>
    <t>Courcelle</t>
  </si>
  <si>
    <t>cyril_gavoille</t>
  </si>
  <si>
    <t>Cyril</t>
  </si>
  <si>
    <t>Gavoille</t>
  </si>
  <si>
    <t>mamadou_kante</t>
  </si>
  <si>
    <t>Mamadou</t>
  </si>
  <si>
    <t>Kante</t>
  </si>
  <si>
    <t>gonca_gursun</t>
  </si>
  <si>
    <t>Gonca</t>
  </si>
  <si>
    <t>Gursun</t>
  </si>
  <si>
    <t>ibrahim_matta</t>
  </si>
  <si>
    <t>Ibrahim</t>
  </si>
  <si>
    <t>Matta</t>
  </si>
  <si>
    <t>mark_crovella</t>
  </si>
  <si>
    <t>Crovella</t>
  </si>
  <si>
    <t>jim_schoening</t>
  </si>
  <si>
    <t>Schoening</t>
  </si>
  <si>
    <t>keith_wilson</t>
  </si>
  <si>
    <t>Keith</t>
  </si>
  <si>
    <t>Wilson</t>
  </si>
  <si>
    <t>adrian_perrig</t>
  </si>
  <si>
    <t>Adrian</t>
  </si>
  <si>
    <t>Perrig</t>
  </si>
  <si>
    <t>avrim_blum</t>
  </si>
  <si>
    <t>Avrim</t>
  </si>
  <si>
    <t>Blum</t>
  </si>
  <si>
    <t>balajee_kannan</t>
  </si>
  <si>
    <t>Balajee</t>
  </si>
  <si>
    <t>Kannan</t>
  </si>
  <si>
    <t>bernardine_dias</t>
  </si>
  <si>
    <t>Bernardine</t>
  </si>
  <si>
    <t>Dias</t>
  </si>
  <si>
    <t>christian_lebiere</t>
  </si>
  <si>
    <t>Christian</t>
  </si>
  <si>
    <t>Lebiere</t>
  </si>
  <si>
    <t>chun_lee</t>
  </si>
  <si>
    <t>Chun</t>
  </si>
  <si>
    <t>Lee</t>
  </si>
  <si>
    <t>dawn_song</t>
  </si>
  <si>
    <t>Dawn</t>
  </si>
  <si>
    <t>Song</t>
  </si>
  <si>
    <t>don_morrison</t>
  </si>
  <si>
    <t>Don</t>
  </si>
  <si>
    <t>Morrison</t>
  </si>
  <si>
    <t>felipe_meneguzzi</t>
  </si>
  <si>
    <t>Felipe</t>
  </si>
  <si>
    <t>Meneguzzi</t>
  </si>
  <si>
    <t>guoming_lai</t>
  </si>
  <si>
    <t>Guoming</t>
  </si>
  <si>
    <t>Lai</t>
  </si>
  <si>
    <t>haowen_chan</t>
  </si>
  <si>
    <t>Haowen</t>
  </si>
  <si>
    <t>jean_oh</t>
  </si>
  <si>
    <t>Jean</t>
  </si>
  <si>
    <t>Oh</t>
  </si>
  <si>
    <t>joseph_giampapa</t>
  </si>
  <si>
    <t>Joseph</t>
  </si>
  <si>
    <t>Giampapa</t>
  </si>
  <si>
    <t>juan_caballero</t>
  </si>
  <si>
    <t>Caballero</t>
  </si>
  <si>
    <t>min_guang_kang</t>
  </si>
  <si>
    <t>Kang</t>
  </si>
  <si>
    <t>nilanjan_chakraborty</t>
  </si>
  <si>
    <t>Nilanjan</t>
  </si>
  <si>
    <t>Chakraborty</t>
  </si>
  <si>
    <t>noam_hazon</t>
  </si>
  <si>
    <t>Noam</t>
  </si>
  <si>
    <t>Hazon</t>
  </si>
  <si>
    <t>paul_scerri</t>
  </si>
  <si>
    <t>Scerri</t>
  </si>
  <si>
    <t>pongsin_pooksman</t>
  </si>
  <si>
    <t>Pongsin</t>
  </si>
  <si>
    <t>Pooksman</t>
  </si>
  <si>
    <t>praveen_paruchuri</t>
  </si>
  <si>
    <t>Praveen</t>
  </si>
  <si>
    <t>Paruchuri</t>
  </si>
  <si>
    <t>shobha_venkataraman</t>
  </si>
  <si>
    <t>Shobha</t>
  </si>
  <si>
    <t>Venkataraman</t>
  </si>
  <si>
    <t>soo-bum_lee</t>
  </si>
  <si>
    <t>Soo-Bum</t>
  </si>
  <si>
    <t>srinivasan_seshan</t>
  </si>
  <si>
    <t>Srinivasan</t>
  </si>
  <si>
    <t>Seshan</t>
  </si>
  <si>
    <t>steven_okamoto</t>
  </si>
  <si>
    <t>Steven</t>
  </si>
  <si>
    <t>Okamoto</t>
  </si>
  <si>
    <t>virgil_gligor</t>
  </si>
  <si>
    <t>Virgil</t>
  </si>
  <si>
    <t>Gligor</t>
  </si>
  <si>
    <t>yuqing_tang</t>
  </si>
  <si>
    <t>Yuqing</t>
  </si>
  <si>
    <t>Tang</t>
  </si>
  <si>
    <t>claudia_angelini</t>
  </si>
  <si>
    <t>Claudia</t>
  </si>
  <si>
    <t>Angelini</t>
  </si>
  <si>
    <t>italia_de_feis</t>
  </si>
  <si>
    <t>Italia</t>
  </si>
  <si>
    <t>luisa_cutillo</t>
  </si>
  <si>
    <t>Luisa</t>
  </si>
  <si>
    <t>Cutillo</t>
  </si>
  <si>
    <t>bob_ganger</t>
  </si>
  <si>
    <t>Bob</t>
  </si>
  <si>
    <t>Ganger</t>
  </si>
  <si>
    <t>brian_donohue</t>
  </si>
  <si>
    <t>Donohue</t>
  </si>
  <si>
    <t>doug_kutach</t>
  </si>
  <si>
    <t>Doug</t>
  </si>
  <si>
    <t>Kutach</t>
  </si>
  <si>
    <t>rod_rudnicki</t>
  </si>
  <si>
    <t>Rod</t>
  </si>
  <si>
    <t>Rudnicki</t>
  </si>
  <si>
    <t>abbe_mowshowitz</t>
  </si>
  <si>
    <t>Abbe</t>
  </si>
  <si>
    <t>Mowshowitz</t>
  </si>
  <si>
    <t>akira_kawaguchi</t>
  </si>
  <si>
    <t>Akira</t>
  </si>
  <si>
    <t>Kawaguchi</t>
  </si>
  <si>
    <t>amotz_bar_noy</t>
  </si>
  <si>
    <t>Amotz</t>
  </si>
  <si>
    <t>Bar-Noy</t>
  </si>
  <si>
    <t>andi_toce</t>
  </si>
  <si>
    <t>Andi</t>
  </si>
  <si>
    <t>Toce</t>
  </si>
  <si>
    <t>andrew_nagel</t>
  </si>
  <si>
    <t>Nagel</t>
  </si>
  <si>
    <t>berker_soyluoglu</t>
  </si>
  <si>
    <t>Berker</t>
  </si>
  <si>
    <t>Soyluoglu</t>
  </si>
  <si>
    <t>carolyn_ortega</t>
  </si>
  <si>
    <t>Carolyn</t>
  </si>
  <si>
    <t>Ortega</t>
  </si>
  <si>
    <t>christopher_seaman</t>
  </si>
  <si>
    <t>Christopher</t>
  </si>
  <si>
    <t>Seaman</t>
  </si>
  <si>
    <t>deniz_sarioz</t>
  </si>
  <si>
    <t>Deniz</t>
  </si>
  <si>
    <t>Sarioz</t>
  </si>
  <si>
    <t>galathara_kahanda</t>
  </si>
  <si>
    <t>Galathara</t>
  </si>
  <si>
    <t>Kahanda</t>
  </si>
  <si>
    <t>hoeteck_wee</t>
  </si>
  <si>
    <t>Hoeteck</t>
  </si>
  <si>
    <t>Wee</t>
  </si>
  <si>
    <t>ihab_darwish</t>
  </si>
  <si>
    <t>Ihab</t>
  </si>
  <si>
    <t>Darwish</t>
  </si>
  <si>
    <t>irippuge_perera</t>
  </si>
  <si>
    <t>Irippuge</t>
  </si>
  <si>
    <t>Perera</t>
  </si>
  <si>
    <t>javier_pajuelo</t>
  </si>
  <si>
    <t>Javier</t>
  </si>
  <si>
    <t>Pajuelo</t>
  </si>
  <si>
    <t>jinwoo_kim</t>
  </si>
  <si>
    <t>Jinwoo</t>
  </si>
  <si>
    <t>joseph_soryal</t>
  </si>
  <si>
    <t>Soryal</t>
  </si>
  <si>
    <t>kent_boklan</t>
  </si>
  <si>
    <t>Boklan</t>
  </si>
  <si>
    <t>kevin_sekniqi</t>
  </si>
  <si>
    <t>Sekniqi</t>
  </si>
  <si>
    <t>marcin_szczodrak</t>
  </si>
  <si>
    <t>Marcin</t>
  </si>
  <si>
    <t>Szczodrak</t>
  </si>
  <si>
    <t>matthew_johnson</t>
  </si>
  <si>
    <t>Matthew</t>
  </si>
  <si>
    <t>Johnson</t>
  </si>
  <si>
    <t>miriam_tausner</t>
  </si>
  <si>
    <t>Miriam</t>
  </si>
  <si>
    <t>Tausner</t>
  </si>
  <si>
    <t>nelly_fazio</t>
  </si>
  <si>
    <t>Nelly</t>
  </si>
  <si>
    <t>Fazio</t>
  </si>
  <si>
    <t>ou_liu</t>
  </si>
  <si>
    <t>Ou</t>
  </si>
  <si>
    <t>Liu</t>
  </si>
  <si>
    <t>ping_ji</t>
  </si>
  <si>
    <t>Ji</t>
  </si>
  <si>
    <t>rosario_gennaro</t>
  </si>
  <si>
    <t>Rosario</t>
  </si>
  <si>
    <t>Gennaro</t>
  </si>
  <si>
    <t>rui_zhang</t>
  </si>
  <si>
    <t>Rui</t>
  </si>
  <si>
    <t>Zhang</t>
  </si>
  <si>
    <t>shuqun_zhang</t>
  </si>
  <si>
    <t>Shuqun</t>
  </si>
  <si>
    <t>simon_parsons</t>
  </si>
  <si>
    <t>Simon</t>
  </si>
  <si>
    <t>Parsons</t>
  </si>
  <si>
    <t>simon_shamoun</t>
  </si>
  <si>
    <t>Shamoun</t>
  </si>
  <si>
    <t>tarek_saadawi</t>
  </si>
  <si>
    <t>Tarek</t>
  </si>
  <si>
    <t>Saadawi</t>
  </si>
  <si>
    <t>ted_brown</t>
  </si>
  <si>
    <t>Ted</t>
  </si>
  <si>
    <t>Brown</t>
  </si>
  <si>
    <t>valerio_pastro</t>
  </si>
  <si>
    <t>Valerio</t>
  </si>
  <si>
    <t>Pastro</t>
  </si>
  <si>
    <t>valia_mitsou</t>
  </si>
  <si>
    <t>Valia</t>
  </si>
  <si>
    <t>Mitsou</t>
  </si>
  <si>
    <t>william_skeith</t>
  </si>
  <si>
    <t>William</t>
  </si>
  <si>
    <t>Skeith</t>
  </si>
  <si>
    <t>yosef_alayev</t>
  </si>
  <si>
    <t>Yosef</t>
  </si>
  <si>
    <t>Alayev</t>
  </si>
  <si>
    <t>zev_klagsbrun</t>
  </si>
  <si>
    <t>Zev</t>
  </si>
  <si>
    <t>Klagsbrun</t>
  </si>
  <si>
    <t>zhanyang_zhang</t>
  </si>
  <si>
    <t>Zhanyang</t>
  </si>
  <si>
    <t>joost_bosman</t>
  </si>
  <si>
    <t>Joost</t>
  </si>
  <si>
    <t>Bosman</t>
  </si>
  <si>
    <t>serge_fehr</t>
  </si>
  <si>
    <t>Serge</t>
  </si>
  <si>
    <t>Fehr</t>
  </si>
  <si>
    <t>wentao_huang</t>
  </si>
  <si>
    <t>Wentao</t>
  </si>
  <si>
    <t>chris_gwilliams</t>
  </si>
  <si>
    <t>Chris</t>
  </si>
  <si>
    <t>Gwilliams</t>
  </si>
  <si>
    <t>colin_roberts</t>
  </si>
  <si>
    <t>Colin</t>
  </si>
  <si>
    <t>Roberts</t>
  </si>
  <si>
    <t>david_rogers</t>
  </si>
  <si>
    <t>Rogers</t>
  </si>
  <si>
    <t>federico_cerutti</t>
  </si>
  <si>
    <t>Federico</t>
  </si>
  <si>
    <t>Cerutti</t>
  </si>
  <si>
    <t>irena_spasic</t>
  </si>
  <si>
    <t>Irena</t>
  </si>
  <si>
    <t>Spasic</t>
  </si>
  <si>
    <t>konrad_borowiecki</t>
  </si>
  <si>
    <t>Konrad</t>
  </si>
  <si>
    <t>Borowiecki</t>
  </si>
  <si>
    <t>martin_innes</t>
  </si>
  <si>
    <t>Martin</t>
  </si>
  <si>
    <t>Innes</t>
  </si>
  <si>
    <t>sarah_tucker</t>
  </si>
  <si>
    <t>Sarah</t>
  </si>
  <si>
    <t>Tucker</t>
  </si>
  <si>
    <t>will_webberley</t>
  </si>
  <si>
    <t>Webberley</t>
  </si>
  <si>
    <t>yi-dong_shen</t>
  </si>
  <si>
    <t>Yi-Dong</t>
  </si>
  <si>
    <t>jiyeon_lee</t>
  </si>
  <si>
    <t>Jiyeon</t>
  </si>
  <si>
    <t>muttukrishnan_rajarajan</t>
  </si>
  <si>
    <t>Muttukrishnan</t>
  </si>
  <si>
    <t>Rajarajan</t>
  </si>
  <si>
    <t>berk_birand</t>
  </si>
  <si>
    <t>Berk</t>
  </si>
  <si>
    <t>Birand</t>
  </si>
  <si>
    <t>gil_zussman</t>
  </si>
  <si>
    <t>Gil</t>
  </si>
  <si>
    <t>Zussman</t>
  </si>
  <si>
    <t>hang_zhao</t>
  </si>
  <si>
    <t>Hang</t>
  </si>
  <si>
    <t>Zhao</t>
  </si>
  <si>
    <t>henning_schulzrinne</t>
  </si>
  <si>
    <t>Henning</t>
  </si>
  <si>
    <t>Schulzrinne</t>
  </si>
  <si>
    <t>mariana_raykova</t>
  </si>
  <si>
    <t>Mariana</t>
  </si>
  <si>
    <t>Raykova</t>
  </si>
  <si>
    <t>michael_mandel</t>
  </si>
  <si>
    <t>Michael</t>
  </si>
  <si>
    <t>Mandel</t>
  </si>
  <si>
    <t>shih-fu_chang</t>
  </si>
  <si>
    <t>Shih-Fu</t>
  </si>
  <si>
    <t>Chang</t>
  </si>
  <si>
    <t>shruti_gandhi</t>
  </si>
  <si>
    <t>Shruti</t>
  </si>
  <si>
    <t>Gandhi</t>
  </si>
  <si>
    <t>steve_bellovin</t>
  </si>
  <si>
    <t>Steve</t>
  </si>
  <si>
    <t>Bellovin</t>
  </si>
  <si>
    <t>vishal_singh</t>
  </si>
  <si>
    <t>Vishal</t>
  </si>
  <si>
    <t>Singh</t>
  </si>
  <si>
    <t>yevgeniy_vahlis</t>
  </si>
  <si>
    <t>Yevgeniy</t>
  </si>
  <si>
    <t>Vahlis</t>
  </si>
  <si>
    <t>lang_tong</t>
  </si>
  <si>
    <t>Lang</t>
  </si>
  <si>
    <t>Tong</t>
  </si>
  <si>
    <t>andy_farmilo</t>
  </si>
  <si>
    <t>Andy</t>
  </si>
  <si>
    <t>Farmilo</t>
  </si>
  <si>
    <t>annika_larsson</t>
  </si>
  <si>
    <t>Annika</t>
  </si>
  <si>
    <t>Larsson</t>
  </si>
  <si>
    <t>caroline_morin</t>
  </si>
  <si>
    <t>Caroline</t>
  </si>
  <si>
    <t>Morin</t>
  </si>
  <si>
    <t>geoff_hone</t>
  </si>
  <si>
    <t>Geoff</t>
  </si>
  <si>
    <t>Hone</t>
  </si>
  <si>
    <t>howard_chivers</t>
  </si>
  <si>
    <t>Howard</t>
  </si>
  <si>
    <t>Chivers</t>
  </si>
  <si>
    <t>ian_whitworth</t>
  </si>
  <si>
    <t>Ian</t>
  </si>
  <si>
    <t>Whitworth</t>
  </si>
  <si>
    <t>marie_cahillane</t>
  </si>
  <si>
    <t>Marie</t>
  </si>
  <si>
    <t>Cahillane</t>
  </si>
  <si>
    <t>alex_barnett</t>
  </si>
  <si>
    <t>Alex</t>
  </si>
  <si>
    <t>Barnett</t>
  </si>
  <si>
    <t>david_dean</t>
  </si>
  <si>
    <t>Dean</t>
  </si>
  <si>
    <t>ed_gentle</t>
  </si>
  <si>
    <t>Ed</t>
  </si>
  <si>
    <t>Gentle</t>
  </si>
  <si>
    <t>gavin_pearson</t>
  </si>
  <si>
    <t>Gavin</t>
  </si>
  <si>
    <t>Pearson</t>
  </si>
  <si>
    <t>helen_phillips</t>
  </si>
  <si>
    <t>Helen</t>
  </si>
  <si>
    <t>Phillips</t>
  </si>
  <si>
    <t>jessica_connah</t>
  </si>
  <si>
    <t>Jessica</t>
  </si>
  <si>
    <t>Connah</t>
  </si>
  <si>
    <t>jessica_lowe</t>
  </si>
  <si>
    <t>Lowe</t>
  </si>
  <si>
    <t>jitu_patel</t>
  </si>
  <si>
    <t>Jitu</t>
  </si>
  <si>
    <t>Patel</t>
  </si>
  <si>
    <t>john_yesberg</t>
  </si>
  <si>
    <t>John</t>
  </si>
  <si>
    <t>Yesberg</t>
  </si>
  <si>
    <t>olwen_worthington</t>
  </si>
  <si>
    <t>Olwen</t>
  </si>
  <si>
    <t>Worthington</t>
  </si>
  <si>
    <t>peter_houghton</t>
  </si>
  <si>
    <t>Peter</t>
  </si>
  <si>
    <t>Houghton</t>
  </si>
  <si>
    <t>peter_wrobel</t>
  </si>
  <si>
    <t>Wrobel</t>
  </si>
  <si>
    <t>rob_young</t>
  </si>
  <si>
    <t>Rob</t>
  </si>
  <si>
    <t>Young</t>
  </si>
  <si>
    <t>stuart_colley</t>
  </si>
  <si>
    <t>Stuart</t>
  </si>
  <si>
    <t>Colley</t>
  </si>
  <si>
    <t>todd_karr</t>
  </si>
  <si>
    <t>Todd</t>
  </si>
  <si>
    <t>Karr</t>
  </si>
  <si>
    <t>anja_feldmann</t>
  </si>
  <si>
    <t>Anja</t>
  </si>
  <si>
    <t>Feldmann</t>
  </si>
  <si>
    <t>juhoon_kim</t>
  </si>
  <si>
    <t>Juhoon</t>
  </si>
  <si>
    <t>pan_hui</t>
  </si>
  <si>
    <t>Pan</t>
  </si>
  <si>
    <t>Hui</t>
  </si>
  <si>
    <t>cedric_westphal</t>
  </si>
  <si>
    <t>Cedric</t>
  </si>
  <si>
    <t>Westphal</t>
  </si>
  <si>
    <t>gavin_powell</t>
  </si>
  <si>
    <t>Powell</t>
  </si>
  <si>
    <t>jean-pierre_hubaux</t>
  </si>
  <si>
    <t>Jean-Pierre</t>
  </si>
  <si>
    <t>Hubaux</t>
  </si>
  <si>
    <t>maxim_raya</t>
  </si>
  <si>
    <t>Maxim</t>
  </si>
  <si>
    <t>Raya</t>
  </si>
  <si>
    <t>panagiotis_papadimitratos</t>
  </si>
  <si>
    <t>Panagiotis</t>
  </si>
  <si>
    <t>Papadimitratos</t>
  </si>
  <si>
    <t>patrick_thiran</t>
  </si>
  <si>
    <t>Thiran</t>
  </si>
  <si>
    <t>christina_popper</t>
  </si>
  <si>
    <t>Christina</t>
  </si>
  <si>
    <t>Popper</t>
  </si>
  <si>
    <t>srdjan_capkun</t>
  </si>
  <si>
    <t>Srdjan</t>
  </si>
  <si>
    <t>Capkun</t>
  </si>
  <si>
    <t>ioannis_krikidis</t>
  </si>
  <si>
    <t>Ioannis</t>
  </si>
  <si>
    <t>Krikidis</t>
  </si>
  <si>
    <t>john_thompson</t>
  </si>
  <si>
    <t>Thompson</t>
  </si>
  <si>
    <t>lucas_wanner</t>
  </si>
  <si>
    <t>Lucas</t>
  </si>
  <si>
    <t>Wanner</t>
  </si>
  <si>
    <t>micah_adler</t>
  </si>
  <si>
    <t>Micah</t>
  </si>
  <si>
    <t>Adler</t>
  </si>
  <si>
    <t>jinpeng_wei</t>
  </si>
  <si>
    <t>Jinpeng</t>
  </si>
  <si>
    <t>Wei</t>
  </si>
  <si>
    <t>yongzhi_wang</t>
  </si>
  <si>
    <t>Yongzhi</t>
  </si>
  <si>
    <t>michael_clarkson</t>
  </si>
  <si>
    <t>Clarkson</t>
  </si>
  <si>
    <t>ling_liu</t>
  </si>
  <si>
    <t>Ling</t>
  </si>
  <si>
    <t>raheem_beyah</t>
  </si>
  <si>
    <t>Raheem</t>
  </si>
  <si>
    <t>Beyah</t>
  </si>
  <si>
    <t>shouling_ji</t>
  </si>
  <si>
    <t>Shouling</t>
  </si>
  <si>
    <t>weiqing_li</t>
  </si>
  <si>
    <t>Weiqing</t>
  </si>
  <si>
    <t>Li</t>
  </si>
  <si>
    <t>xuefeng_gao</t>
  </si>
  <si>
    <t>Xuefeng</t>
  </si>
  <si>
    <t>Gao</t>
  </si>
  <si>
    <t>yuzhe_tang</t>
  </si>
  <si>
    <t>Yuzhe</t>
  </si>
  <si>
    <t>jianfeng_du</t>
  </si>
  <si>
    <t>Jianfeng</t>
  </si>
  <si>
    <t>Du</t>
  </si>
  <si>
    <t>wencai_du</t>
  </si>
  <si>
    <t>Wencai</t>
  </si>
  <si>
    <t>yucong_duan</t>
  </si>
  <si>
    <t>Yucong</t>
  </si>
  <si>
    <t>Duan</t>
  </si>
  <si>
    <t>junho_choi</t>
  </si>
  <si>
    <t>Junho</t>
  </si>
  <si>
    <t>Choi</t>
  </si>
  <si>
    <t>bjorn_scheuermann</t>
  </si>
  <si>
    <t>Bjorn</t>
  </si>
  <si>
    <t>Scheuermann</t>
  </si>
  <si>
    <t>daniel_johnson</t>
  </si>
  <si>
    <t>Daniel</t>
  </si>
  <si>
    <t>dinkar_mylaraswamy</t>
  </si>
  <si>
    <t>Dinkar</t>
  </si>
  <si>
    <t>Mylaraswamy</t>
  </si>
  <si>
    <t>james_kirk</t>
  </si>
  <si>
    <t>Kirk</t>
  </si>
  <si>
    <t>james_richardson</t>
  </si>
  <si>
    <t>Richardson</t>
  </si>
  <si>
    <t>jeffrey_starr</t>
  </si>
  <si>
    <t>Jeffrey</t>
  </si>
  <si>
    <t>Starr</t>
  </si>
  <si>
    <t>john_allen</t>
  </si>
  <si>
    <t>kartik_ariyur</t>
  </si>
  <si>
    <t>Kartik</t>
  </si>
  <si>
    <t>Ariyur</t>
  </si>
  <si>
    <t>kirk_schloegel</t>
  </si>
  <si>
    <t>Schloegel</t>
  </si>
  <si>
    <t>srivatsan_varadarajan</t>
  </si>
  <si>
    <t>Srivatsan</t>
  </si>
  <si>
    <t>Varadarajan</t>
  </si>
  <si>
    <t>thomas_markham</t>
  </si>
  <si>
    <t>Thomas</t>
  </si>
  <si>
    <t>Markham</t>
  </si>
  <si>
    <t>tim_dropps</t>
  </si>
  <si>
    <t>Tim</t>
  </si>
  <si>
    <t>Dropps</t>
  </si>
  <si>
    <t>vibhor_bageshwar</t>
  </si>
  <si>
    <t>Vibhor</t>
  </si>
  <si>
    <t>Bageshwar</t>
  </si>
  <si>
    <t>vicraj_thomas</t>
  </si>
  <si>
    <t>Vicraj</t>
  </si>
  <si>
    <t>walt_heimerdinger</t>
  </si>
  <si>
    <t>Walt</t>
  </si>
  <si>
    <t>Heimerdinger</t>
  </si>
  <si>
    <t>yunjung_yi</t>
  </si>
  <si>
    <t>Yunjung</t>
  </si>
  <si>
    <t>Yi</t>
  </si>
  <si>
    <t>joon-sang_park</t>
  </si>
  <si>
    <t>Joon-Sang</t>
  </si>
  <si>
    <t>Park</t>
  </si>
  <si>
    <t>dipyaman_banerjee</t>
  </si>
  <si>
    <t>Dipyaman</t>
  </si>
  <si>
    <t>Banerjee</t>
  </si>
  <si>
    <t>venkateshwara_madduri</t>
  </si>
  <si>
    <t>Venkateshwara</t>
  </si>
  <si>
    <t>Madduri</t>
  </si>
  <si>
    <t>malolan_chetlur</t>
  </si>
  <si>
    <t>Malolan</t>
  </si>
  <si>
    <t>Chetlur</t>
  </si>
  <si>
    <t>partha_dutta</t>
  </si>
  <si>
    <t>Partha</t>
  </si>
  <si>
    <t>Dutta</t>
  </si>
  <si>
    <t>shivkumar_kalyanraman</t>
  </si>
  <si>
    <t>Shivkumar</t>
  </si>
  <si>
    <t>Kalyanraman</t>
  </si>
  <si>
    <t>vijay_arya</t>
  </si>
  <si>
    <t>Vijay</t>
  </si>
  <si>
    <t>Arya</t>
  </si>
  <si>
    <t>chi_harold_liu</t>
  </si>
  <si>
    <t>anja_lehmann</t>
  </si>
  <si>
    <t>Lehmann</t>
  </si>
  <si>
    <t>adrian_lee</t>
  </si>
  <si>
    <t>alan_knox</t>
  </si>
  <si>
    <t>Alan</t>
  </si>
  <si>
    <t>Knox</t>
  </si>
  <si>
    <t>amardeep_bhattal</t>
  </si>
  <si>
    <t>Amardeep</t>
  </si>
  <si>
    <t>Bhattal</t>
  </si>
  <si>
    <t>andrew_feltham</t>
  </si>
  <si>
    <t>Feltham</t>
  </si>
  <si>
    <t>andy_stanford-clark</t>
  </si>
  <si>
    <t>Stanford-Clark</t>
  </si>
  <si>
    <t>ben_hardill</t>
  </si>
  <si>
    <t>Ben</t>
  </si>
  <si>
    <t>Hardill</t>
  </si>
  <si>
    <t>christopher_gibson</t>
  </si>
  <si>
    <t>Gibson</t>
  </si>
  <si>
    <t>darren_shaw</t>
  </si>
  <si>
    <t>Darren</t>
  </si>
  <si>
    <t>Shaw</t>
  </si>
  <si>
    <t>Conway-Jones</t>
  </si>
  <si>
    <t>dave_roberts</t>
  </si>
  <si>
    <t>dominic_harries</t>
  </si>
  <si>
    <t>Dominic</t>
  </si>
  <si>
    <t>Harries</t>
  </si>
  <si>
    <t>flavio_bergamaschi</t>
  </si>
  <si>
    <t>Flavio</t>
  </si>
  <si>
    <t>Bergamaschi</t>
  </si>
  <si>
    <t>gareth_jones</t>
  </si>
  <si>
    <t>Gareth</t>
  </si>
  <si>
    <t>Jones</t>
  </si>
  <si>
    <t>graham_white</t>
  </si>
  <si>
    <t>White</t>
  </si>
  <si>
    <t>hamish_hunt</t>
  </si>
  <si>
    <t>Hamish</t>
  </si>
  <si>
    <t>helen_bowyer</t>
  </si>
  <si>
    <t>Bowyer</t>
  </si>
  <si>
    <t>james_thomas</t>
  </si>
  <si>
    <t>joel_wright</t>
  </si>
  <si>
    <t>Joel</t>
  </si>
  <si>
    <t>Wright</t>
  </si>
  <si>
    <t>john_ibbotson</t>
  </si>
  <si>
    <t>Ibbotson</t>
  </si>
  <si>
    <t>kristian_stewart</t>
  </si>
  <si>
    <t>Kristian</t>
  </si>
  <si>
    <t>Stewart</t>
  </si>
  <si>
    <t>matthew_duggan</t>
  </si>
  <si>
    <t>Duggan</t>
  </si>
  <si>
    <t>nick_peach</t>
  </si>
  <si>
    <t>Nick</t>
  </si>
  <si>
    <t>Peach</t>
  </si>
  <si>
    <t>paul_stone</t>
  </si>
  <si>
    <t>Stone</t>
  </si>
  <si>
    <t>peter_waggett</t>
  </si>
  <si>
    <t>Waggett</t>
  </si>
  <si>
    <t>saritha_arunkumar</t>
  </si>
  <si>
    <t>Saritha</t>
  </si>
  <si>
    <t>Arunkumar</t>
  </si>
  <si>
    <t>simon_laws</t>
  </si>
  <si>
    <t>Laws</t>
  </si>
  <si>
    <t>stephen_pipes</t>
  </si>
  <si>
    <t>Pipes</t>
  </si>
  <si>
    <t>syd_chapman</t>
  </si>
  <si>
    <t>Syd</t>
  </si>
  <si>
    <t>Chapman</t>
  </si>
  <si>
    <t>tom_berman</t>
  </si>
  <si>
    <t>Tom</t>
  </si>
  <si>
    <t>Berman</t>
  </si>
  <si>
    <t>tom_klapiscak</t>
  </si>
  <si>
    <t>Klapiscak</t>
  </si>
  <si>
    <t>aaron_kershenbaum</t>
  </si>
  <si>
    <t>Aaron</t>
  </si>
  <si>
    <t>Kershenbaum</t>
  </si>
  <si>
    <t>achille_fokoue</t>
  </si>
  <si>
    <t>Achille</t>
  </si>
  <si>
    <t>Fokoue</t>
  </si>
  <si>
    <t>alina_beygelzimer</t>
  </si>
  <si>
    <t>Alina</t>
  </si>
  <si>
    <t>Beygelzimer</t>
  </si>
  <si>
    <t>anastasios_kementsietsidis</t>
  </si>
  <si>
    <t>Anastasios</t>
  </si>
  <si>
    <t>Kementsietsidis</t>
  </si>
  <si>
    <t>archan_misra</t>
  </si>
  <si>
    <t>Archan</t>
  </si>
  <si>
    <t>Misra</t>
  </si>
  <si>
    <t>arnab_roy</t>
  </si>
  <si>
    <t>Arnab</t>
  </si>
  <si>
    <t>Roy</t>
  </si>
  <si>
    <t>asser_tantawi</t>
  </si>
  <si>
    <t>Asser</t>
  </si>
  <si>
    <t>Tantawi</t>
  </si>
  <si>
    <t>bong_jun_ko</t>
  </si>
  <si>
    <t>Ko</t>
  </si>
  <si>
    <t>bonnie_ray</t>
  </si>
  <si>
    <t>Bonnie</t>
  </si>
  <si>
    <t>carolyn_brodie</t>
  </si>
  <si>
    <t>Brodie</t>
  </si>
  <si>
    <t>cathy_xia</t>
  </si>
  <si>
    <t>Cathy</t>
  </si>
  <si>
    <t>Xia</t>
  </si>
  <si>
    <t>cesar_gonzales</t>
  </si>
  <si>
    <t>Cesar</t>
  </si>
  <si>
    <t>Gonzales</t>
  </si>
  <si>
    <t>chai_wah_wu</t>
  </si>
  <si>
    <t>Wu</t>
  </si>
  <si>
    <t>charanjit_jutla</t>
  </si>
  <si>
    <t>Charanjit</t>
  </si>
  <si>
    <t>Jutla</t>
  </si>
  <si>
    <t>charu_aggarwal</t>
  </si>
  <si>
    <t>Charu</t>
  </si>
  <si>
    <t>Aggarwal</t>
  </si>
  <si>
    <t>chatschik_bisdikian</t>
  </si>
  <si>
    <t>Chatschik</t>
  </si>
  <si>
    <t>Bisdikian</t>
  </si>
  <si>
    <t>christopher_kiekenveld</t>
  </si>
  <si>
    <t>Kiekenveld</t>
  </si>
  <si>
    <t>clare-marie_karat</t>
  </si>
  <si>
    <t>Clare-Marie</t>
  </si>
  <si>
    <t>Karat</t>
  </si>
  <si>
    <t>craig_gentry</t>
  </si>
  <si>
    <t>Craig</t>
  </si>
  <si>
    <t>Gentry</t>
  </si>
  <si>
    <t>dakshi_agrawal</t>
  </si>
  <si>
    <t>Dakshi</t>
  </si>
  <si>
    <t>Agrawal</t>
  </si>
  <si>
    <t>daniel_wichs</t>
  </si>
  <si>
    <t>Wichs</t>
  </si>
  <si>
    <t>dashun_wang</t>
  </si>
  <si>
    <t>Dashun</t>
  </si>
  <si>
    <t>david_bacon</t>
  </si>
  <si>
    <t>Bacon</t>
  </si>
  <si>
    <t>david_george</t>
  </si>
  <si>
    <t>david_wood</t>
  </si>
  <si>
    <t>Wood</t>
  </si>
  <si>
    <t>dinesh_verma</t>
  </si>
  <si>
    <t>Dinesh</t>
  </si>
  <si>
    <t>dmitriy_katz-rogozhnikov</t>
  </si>
  <si>
    <t>Dmitriy</t>
  </si>
  <si>
    <t>Katz-Rogozhnikov</t>
  </si>
  <si>
    <t>douglas_freimuth</t>
  </si>
  <si>
    <t>Douglas</t>
  </si>
  <si>
    <t>Freimuth</t>
  </si>
  <si>
    <t>douglas_schales</t>
  </si>
  <si>
    <t>Schales</t>
  </si>
  <si>
    <t>erich_nahum</t>
  </si>
  <si>
    <t>Erich</t>
  </si>
  <si>
    <t>Nahum</t>
  </si>
  <si>
    <t>ertugrul_ciftcioglu</t>
  </si>
  <si>
    <t>Ertugrul</t>
  </si>
  <si>
    <t>Ciftcioglu</t>
  </si>
  <si>
    <t>fan_ye</t>
  </si>
  <si>
    <t>Fan</t>
  </si>
  <si>
    <t>Ye</t>
  </si>
  <si>
    <t>fei_wang</t>
  </si>
  <si>
    <t>Fei</t>
  </si>
  <si>
    <t>franck_le</t>
  </si>
  <si>
    <t>Franck</t>
  </si>
  <si>
    <t>Le</t>
  </si>
  <si>
    <t>ho-yin_wong</t>
  </si>
  <si>
    <t>Starsky</t>
  </si>
  <si>
    <t>Wong</t>
  </si>
  <si>
    <t>hugo_krawczyk</t>
  </si>
  <si>
    <t>Hugo</t>
  </si>
  <si>
    <t>Krawczyk</t>
  </si>
  <si>
    <t>hyoil_kim</t>
  </si>
  <si>
    <t>Hyoil</t>
  </si>
  <si>
    <t>ian_molloy</t>
  </si>
  <si>
    <t>Molloy</t>
  </si>
  <si>
    <t>ian_molly</t>
  </si>
  <si>
    <t>Molly</t>
  </si>
  <si>
    <t>irina_rish</t>
  </si>
  <si>
    <t>Irina</t>
  </si>
  <si>
    <t>Rish</t>
  </si>
  <si>
    <t>james_fan</t>
  </si>
  <si>
    <t>janusz_marecki</t>
  </si>
  <si>
    <t>Janusz</t>
  </si>
  <si>
    <t>Marecki</t>
  </si>
  <si>
    <t>jiyong_jang</t>
  </si>
  <si>
    <t>Jiyong</t>
  </si>
  <si>
    <t>Jang</t>
  </si>
  <si>
    <t>joel_branch</t>
  </si>
  <si>
    <t>Branch</t>
  </si>
  <si>
    <t>john_karat</t>
  </si>
  <si>
    <t>jorge_lobo</t>
  </si>
  <si>
    <t>Jorge</t>
  </si>
  <si>
    <t>Lobo</t>
  </si>
  <si>
    <t>julian_dolby</t>
  </si>
  <si>
    <t>Julian</t>
  </si>
  <si>
    <t>Dolby</t>
  </si>
  <si>
    <t>kang_won_lee</t>
  </si>
  <si>
    <t>Kang-won</t>
  </si>
  <si>
    <t>kavitha_srinivas</t>
  </si>
  <si>
    <t>Kavitha</t>
  </si>
  <si>
    <t>Srinivas</t>
  </si>
  <si>
    <t>keith_grueneberg</t>
  </si>
  <si>
    <t>Grueneberg</t>
  </si>
  <si>
    <t>lu_su</t>
  </si>
  <si>
    <t>Lu</t>
  </si>
  <si>
    <t>Su</t>
  </si>
  <si>
    <t>mandis_beigi</t>
  </si>
  <si>
    <t>Mandis</t>
  </si>
  <si>
    <t>Beigi</t>
  </si>
  <si>
    <t>marc_stoecklin</t>
  </si>
  <si>
    <t>Marc</t>
  </si>
  <si>
    <t>Stoecklin</t>
  </si>
  <si>
    <t>mark_squillante</t>
  </si>
  <si>
    <t>Squillante</t>
  </si>
  <si>
    <t>maroun_touma</t>
  </si>
  <si>
    <t>Maroun</t>
  </si>
  <si>
    <t>Touma</t>
  </si>
  <si>
    <t>mayank_sharma</t>
  </si>
  <si>
    <t>Mayank</t>
  </si>
  <si>
    <t>Sharma</t>
  </si>
  <si>
    <t>mihaela_bornea</t>
  </si>
  <si>
    <t>Mihaela</t>
  </si>
  <si>
    <t>Bornea</t>
  </si>
  <si>
    <t>milind_tambe</t>
  </si>
  <si>
    <t>Milind</t>
  </si>
  <si>
    <t>Tambe</t>
  </si>
  <si>
    <t>mudhakar_srivatsa</t>
  </si>
  <si>
    <t>Mudhakar</t>
  </si>
  <si>
    <t>Srivatsa</t>
  </si>
  <si>
    <t>murtaza_zafer</t>
  </si>
  <si>
    <t>Murtaza</t>
  </si>
  <si>
    <t>Zafer</t>
  </si>
  <si>
    <t>natalia_odintsova</t>
  </si>
  <si>
    <t>Natalia</t>
  </si>
  <si>
    <t>Odintsova</t>
  </si>
  <si>
    <t>nikhil_bansal</t>
  </si>
  <si>
    <t>Nikhil</t>
  </si>
  <si>
    <t>Bansal</t>
  </si>
  <si>
    <t>oktay_gunluk</t>
  </si>
  <si>
    <t>Oktay</t>
  </si>
  <si>
    <t>Gunluk</t>
  </si>
  <si>
    <t>padmashree_ravindra</t>
  </si>
  <si>
    <t>Padmashree</t>
  </si>
  <si>
    <t>Ravindra</t>
  </si>
  <si>
    <t>pankaj_rohatgi</t>
  </si>
  <si>
    <t>Pankaj</t>
  </si>
  <si>
    <t>Rohatgi</t>
  </si>
  <si>
    <t>pau-chen_cheng</t>
  </si>
  <si>
    <t>Pau-Chen</t>
  </si>
  <si>
    <t>Cheng</t>
  </si>
  <si>
    <t>paul_karger</t>
  </si>
  <si>
    <t>Karger</t>
  </si>
  <si>
    <t>peter_van_de_ven</t>
  </si>
  <si>
    <t>petros_zerfos</t>
  </si>
  <si>
    <t>Petros</t>
  </si>
  <si>
    <t>Zerfos</t>
  </si>
  <si>
    <t>philip_yu</t>
  </si>
  <si>
    <t>Philip</t>
  </si>
  <si>
    <t>poonam_yadav</t>
  </si>
  <si>
    <t>Poonam</t>
  </si>
  <si>
    <t>Yadav</t>
  </si>
  <si>
    <t>pradeep_varakantham</t>
  </si>
  <si>
    <t>Pradeep</t>
  </si>
  <si>
    <t>Varakantham</t>
  </si>
  <si>
    <t>raghava_mutharaju</t>
  </si>
  <si>
    <t>Raghava</t>
  </si>
  <si>
    <t>Mutharaju</t>
  </si>
  <si>
    <t>raghu_ganti</t>
  </si>
  <si>
    <t>Raghu</t>
  </si>
  <si>
    <t>Ganti</t>
  </si>
  <si>
    <t>raheleh_dilmaghani</t>
  </si>
  <si>
    <t>Raheleh</t>
  </si>
  <si>
    <t>Dilmaghani</t>
  </si>
  <si>
    <t>rahul_urgaonkar</t>
  </si>
  <si>
    <t>Rahul</t>
  </si>
  <si>
    <t>Urgaonkar</t>
  </si>
  <si>
    <t>rajesh_bordawekar</t>
  </si>
  <si>
    <t>Rajesh</t>
  </si>
  <si>
    <t>Bordawekar</t>
  </si>
  <si>
    <t>ramya_raghavendra</t>
  </si>
  <si>
    <t>Ramya</t>
  </si>
  <si>
    <t>Raghavendra</t>
  </si>
  <si>
    <t>reiner_sailer</t>
  </si>
  <si>
    <t>Reiner</t>
  </si>
  <si>
    <t>Sailer</t>
  </si>
  <si>
    <t>sambit_sahu</t>
  </si>
  <si>
    <t>Sambit</t>
  </si>
  <si>
    <t>Sahu</t>
  </si>
  <si>
    <t>seraphin_calo</t>
  </si>
  <si>
    <t>Seraphin</t>
  </si>
  <si>
    <t>Calo</t>
  </si>
  <si>
    <t>shahram_ebadollahi</t>
  </si>
  <si>
    <t>Shahram</t>
  </si>
  <si>
    <t>Ebadollahi</t>
  </si>
  <si>
    <t>shai_halevi</t>
  </si>
  <si>
    <t>Shai</t>
  </si>
  <si>
    <t>Halevi</t>
  </si>
  <si>
    <t>sihyung_lee</t>
  </si>
  <si>
    <t>Sihyung</t>
  </si>
  <si>
    <t>suresh_chari</t>
  </si>
  <si>
    <t>Suresh</t>
  </si>
  <si>
    <t>Chari</t>
  </si>
  <si>
    <t>tal_rabin</t>
  </si>
  <si>
    <t>Tal</t>
  </si>
  <si>
    <t>Rabin</t>
  </si>
  <si>
    <t>theodoros_salonidis</t>
  </si>
  <si>
    <t>Theodoros</t>
  </si>
  <si>
    <t>Salonidis</t>
  </si>
  <si>
    <t>ting_he</t>
  </si>
  <si>
    <t>Ting</t>
  </si>
  <si>
    <t>He</t>
  </si>
  <si>
    <t>ting_wang</t>
  </si>
  <si>
    <t>vasilieos_pappas</t>
  </si>
  <si>
    <t>Vasilieos</t>
  </si>
  <si>
    <t>Pappas</t>
  </si>
  <si>
    <t>viswanath_nagarajan</t>
  </si>
  <si>
    <t>Viswanath</t>
  </si>
  <si>
    <t>Nagarajan</t>
  </si>
  <si>
    <t>xin_hu</t>
  </si>
  <si>
    <t>Xin</t>
  </si>
  <si>
    <t>Hu</t>
  </si>
  <si>
    <t>xiping_wang</t>
  </si>
  <si>
    <t>Xiping</t>
  </si>
  <si>
    <t>yang_song</t>
  </si>
  <si>
    <t>Yang</t>
  </si>
  <si>
    <t>zhen_liu</t>
  </si>
  <si>
    <t>Zhen</t>
  </si>
  <si>
    <t>zubair_shafiq</t>
  </si>
  <si>
    <t>Zubair</t>
  </si>
  <si>
    <t>Shafiq</t>
  </si>
  <si>
    <t>andres_garcia-camino</t>
  </si>
  <si>
    <t>Andres</t>
  </si>
  <si>
    <t>Garcia-Camino</t>
  </si>
  <si>
    <t>dario_fiore</t>
  </si>
  <si>
    <t>Dario</t>
  </si>
  <si>
    <t>Fiore</t>
  </si>
  <si>
    <t>jean-charles_faugere</t>
  </si>
  <si>
    <t>Jean-Charles</t>
  </si>
  <si>
    <t>Faugere</t>
  </si>
  <si>
    <t>ludovic_perret</t>
  </si>
  <si>
    <t>Ludovic</t>
  </si>
  <si>
    <t>Perret</t>
  </si>
  <si>
    <t>joel_alwen</t>
  </si>
  <si>
    <t>Alwen</t>
  </si>
  <si>
    <t>alberto_schaeffer-filho</t>
  </si>
  <si>
    <t>Schaeffer-Filho</t>
  </si>
  <si>
    <t>alessandra_russo</t>
  </si>
  <si>
    <t>Alessandra</t>
  </si>
  <si>
    <t>Russo</t>
  </si>
  <si>
    <t>alexander_wolf</t>
  </si>
  <si>
    <t>Alexander</t>
  </si>
  <si>
    <t>Wolf</t>
  </si>
  <si>
    <t>andrei_petric</t>
  </si>
  <si>
    <t>Andrei</t>
  </si>
  <si>
    <t>Petric</t>
  </si>
  <si>
    <t>athanasios_gkelias</t>
  </si>
  <si>
    <t>Athanasios</t>
  </si>
  <si>
    <t>Gkelias</t>
  </si>
  <si>
    <t>chee_yen_leow</t>
  </si>
  <si>
    <t>Leow</t>
  </si>
  <si>
    <t>chi_liu</t>
  </si>
  <si>
    <t>Chi</t>
  </si>
  <si>
    <t>chung_huat_tan</t>
  </si>
  <si>
    <t>Chung-Huat</t>
  </si>
  <si>
    <t>Tan</t>
  </si>
  <si>
    <t>cong_ling</t>
  </si>
  <si>
    <t>Cong</t>
  </si>
  <si>
    <t>dalal_alrajeh</t>
  </si>
  <si>
    <t>Dalal</t>
  </si>
  <si>
    <t>Alrajeh</t>
  </si>
  <si>
    <t>daniel_okeeffe</t>
  </si>
  <si>
    <t>O'Keeffe</t>
  </si>
  <si>
    <t>dave_thornley</t>
  </si>
  <si>
    <t>Thornley</t>
  </si>
  <si>
    <t>duncan_gillies</t>
  </si>
  <si>
    <t>Duncan</t>
  </si>
  <si>
    <t>Gillies</t>
  </si>
  <si>
    <t>emil_lupu</t>
  </si>
  <si>
    <t>Emil</t>
  </si>
  <si>
    <t>Lupu</t>
  </si>
  <si>
    <t>erol_gelenbe</t>
  </si>
  <si>
    <t>Erol</t>
  </si>
  <si>
    <t>Gelenbe</t>
  </si>
  <si>
    <t>eskindir_asmare</t>
  </si>
  <si>
    <t>Eskindir</t>
  </si>
  <si>
    <t>Asmare</t>
  </si>
  <si>
    <t>george_tychogiorgos</t>
  </si>
  <si>
    <t>Tychogiorgos</t>
  </si>
  <si>
    <t>haishi_ning</t>
  </si>
  <si>
    <t>Haishi</t>
  </si>
  <si>
    <t>Ning</t>
  </si>
  <si>
    <t>ivan_ho</t>
  </si>
  <si>
    <t>Ivan</t>
  </si>
  <si>
    <t>Ho</t>
  </si>
  <si>
    <t>jeff_kramer</t>
  </si>
  <si>
    <t>Jeff</t>
  </si>
  <si>
    <t>Kramer</t>
  </si>
  <si>
    <t>jiefei_ma</t>
  </si>
  <si>
    <t>Jiefei</t>
  </si>
  <si>
    <t>Ma</t>
  </si>
  <si>
    <t>julie_mccann</t>
  </si>
  <si>
    <t>McCann</t>
  </si>
  <si>
    <t>keith_clark</t>
  </si>
  <si>
    <t>Clark</t>
  </si>
  <si>
    <t>kevin_twidle</t>
  </si>
  <si>
    <t>Twidle</t>
  </si>
  <si>
    <t>kin_leung</t>
  </si>
  <si>
    <t>Kin</t>
  </si>
  <si>
    <t>Leung</t>
  </si>
  <si>
    <t>krysia_broda</t>
  </si>
  <si>
    <t>Krysia</t>
  </si>
  <si>
    <t>Broda</t>
  </si>
  <si>
    <t>laurence_hey</t>
  </si>
  <si>
    <t>Laurence</t>
  </si>
  <si>
    <t>Hey</t>
  </si>
  <si>
    <t>liang_ma</t>
  </si>
  <si>
    <t>Liang</t>
  </si>
  <si>
    <t>luke_dickens</t>
  </si>
  <si>
    <t>Luke</t>
  </si>
  <si>
    <t>Dickens</t>
  </si>
  <si>
    <t>mark_harvey</t>
  </si>
  <si>
    <t>Harvey</t>
  </si>
  <si>
    <t>morris_sloman</t>
  </si>
  <si>
    <t>Morris</t>
  </si>
  <si>
    <t>Sloman</t>
  </si>
  <si>
    <t>naranker_dulay</t>
  </si>
  <si>
    <t>Naranker</t>
  </si>
  <si>
    <t>Dulay</t>
  </si>
  <si>
    <t>nikoletta_sofra</t>
  </si>
  <si>
    <t>Nikoletta</t>
  </si>
  <si>
    <t>Sofra</t>
  </si>
  <si>
    <t>peter_pietzuch</t>
  </si>
  <si>
    <t>Pietzuch</t>
  </si>
  <si>
    <t>petr_novotny</t>
  </si>
  <si>
    <t>Petr</t>
  </si>
  <si>
    <t>Novotny</t>
  </si>
  <si>
    <t>robert_craven</t>
  </si>
  <si>
    <t>Robert</t>
  </si>
  <si>
    <t>Craven</t>
  </si>
  <si>
    <t>sebastin_uchitel</t>
  </si>
  <si>
    <t>Sebastin</t>
  </si>
  <si>
    <t>Uchitel</t>
  </si>
  <si>
    <t>sepideh_nazemi</t>
  </si>
  <si>
    <t>Sepideh</t>
  </si>
  <si>
    <t>Nazemi</t>
  </si>
  <si>
    <t>shiqiang_wang</t>
  </si>
  <si>
    <t>Shiqiang</t>
  </si>
  <si>
    <t>shusen_yang</t>
  </si>
  <si>
    <t>Shusen</t>
  </si>
  <si>
    <t>susan_eisenbach</t>
  </si>
  <si>
    <t>Susan</t>
  </si>
  <si>
    <t>Eisenbach</t>
  </si>
  <si>
    <t>sye-loong_keoh</t>
  </si>
  <si>
    <t>Sye-Loong</t>
  </si>
  <si>
    <t>Keoh</t>
  </si>
  <si>
    <t>themistoklis_bourdenas</t>
  </si>
  <si>
    <t>Themistoklis</t>
  </si>
  <si>
    <t>Bourdenas</t>
  </si>
  <si>
    <t>yun_hou</t>
  </si>
  <si>
    <t>Yun</t>
  </si>
  <si>
    <t>Hou</t>
  </si>
  <si>
    <t>zhengguo_sheng</t>
  </si>
  <si>
    <t>Zhengguo</t>
  </si>
  <si>
    <t>Sheng</t>
  </si>
  <si>
    <t>zhiguo_ding</t>
  </si>
  <si>
    <t>Zhiguo</t>
  </si>
  <si>
    <t>Ding</t>
  </si>
  <si>
    <t>christian_bonnet</t>
  </si>
  <si>
    <t>Bonnet</t>
  </si>
  <si>
    <t>fethi_filali</t>
  </si>
  <si>
    <t>Fethi</t>
  </si>
  <si>
    <t>Filali</t>
  </si>
  <si>
    <t>vrizlynn_thing</t>
  </si>
  <si>
    <t>Vrizlynn</t>
  </si>
  <si>
    <t>Thing</t>
  </si>
  <si>
    <t>woon_hau_chin</t>
  </si>
  <si>
    <t>Chin</t>
  </si>
  <si>
    <t>martin_grabner</t>
  </si>
  <si>
    <t>Grabner</t>
  </si>
  <si>
    <t>matthias_dehmer</t>
  </si>
  <si>
    <t>Matthias</t>
  </si>
  <si>
    <t>Dehmer</t>
  </si>
  <si>
    <t>michael_dorneich</t>
  </si>
  <si>
    <t>Dorneich</t>
  </si>
  <si>
    <t>paolo_lutterotti</t>
  </si>
  <si>
    <t>Paulo</t>
  </si>
  <si>
    <t>Lutterotti</t>
  </si>
  <si>
    <t>guilin_qi</t>
  </si>
  <si>
    <t>Guilin</t>
  </si>
  <si>
    <t>Qi</t>
  </si>
  <si>
    <t>jing_he</t>
  </si>
  <si>
    <t>Jing</t>
  </si>
  <si>
    <t>dennis_hofheinz</t>
  </si>
  <si>
    <t>Dennis</t>
  </si>
  <si>
    <t>Hofheinz</t>
  </si>
  <si>
    <t>andreas_kassler</t>
  </si>
  <si>
    <t>Andreas</t>
  </si>
  <si>
    <t>Kassler</t>
  </si>
  <si>
    <t>michael_luck</t>
  </si>
  <si>
    <t>Luck</t>
  </si>
  <si>
    <t>norman_heino</t>
  </si>
  <si>
    <t>Norman</t>
  </si>
  <si>
    <t>Heino</t>
  </si>
  <si>
    <t>dave_sloggett</t>
  </si>
  <si>
    <t>Sloggett</t>
  </si>
  <si>
    <t>gavin_lock</t>
  </si>
  <si>
    <t>Lock</t>
  </si>
  <si>
    <t>stephan_eidenbenz</t>
  </si>
  <si>
    <t>Stephan</t>
  </si>
  <si>
    <t>Eidenbenz</t>
  </si>
  <si>
    <t>ian_jacobi</t>
  </si>
  <si>
    <t>Jacobi</t>
  </si>
  <si>
    <t>lalana_kagal</t>
  </si>
  <si>
    <t>Lalana</t>
  </si>
  <si>
    <t>Kagal</t>
  </si>
  <si>
    <t>mark_klein</t>
  </si>
  <si>
    <t>Klein</t>
  </si>
  <si>
    <t>bryan_parno</t>
  </si>
  <si>
    <t>Bryan</t>
  </si>
  <si>
    <t>Parno</t>
  </si>
  <si>
    <t>chuanxiong_guo</t>
  </si>
  <si>
    <t>Chuanxiong</t>
  </si>
  <si>
    <t>Guo</t>
  </si>
  <si>
    <t>moritz_becker</t>
  </si>
  <si>
    <t>Moritz</t>
  </si>
  <si>
    <t>Becker</t>
  </si>
  <si>
    <t>paolo_costa</t>
  </si>
  <si>
    <t>Paolo</t>
  </si>
  <si>
    <t>Costa</t>
  </si>
  <si>
    <t>vinod_vaikuntanathan</t>
  </si>
  <si>
    <t>Vinod</t>
  </si>
  <si>
    <t>Vaikuntanathan</t>
  </si>
  <si>
    <t>michael_frame</t>
  </si>
  <si>
    <t>Frame</t>
  </si>
  <si>
    <t>phil_sutton</t>
  </si>
  <si>
    <t>Phil</t>
  </si>
  <si>
    <t>Sutton</t>
  </si>
  <si>
    <t>hiroshi_hosobe</t>
  </si>
  <si>
    <t>Hiroshi</t>
  </si>
  <si>
    <t>Hosobe</t>
  </si>
  <si>
    <t>ken_satoh</t>
  </si>
  <si>
    <t>Ken</t>
  </si>
  <si>
    <t>Satoh</t>
  </si>
  <si>
    <t>konstantinos_vamvourellis</t>
  </si>
  <si>
    <t>Konstantinos</t>
  </si>
  <si>
    <t>Vamvourellis</t>
  </si>
  <si>
    <t>juong-sik_lee</t>
  </si>
  <si>
    <t>Juong-Sik</t>
  </si>
  <si>
    <t>chung_wei_hang</t>
  </si>
  <si>
    <t>munindar_singh</t>
  </si>
  <si>
    <t>Munindar</t>
  </si>
  <si>
    <t>srikanth_hariharan</t>
  </si>
  <si>
    <t>Srikanth</t>
  </si>
  <si>
    <t>Hariharan</t>
  </si>
  <si>
    <t>arosha_bandara</t>
  </si>
  <si>
    <t>Arosha</t>
  </si>
  <si>
    <t>Bandara</t>
  </si>
  <si>
    <t>takamasa_higuchi</t>
  </si>
  <si>
    <t>Higuchi</t>
  </si>
  <si>
    <t>Takamasa</t>
  </si>
  <si>
    <t>jun_zhao</t>
  </si>
  <si>
    <t>robin_dunbar</t>
  </si>
  <si>
    <t>Robin</t>
  </si>
  <si>
    <t>Dunbar</t>
  </si>
  <si>
    <t>sam_roberts</t>
  </si>
  <si>
    <t>gonul_ayci</t>
  </si>
  <si>
    <t>Gonul</t>
  </si>
  <si>
    <t>Ayci</t>
  </si>
  <si>
    <t>xavier_boyen</t>
  </si>
  <si>
    <t>Xavier</t>
  </si>
  <si>
    <t>Boyen</t>
  </si>
  <si>
    <t>ashwin_sridharan</t>
  </si>
  <si>
    <t>Ashwin</t>
  </si>
  <si>
    <t>Sridharan</t>
  </si>
  <si>
    <t>bhaskar_prabhala</t>
  </si>
  <si>
    <t>Bhaskar</t>
  </si>
  <si>
    <t>Prabhala</t>
  </si>
  <si>
    <t>brett_holbert</t>
  </si>
  <si>
    <t>Brett</t>
  </si>
  <si>
    <t>Holbert</t>
  </si>
  <si>
    <t>chao-hsien_chu</t>
  </si>
  <si>
    <t>Chao-Hsien</t>
  </si>
  <si>
    <t>Chu</t>
  </si>
  <si>
    <t>don_shemanski</t>
  </si>
  <si>
    <t>Shemanski</t>
  </si>
  <si>
    <t>dongwon_lee</t>
  </si>
  <si>
    <t>Dongwon</t>
  </si>
  <si>
    <t>fangfei_chen</t>
  </si>
  <si>
    <t>Fangfei</t>
  </si>
  <si>
    <t>Chen</t>
  </si>
  <si>
    <t>guohong_cao</t>
  </si>
  <si>
    <t>Guohong</t>
  </si>
  <si>
    <t>Cao</t>
  </si>
  <si>
    <t>heesook_choi</t>
  </si>
  <si>
    <t>Heesook</t>
  </si>
  <si>
    <t>hosam_rowaihy</t>
  </si>
  <si>
    <t>Hosam</t>
  </si>
  <si>
    <t>Rowaihy</t>
  </si>
  <si>
    <t>jaesheung_shin</t>
  </si>
  <si>
    <t>Jaesheung</t>
  </si>
  <si>
    <t>Shin</t>
  </si>
  <si>
    <t>james_edwards</t>
  </si>
  <si>
    <t>Edwards</t>
  </si>
  <si>
    <t>mingyi_zhao</t>
  </si>
  <si>
    <t>Mingyi</t>
  </si>
  <si>
    <t>nan_hu</t>
  </si>
  <si>
    <t>Nan</t>
  </si>
  <si>
    <t>patrick_mcdaniel</t>
  </si>
  <si>
    <t>McDaniel</t>
  </si>
  <si>
    <t>peng_liu</t>
  </si>
  <si>
    <t>qiang_zeng</t>
  </si>
  <si>
    <t>Qiang</t>
  </si>
  <si>
    <t>Zeng</t>
  </si>
  <si>
    <t>raju_kumar</t>
  </si>
  <si>
    <t>Raju</t>
  </si>
  <si>
    <t>Kumar</t>
  </si>
  <si>
    <t>scott_rager</t>
  </si>
  <si>
    <t>Rager</t>
  </si>
  <si>
    <t>sencun_zhu</t>
  </si>
  <si>
    <t>Sencun</t>
  </si>
  <si>
    <t>Zhu</t>
  </si>
  <si>
    <t>sharanya_eswaran</t>
  </si>
  <si>
    <t>Sharanya</t>
  </si>
  <si>
    <t>Eswaran</t>
  </si>
  <si>
    <t>simone_silvestri</t>
  </si>
  <si>
    <t>Simone</t>
  </si>
  <si>
    <t>Silvestri</t>
  </si>
  <si>
    <t>srikar_tati</t>
  </si>
  <si>
    <t>Srikar</t>
  </si>
  <si>
    <t>Tati</t>
  </si>
  <si>
    <t>william_enck</t>
  </si>
  <si>
    <t>Enck</t>
  </si>
  <si>
    <t>kevin_iga</t>
  </si>
  <si>
    <t>Iga</t>
  </si>
  <si>
    <t>changchang_liu</t>
  </si>
  <si>
    <t>Changchang</t>
  </si>
  <si>
    <t>jennifer_rexford</t>
  </si>
  <si>
    <t>Rexford</t>
  </si>
  <si>
    <t>laurent_vanbever</t>
  </si>
  <si>
    <t>Laurent</t>
  </si>
  <si>
    <t>Vanbever</t>
  </si>
  <si>
    <t>prateek_mittal</t>
  </si>
  <si>
    <t>Prateek</t>
  </si>
  <si>
    <t>Mittal</t>
  </si>
  <si>
    <t>mark_walters</t>
  </si>
  <si>
    <t>Walters</t>
  </si>
  <si>
    <t>frank_emmert-streib</t>
  </si>
  <si>
    <t>Frank</t>
  </si>
  <si>
    <t>Emmert-Streib</t>
  </si>
  <si>
    <t>tharmalingam_ratnarajah</t>
  </si>
  <si>
    <t>Tharmalingam</t>
  </si>
  <si>
    <t>Ratnarajah</t>
  </si>
  <si>
    <t>alex_dent</t>
  </si>
  <si>
    <t>Dent</t>
  </si>
  <si>
    <t>allan_tomlinson</t>
  </si>
  <si>
    <t>Allan</t>
  </si>
  <si>
    <t>Tomlinson</t>
  </si>
  <si>
    <t>arman_khouzani</t>
  </si>
  <si>
    <t>Arman</t>
  </si>
  <si>
    <t>Khouzani</t>
  </si>
  <si>
    <t>carlos_cid</t>
  </si>
  <si>
    <t>Carlos</t>
  </si>
  <si>
    <t>Cid</t>
  </si>
  <si>
    <t>charles_morisset</t>
  </si>
  <si>
    <t>Charles</t>
  </si>
  <si>
    <t>Morisset</t>
  </si>
  <si>
    <t>christian_janson</t>
  </si>
  <si>
    <t>Janson</t>
  </si>
  <si>
    <t>eimear_gallery</t>
  </si>
  <si>
    <t>Eimar</t>
  </si>
  <si>
    <t>Gallery</t>
  </si>
  <si>
    <t>elizabeth_quaglia</t>
  </si>
  <si>
    <t>Elizabeth</t>
  </si>
  <si>
    <t>Quaglia</t>
  </si>
  <si>
    <t>james_alderman</t>
  </si>
  <si>
    <t>Alderman</t>
  </si>
  <si>
    <t>jason_crampton</t>
  </si>
  <si>
    <t>Jason</t>
  </si>
  <si>
    <t>Crampton</t>
  </si>
  <si>
    <t>kenny_paterson</t>
  </si>
  <si>
    <t>Kenny</t>
  </si>
  <si>
    <t>Paterson</t>
  </si>
  <si>
    <t>martin_albrecht</t>
  </si>
  <si>
    <t>Albrecht</t>
  </si>
  <si>
    <t>po-wah_yau</t>
  </si>
  <si>
    <t>Po-Wah</t>
  </si>
  <si>
    <t>Yau</t>
  </si>
  <si>
    <t>pooya_farshim</t>
  </si>
  <si>
    <t>Pooya</t>
  </si>
  <si>
    <t>Farshim</t>
  </si>
  <si>
    <t>robert_fitzpatrick</t>
  </si>
  <si>
    <t>Fitzpatrick</t>
  </si>
  <si>
    <t>shane_balfe</t>
  </si>
  <si>
    <t>Balfe</t>
  </si>
  <si>
    <t>sriramkrishnan_srinivasan</t>
  </si>
  <si>
    <t>Sriramkrishnan</t>
  </si>
  <si>
    <t>steffen_reidt</t>
  </si>
  <si>
    <t>Steffen</t>
  </si>
  <si>
    <t>Reidt</t>
  </si>
  <si>
    <t>stephen_wolthusen</t>
  </si>
  <si>
    <t>Wolthusen</t>
  </si>
  <si>
    <t>viet_pham</t>
  </si>
  <si>
    <t>Viet</t>
  </si>
  <si>
    <t>wei_zhang</t>
  </si>
  <si>
    <t>ankesh_khandelwal</t>
  </si>
  <si>
    <t>Ankesh</t>
  </si>
  <si>
    <t>Khandelwal</t>
  </si>
  <si>
    <t>boleslaw_szymanski</t>
  </si>
  <si>
    <t>Boleslaw</t>
  </si>
  <si>
    <t>Szymanski</t>
  </si>
  <si>
    <t>caleb_vincent</t>
  </si>
  <si>
    <t>Caleb</t>
  </si>
  <si>
    <t>Vincent</t>
  </si>
  <si>
    <t>christopher_morrell</t>
  </si>
  <si>
    <t>Morrell</t>
  </si>
  <si>
    <t>deborah_mcguiness</t>
  </si>
  <si>
    <t>Deborah</t>
  </si>
  <si>
    <t>McGuiness</t>
  </si>
  <si>
    <t>deborah_mcguinness</t>
  </si>
  <si>
    <t>McGuinness</t>
  </si>
  <si>
    <t>eyuphan_bulut</t>
  </si>
  <si>
    <t>Eyuphan</t>
  </si>
  <si>
    <t>Bulut</t>
  </si>
  <si>
    <t>gang_chen</t>
  </si>
  <si>
    <t>Gang</t>
  </si>
  <si>
    <t>gilbert_chen</t>
  </si>
  <si>
    <t>Gilbert</t>
  </si>
  <si>
    <t>gregory_williams</t>
  </si>
  <si>
    <t>Gregory</t>
  </si>
  <si>
    <t>Williams</t>
  </si>
  <si>
    <t>gyorgy_korniss</t>
  </si>
  <si>
    <t>Gyorgy</t>
  </si>
  <si>
    <t>Korniss</t>
  </si>
  <si>
    <t>heng_ji</t>
  </si>
  <si>
    <t>Heng</t>
  </si>
  <si>
    <t>james_michaelis</t>
  </si>
  <si>
    <t>Michaelis</t>
  </si>
  <si>
    <t>jiao_tao</t>
  </si>
  <si>
    <t>Jiao</t>
  </si>
  <si>
    <t>Tao</t>
  </si>
  <si>
    <t>jie_bao</t>
  </si>
  <si>
    <t>Jie</t>
  </si>
  <si>
    <t>Bao</t>
  </si>
  <si>
    <t>jierui_xie</t>
  </si>
  <si>
    <t>Jierui</t>
  </si>
  <si>
    <t>Xie</t>
  </si>
  <si>
    <t>jin_zheng</t>
  </si>
  <si>
    <t>Jin</t>
  </si>
  <si>
    <t>Zheng</t>
  </si>
  <si>
    <t>kamil_wasilewski</t>
  </si>
  <si>
    <t>Kamil</t>
  </si>
  <si>
    <t>Wasilewski</t>
  </si>
  <si>
    <t>lei_chen</t>
  </si>
  <si>
    <t>Lei</t>
  </si>
  <si>
    <t>li_ding</t>
  </si>
  <si>
    <t>malik_magdon-ismail</t>
  </si>
  <si>
    <t>Malik</t>
  </si>
  <si>
    <t>Magdon-Ismail</t>
  </si>
  <si>
    <t>mark_goldberg</t>
  </si>
  <si>
    <t>Goldberg</t>
  </si>
  <si>
    <t>mark_lisee</t>
  </si>
  <si>
    <t>Lisee</t>
  </si>
  <si>
    <t>mykola_hayvanovych</t>
  </si>
  <si>
    <t>Mykola</t>
  </si>
  <si>
    <t>Hayvanovych</t>
  </si>
  <si>
    <t>qiming_lu</t>
  </si>
  <si>
    <t>Qiming</t>
  </si>
  <si>
    <t>robert_escriva</t>
  </si>
  <si>
    <t>Escriva</t>
  </si>
  <si>
    <t>rui_huang</t>
  </si>
  <si>
    <t>sahin_geyik</t>
  </si>
  <si>
    <t>Sahin</t>
  </si>
  <si>
    <t>Geyik</t>
  </si>
  <si>
    <t>sanmay_das</t>
  </si>
  <si>
    <t>Sanmay</t>
  </si>
  <si>
    <t>Das</t>
  </si>
  <si>
    <t>sibel_adali</t>
  </si>
  <si>
    <t>Sibel</t>
  </si>
  <si>
    <t>Adali</t>
  </si>
  <si>
    <t>syed_yousaf_shah</t>
  </si>
  <si>
    <t>Syed</t>
  </si>
  <si>
    <t>Shah</t>
  </si>
  <si>
    <t>thomas_babbitt</t>
  </si>
  <si>
    <t>Babbitt</t>
  </si>
  <si>
    <t>william_wallace</t>
  </si>
  <si>
    <t>Wallace</t>
  </si>
  <si>
    <t>zijian_wang</t>
  </si>
  <si>
    <t>Zijian</t>
  </si>
  <si>
    <t>adele_freeman</t>
  </si>
  <si>
    <t>Adele</t>
  </si>
  <si>
    <t>Freeman</t>
  </si>
  <si>
    <t>alan_ford</t>
  </si>
  <si>
    <t>Ford</t>
  </si>
  <si>
    <t>andrew_mcdonald</t>
  </si>
  <si>
    <t>McDonald</t>
  </si>
  <si>
    <t>howard_tripp</t>
  </si>
  <si>
    <t>Tripp</t>
  </si>
  <si>
    <t>katy_warr</t>
  </si>
  <si>
    <t>Katy</t>
  </si>
  <si>
    <t>Warr</t>
  </si>
  <si>
    <t>robert_hancock</t>
  </si>
  <si>
    <t>Hancock</t>
  </si>
  <si>
    <t>sam_empson</t>
  </si>
  <si>
    <t>Empson</t>
  </si>
  <si>
    <t>timothy_freeman</t>
  </si>
  <si>
    <t>Timothy</t>
  </si>
  <si>
    <t>eike_kiltz</t>
  </si>
  <si>
    <t>Eike</t>
  </si>
  <si>
    <t>Kiltz</t>
  </si>
  <si>
    <t>gautam_bhanage</t>
  </si>
  <si>
    <t>Gautam</t>
  </si>
  <si>
    <t>Bhanage</t>
  </si>
  <si>
    <t>emma_jones</t>
  </si>
  <si>
    <t>Emma</t>
  </si>
  <si>
    <t>iris_fermin</t>
  </si>
  <si>
    <t>Iris</t>
  </si>
  <si>
    <t>Fermin</t>
  </si>
  <si>
    <t>iya_whiteley</t>
  </si>
  <si>
    <t>Iya</t>
  </si>
  <si>
    <t>Solodilova-Whiteley</t>
  </si>
  <si>
    <t>mike_jackson</t>
  </si>
  <si>
    <t>Jackson</t>
  </si>
  <si>
    <t>brent_waters</t>
  </si>
  <si>
    <t>Brent</t>
  </si>
  <si>
    <t>Waters</t>
  </si>
  <si>
    <t>yuncheol_baek</t>
  </si>
  <si>
    <t>Yuncheol</t>
  </si>
  <si>
    <t>Baek</t>
  </si>
  <si>
    <t>novella_bartolini</t>
  </si>
  <si>
    <t>Novella</t>
  </si>
  <si>
    <t>Bartolini</t>
  </si>
  <si>
    <t>kasthuri_jayarajah</t>
  </si>
  <si>
    <t>Kasthuri</t>
  </si>
  <si>
    <t>Kayarajah</t>
  </si>
  <si>
    <t>pinghui_wang</t>
  </si>
  <si>
    <t>Pinghui</t>
  </si>
  <si>
    <t>zheng_ma</t>
  </si>
  <si>
    <t>hui_zang</t>
  </si>
  <si>
    <t>Zang</t>
  </si>
  <si>
    <t>dan_boneh</t>
  </si>
  <si>
    <t>Dan</t>
  </si>
  <si>
    <t>Boneh</t>
  </si>
  <si>
    <t>david_freeman</t>
  </si>
  <si>
    <t>dina_thomas</t>
  </si>
  <si>
    <t>Dina</t>
  </si>
  <si>
    <t>antonio_nicolosi</t>
  </si>
  <si>
    <t>Antonio</t>
  </si>
  <si>
    <t>Nicolosi</t>
  </si>
  <si>
    <t>honggang_zhang</t>
  </si>
  <si>
    <t>Honggang</t>
  </si>
  <si>
    <t>Zhank</t>
  </si>
  <si>
    <t>heike_schroeder</t>
  </si>
  <si>
    <t>Heike</t>
  </si>
  <si>
    <t>Schroeder</t>
  </si>
  <si>
    <t>marc_fischlin</t>
  </si>
  <si>
    <t>Fischlin</t>
  </si>
  <si>
    <t>jerry_burman</t>
  </si>
  <si>
    <t>Jerry</t>
  </si>
  <si>
    <t>Burman</t>
  </si>
  <si>
    <t>chris_giannella</t>
  </si>
  <si>
    <t>Giannella</t>
  </si>
  <si>
    <t>jianyong_wang</t>
  </si>
  <si>
    <t>Jianyong</t>
  </si>
  <si>
    <t>lizhu_zhou</t>
  </si>
  <si>
    <t>Lizhu</t>
  </si>
  <si>
    <t>Zhou</t>
  </si>
  <si>
    <t>yuzhou_zhang</t>
  </si>
  <si>
    <t>Yuzhou</t>
  </si>
  <si>
    <t>martin_maas</t>
  </si>
  <si>
    <t>Maas</t>
  </si>
  <si>
    <t>alexander_chang</t>
  </si>
  <si>
    <t>amit_sahai</t>
  </si>
  <si>
    <t>Amit</t>
  </si>
  <si>
    <t>Sahai</t>
  </si>
  <si>
    <t>andrew_symington</t>
  </si>
  <si>
    <t>Symington</t>
  </si>
  <si>
    <t>atsushi_fujimura</t>
  </si>
  <si>
    <t>Atsushi</t>
  </si>
  <si>
    <t>Fujimura</t>
  </si>
  <si>
    <t>babak_daneshrad</t>
  </si>
  <si>
    <t>Babak</t>
  </si>
  <si>
    <t>Daneshrad</t>
  </si>
  <si>
    <t>biao_zhou</t>
  </si>
  <si>
    <t>Biao</t>
  </si>
  <si>
    <t>brian_choi</t>
  </si>
  <si>
    <t>chenguang_shen</t>
  </si>
  <si>
    <t>Chenguang</t>
  </si>
  <si>
    <t>chieh_ning_lien</t>
  </si>
  <si>
    <t>Lien</t>
  </si>
  <si>
    <t>chien_chia_chen</t>
  </si>
  <si>
    <t>clifford_chen</t>
  </si>
  <si>
    <t>Clifford</t>
  </si>
  <si>
    <t>dae-ki_cho</t>
  </si>
  <si>
    <t>Dae-Ki</t>
  </si>
  <si>
    <t>daniela_tulone</t>
  </si>
  <si>
    <t>Daniela</t>
  </si>
  <si>
    <t>Tulone</t>
  </si>
  <si>
    <t>davide_lau</t>
  </si>
  <si>
    <t>Davide</t>
  </si>
  <si>
    <t>Lau</t>
  </si>
  <si>
    <t>donnie_kim</t>
  </si>
  <si>
    <t>Donnie</t>
  </si>
  <si>
    <t>eun-kyu_lee</t>
  </si>
  <si>
    <t>Eun-Kyu</t>
  </si>
  <si>
    <t>frank_chang</t>
  </si>
  <si>
    <t>gabriel_pan</t>
  </si>
  <si>
    <t>Gabriel</t>
  </si>
  <si>
    <t>giovanni_pau</t>
  </si>
  <si>
    <t>Giovanni</t>
  </si>
  <si>
    <t>Pau</t>
  </si>
  <si>
    <t>guan-hua_tu</t>
  </si>
  <si>
    <t>Guan-Hua</t>
  </si>
  <si>
    <t>Tu</t>
  </si>
  <si>
    <t>guang_yang</t>
  </si>
  <si>
    <t>Guang</t>
  </si>
  <si>
    <t>gustavo_marfia</t>
  </si>
  <si>
    <t>Gustavo</t>
  </si>
  <si>
    <t>Marfia</t>
  </si>
  <si>
    <t>haksoo_choi</t>
  </si>
  <si>
    <t>Haksoo</t>
  </si>
  <si>
    <t>ian_ku</t>
  </si>
  <si>
    <t>Ku</t>
  </si>
  <si>
    <t>ioannis_pefkianakis</t>
  </si>
  <si>
    <t>Pefkianakis</t>
  </si>
  <si>
    <t>jason_cong</t>
  </si>
  <si>
    <t>jerrid_matthews</t>
  </si>
  <si>
    <t>Jerrid</t>
  </si>
  <si>
    <t>Matthews</t>
  </si>
  <si>
    <t>jiejun_kong</t>
  </si>
  <si>
    <t>Jiejun</t>
  </si>
  <si>
    <t>Kong</t>
  </si>
  <si>
    <t>jonathan_friedman</t>
  </si>
  <si>
    <t>Jonathan</t>
  </si>
  <si>
    <t>Friedman</t>
  </si>
  <si>
    <t>joseph_yeh</t>
  </si>
  <si>
    <t>Yeh</t>
  </si>
  <si>
    <t>kasturi_raghavan</t>
  </si>
  <si>
    <t>Kasturi</t>
  </si>
  <si>
    <t>Raghavan</t>
  </si>
  <si>
    <t>kevin_lee</t>
  </si>
  <si>
    <t>lara_dolecek</t>
  </si>
  <si>
    <t>Lara</t>
  </si>
  <si>
    <t>Dolecek</t>
  </si>
  <si>
    <t>ling-jyh_chen</t>
  </si>
  <si>
    <t>Ling-Jyh</t>
  </si>
  <si>
    <t>lixia_zhang</t>
  </si>
  <si>
    <t>Lixia</t>
  </si>
  <si>
    <t>luiz_filipe_vieira</t>
  </si>
  <si>
    <t>Luiz</t>
  </si>
  <si>
    <t>mani_srivastava</t>
  </si>
  <si>
    <t>Mani</t>
  </si>
  <si>
    <t>Srivastava</t>
  </si>
  <si>
    <t>mario_gerla</t>
  </si>
  <si>
    <t>Mario</t>
  </si>
  <si>
    <t>Gerla</t>
  </si>
  <si>
    <t>matt_millar</t>
  </si>
  <si>
    <t>Matt</t>
  </si>
  <si>
    <t>Millar</t>
  </si>
  <si>
    <t>medy_sanadidi</t>
  </si>
  <si>
    <t>Medy</t>
  </si>
  <si>
    <t>Sanadidi</t>
  </si>
  <si>
    <t>michael_meisel</t>
  </si>
  <si>
    <t>Meisel</t>
  </si>
  <si>
    <t>nanxi_chen</t>
  </si>
  <si>
    <t>Nanxi</t>
  </si>
  <si>
    <t>nicolas_bitouze</t>
  </si>
  <si>
    <t>Nicolas</t>
  </si>
  <si>
    <t>Bitouze</t>
  </si>
  <si>
    <t>nishanth_alapati</t>
  </si>
  <si>
    <t>Nishanth</t>
  </si>
  <si>
    <t>Alapati</t>
  </si>
  <si>
    <t>paul_martin</t>
  </si>
  <si>
    <t>pei-chun_cheng</t>
  </si>
  <si>
    <t>Pei-Chun</t>
  </si>
  <si>
    <t>pengkai_zhao</t>
  </si>
  <si>
    <t>Pengkai</t>
  </si>
  <si>
    <t>prashanth_swaminathan</t>
  </si>
  <si>
    <t>Prashanth</t>
  </si>
  <si>
    <t>Swaminathan</t>
  </si>
  <si>
    <t>roy_shea</t>
  </si>
  <si>
    <t>Shea</t>
  </si>
  <si>
    <t>ryan_cheung</t>
  </si>
  <si>
    <t>Cheung</t>
  </si>
  <si>
    <t>sadaf_zahedi</t>
  </si>
  <si>
    <t>Sadaf</t>
  </si>
  <si>
    <t>Zahedi</t>
  </si>
  <si>
    <t>sai-wang_tam</t>
  </si>
  <si>
    <t>Sai-Wang</t>
  </si>
  <si>
    <t>Tam</t>
  </si>
  <si>
    <t>salma_elmalaki</t>
  </si>
  <si>
    <t>Salma</t>
  </si>
  <si>
    <t>Elmalaki</t>
  </si>
  <si>
    <t>saurabh_ganeriwal</t>
  </si>
  <si>
    <t>Saurabh</t>
  </si>
  <si>
    <t>Ganeriwal</t>
  </si>
  <si>
    <t>seung-hoon_lee</t>
  </si>
  <si>
    <t>Seung-Hoon</t>
  </si>
  <si>
    <t>sewook_jung</t>
  </si>
  <si>
    <t>Sewook</t>
  </si>
  <si>
    <t>Jung</t>
  </si>
  <si>
    <t>songwu_lu</t>
  </si>
  <si>
    <t>Songwu</t>
  </si>
  <si>
    <t>soon_young_oh</t>
  </si>
  <si>
    <t>suk-bok_lee</t>
  </si>
  <si>
    <t>Suk-Bok</t>
  </si>
  <si>
    <t>supriyo_chakraborty</t>
  </si>
  <si>
    <t>Supriyo</t>
  </si>
  <si>
    <t>thomas_schmid</t>
  </si>
  <si>
    <t>Schmid</t>
  </si>
  <si>
    <t>tony_sun</t>
  </si>
  <si>
    <t>Tony</t>
  </si>
  <si>
    <t>Sun</t>
  </si>
  <si>
    <t>triet_le</t>
  </si>
  <si>
    <t>Triet</t>
  </si>
  <si>
    <t>uichin_lee</t>
  </si>
  <si>
    <t>Uichin</t>
  </si>
  <si>
    <t>wentao_ouyang</t>
  </si>
  <si>
    <t>Ouyang</t>
  </si>
  <si>
    <t>wooseong_kim</t>
  </si>
  <si>
    <t>Wooseong</t>
  </si>
  <si>
    <t>yasser_shoukry</t>
  </si>
  <si>
    <t>Yasser</t>
  </si>
  <si>
    <t>Shoukry</t>
  </si>
  <si>
    <t>yeng_zhong_lee</t>
  </si>
  <si>
    <t>Yeng-Zhong</t>
  </si>
  <si>
    <t>you_lu</t>
  </si>
  <si>
    <t>You</t>
  </si>
  <si>
    <t>younghun_kim</t>
  </si>
  <si>
    <t>younghun</t>
  </si>
  <si>
    <t>yu-ting_yu</t>
  </si>
  <si>
    <t>Yu-Ting</t>
  </si>
  <si>
    <t>zafeiria_anagnostopoulou</t>
  </si>
  <si>
    <t>Zafeiria</t>
  </si>
  <si>
    <t>Anagnostopoulou</t>
  </si>
  <si>
    <t>zainul_charbiwala</t>
  </si>
  <si>
    <t>Zainul</t>
  </si>
  <si>
    <t>Charbiwala</t>
  </si>
  <si>
    <t>zhen_cao</t>
  </si>
  <si>
    <t>anthony_hunter</t>
  </si>
  <si>
    <t>Anthony</t>
  </si>
  <si>
    <t>Hunter</t>
  </si>
  <si>
    <t>jan_medvesek</t>
  </si>
  <si>
    <t>Jan</t>
  </si>
  <si>
    <t>Medvesek</t>
  </si>
  <si>
    <t>stephen_hailes</t>
  </si>
  <si>
    <t>Hailes</t>
  </si>
  <si>
    <t>panagiotis_voulgaris</t>
  </si>
  <si>
    <t>Voulgaris</t>
  </si>
  <si>
    <t>rene_cruz</t>
  </si>
  <si>
    <t>Rene</t>
  </si>
  <si>
    <t>Cruz</t>
  </si>
  <si>
    <t>aishwarya_thiruvengadam</t>
  </si>
  <si>
    <t>Aishwarya</t>
  </si>
  <si>
    <t>Thiruvengadam</t>
  </si>
  <si>
    <t>andrew_miller</t>
  </si>
  <si>
    <t>Miller</t>
  </si>
  <si>
    <t>anthony_ephremides</t>
  </si>
  <si>
    <t>Ephremides</t>
  </si>
  <si>
    <t>arkady_yerukhimovich</t>
  </si>
  <si>
    <t>Arkady</t>
  </si>
  <si>
    <t>Yerukhimovich</t>
  </si>
  <si>
    <t>aseem_rastogi</t>
  </si>
  <si>
    <t>Aseem</t>
  </si>
  <si>
    <t>Rastogi</t>
  </si>
  <si>
    <t>charalampos_papamanthou</t>
  </si>
  <si>
    <t>Charalampos</t>
  </si>
  <si>
    <t>Papamanthou</t>
  </si>
  <si>
    <t>daniel_apon</t>
  </si>
  <si>
    <t>Apon</t>
  </si>
  <si>
    <t>dominique_schroder</t>
  </si>
  <si>
    <t>Dominique</t>
  </si>
  <si>
    <t>Schroder</t>
  </si>
  <si>
    <t>elaine_shi</t>
  </si>
  <si>
    <t>Elaine</t>
  </si>
  <si>
    <t>Shi</t>
  </si>
  <si>
    <t>feng-hao_liu</t>
  </si>
  <si>
    <t>Feng-Hao</t>
  </si>
  <si>
    <t>gelareh_taban</t>
  </si>
  <si>
    <t>Gelareh</t>
  </si>
  <si>
    <t>Taban</t>
  </si>
  <si>
    <t>hillol_kargupta</t>
  </si>
  <si>
    <t>Hillol</t>
  </si>
  <si>
    <t>Kargupta</t>
  </si>
  <si>
    <t>ji_sun_shin</t>
  </si>
  <si>
    <t>jon_katz</t>
  </si>
  <si>
    <t>Katz</t>
  </si>
  <si>
    <t>leeger_yu</t>
  </si>
  <si>
    <t>Leeger</t>
  </si>
  <si>
    <t>matthew_hammer</t>
  </si>
  <si>
    <t>Hammer</t>
  </si>
  <si>
    <t>mike_hicks</t>
  </si>
  <si>
    <t>Hicks</t>
  </si>
  <si>
    <t>omer_horvitz</t>
  </si>
  <si>
    <t>Omer</t>
  </si>
  <si>
    <t>Horvitz</t>
  </si>
  <si>
    <t>piotr_mardziel</t>
  </si>
  <si>
    <t>Mardziel</t>
  </si>
  <si>
    <t>ranjit_kumaresan</t>
  </si>
  <si>
    <t>Ranjit</t>
  </si>
  <si>
    <t>Kumaresan</t>
  </si>
  <si>
    <t>samuel_dov_gordon</t>
  </si>
  <si>
    <t>Samuel</t>
  </si>
  <si>
    <t>seung_choi</t>
  </si>
  <si>
    <t>Seung</t>
  </si>
  <si>
    <t>seung_geol_choi</t>
  </si>
  <si>
    <t>stephen_magill</t>
  </si>
  <si>
    <t>Magill</t>
  </si>
  <si>
    <t>yan_huang</t>
  </si>
  <si>
    <t>yupeng_zhang</t>
  </si>
  <si>
    <t>Yupeng</t>
  </si>
  <si>
    <t>anand_seetharam</t>
  </si>
  <si>
    <t>Anand</t>
  </si>
  <si>
    <t>Seetharam</t>
  </si>
  <si>
    <t>azadeh_sheikholeslami</t>
  </si>
  <si>
    <t>Azadeh</t>
  </si>
  <si>
    <t>Sheikholeslami</t>
  </si>
  <si>
    <t>benyuan_liu</t>
  </si>
  <si>
    <t>Benyuan</t>
  </si>
  <si>
    <t>bo_jiang</t>
  </si>
  <si>
    <t>Bo</t>
  </si>
  <si>
    <t>Jiang</t>
  </si>
  <si>
    <t>boulat_bash</t>
  </si>
  <si>
    <t>Boulat</t>
  </si>
  <si>
    <t>Bash</t>
  </si>
  <si>
    <t>brian_levine</t>
  </si>
  <si>
    <t>Levine</t>
  </si>
  <si>
    <t>bruno_ribeiro</t>
  </si>
  <si>
    <t>Ribeiro</t>
  </si>
  <si>
    <t>cagatay_capar</t>
  </si>
  <si>
    <t>Cagatay</t>
  </si>
  <si>
    <t>Capar</t>
  </si>
  <si>
    <t>chang_liu</t>
  </si>
  <si>
    <t>dennis_goeckel</t>
  </si>
  <si>
    <t>Goeckel</t>
  </si>
  <si>
    <t>don_towsley</t>
  </si>
  <si>
    <t>Towsley</t>
  </si>
  <si>
    <t>elisha_rosensweig</t>
  </si>
  <si>
    <t>Elisha</t>
  </si>
  <si>
    <t>Rosensweig</t>
  </si>
  <si>
    <t>emmanuel_cecchet</t>
  </si>
  <si>
    <t>Emmanuel</t>
  </si>
  <si>
    <t>Cecchet</t>
  </si>
  <si>
    <t>hossein_pishro-nik</t>
  </si>
  <si>
    <t>Hossein</t>
  </si>
  <si>
    <t>Pishro-Nik</t>
  </si>
  <si>
    <t>jim_kurose</t>
  </si>
  <si>
    <t>Kurose</t>
  </si>
  <si>
    <t>junning_liu</t>
  </si>
  <si>
    <t>Junning</t>
  </si>
  <si>
    <t>kery_hardwick</t>
  </si>
  <si>
    <t>Kery</t>
  </si>
  <si>
    <t>Hardwick</t>
  </si>
  <si>
    <t>liaoruo_wang</t>
  </si>
  <si>
    <t>Liaoruo</t>
  </si>
  <si>
    <t>manikandan_somasundaram</t>
  </si>
  <si>
    <t>Manikandan</t>
  </si>
  <si>
    <t>Somasundaram</t>
  </si>
  <si>
    <t>mark_corner</t>
  </si>
  <si>
    <t>Corner</t>
  </si>
  <si>
    <t>mostafa_dehghan</t>
  </si>
  <si>
    <t>Mostafa</t>
  </si>
  <si>
    <t>Dehghan</t>
  </si>
  <si>
    <t>nilanjan_banerjee</t>
  </si>
  <si>
    <t>prashant_shenoy</t>
  </si>
  <si>
    <t>Prashant</t>
  </si>
  <si>
    <t>Shenoy</t>
  </si>
  <si>
    <t>ramesh_sitaraman</t>
  </si>
  <si>
    <t>Ramesh</t>
  </si>
  <si>
    <t>Sitaraman</t>
  </si>
  <si>
    <t>ramin_khalili</t>
  </si>
  <si>
    <t>Ramin</t>
  </si>
  <si>
    <t>Khalili</t>
  </si>
  <si>
    <t>stephan_adams</t>
  </si>
  <si>
    <t>Adams</t>
  </si>
  <si>
    <t>sudarshan_vasudevan</t>
  </si>
  <si>
    <t>Sudarshan</t>
  </si>
  <si>
    <t>Vasudevan</t>
  </si>
  <si>
    <t>victoria_manfredi</t>
  </si>
  <si>
    <t>Victoria</t>
  </si>
  <si>
    <t>Manfredi</t>
  </si>
  <si>
    <t>wei_wei</t>
  </si>
  <si>
    <t>weibo_gong</t>
  </si>
  <si>
    <t>Weibo</t>
  </si>
  <si>
    <t>Gong</t>
  </si>
  <si>
    <t>william_gauvin</t>
  </si>
  <si>
    <t>Gauvin</t>
  </si>
  <si>
    <t>xiaolan_zhang</t>
  </si>
  <si>
    <t>Xiaolan</t>
  </si>
  <si>
    <t>yeonsup_lim</t>
  </si>
  <si>
    <t>Yeon-sup</t>
  </si>
  <si>
    <t>Lim</t>
  </si>
  <si>
    <t>yong_huang</t>
  </si>
  <si>
    <t>Yong</t>
  </si>
  <si>
    <t>yonggang_hao</t>
  </si>
  <si>
    <t>Yonggang</t>
  </si>
  <si>
    <t>Hao</t>
  </si>
  <si>
    <t>yung-chih_chen</t>
  </si>
  <si>
    <t>Yung-Chih</t>
  </si>
  <si>
    <t>thomas_killion</t>
  </si>
  <si>
    <t>Killion</t>
  </si>
  <si>
    <t>alice_toniolo</t>
  </si>
  <si>
    <t>Alice</t>
  </si>
  <si>
    <t>Toniolo</t>
  </si>
  <si>
    <t>anthony_etuk</t>
  </si>
  <si>
    <t>Etuk</t>
  </si>
  <si>
    <t>artemis_parvizi</t>
  </si>
  <si>
    <t>Artemis</t>
  </si>
  <si>
    <t>Parvizi</t>
  </si>
  <si>
    <t>burcu_yilmaz</t>
  </si>
  <si>
    <t>Burcu</t>
  </si>
  <si>
    <t>Yilmaz</t>
  </si>
  <si>
    <t>chris_burnett</t>
  </si>
  <si>
    <t>Burnett</t>
  </si>
  <si>
    <t>craig_mckenzie</t>
  </si>
  <si>
    <t>McKenzie</t>
  </si>
  <si>
    <t>daniele_masato</t>
  </si>
  <si>
    <t>Daniele</t>
  </si>
  <si>
    <t>Masato</t>
  </si>
  <si>
    <t>david_emele</t>
  </si>
  <si>
    <t>Chukwuemeka</t>
  </si>
  <si>
    <t>Emele</t>
  </si>
  <si>
    <t>derek_sleeman</t>
  </si>
  <si>
    <t>Derek</t>
  </si>
  <si>
    <t>Sleeman</t>
  </si>
  <si>
    <t>frank_guerin</t>
  </si>
  <si>
    <t>Guerin</t>
  </si>
  <si>
    <t>hengfei_li</t>
  </si>
  <si>
    <t>Hengfei</t>
  </si>
  <si>
    <t>jeff_pan</t>
  </si>
  <si>
    <t>jhonatan_garcia</t>
  </si>
  <si>
    <t>Jhonatan</t>
  </si>
  <si>
    <t>Garcia</t>
  </si>
  <si>
    <t>mairi_mccallum</t>
  </si>
  <si>
    <t>Mairi</t>
  </si>
  <si>
    <t>McCallum</t>
  </si>
  <si>
    <t>mario_gomez</t>
  </si>
  <si>
    <t>Gomez</t>
  </si>
  <si>
    <t>martin_kollingbaum</t>
  </si>
  <si>
    <t>Kollingbaum</t>
  </si>
  <si>
    <t>murat_sensoy</t>
  </si>
  <si>
    <t>Murat</t>
  </si>
  <si>
    <t>Sensoy</t>
  </si>
  <si>
    <t>nava_tintarev</t>
  </si>
  <si>
    <t>Nava</t>
  </si>
  <si>
    <t>Tintarev</t>
  </si>
  <si>
    <t>nir_oren</t>
  </si>
  <si>
    <t>Nir</t>
  </si>
  <si>
    <t>Oren</t>
  </si>
  <si>
    <t>stuart_chalmers</t>
  </si>
  <si>
    <t>Chalmers</t>
  </si>
  <si>
    <t>thao_le</t>
  </si>
  <si>
    <t>Thao</t>
  </si>
  <si>
    <t>wamberto_vasconcelos</t>
  </si>
  <si>
    <t>Wamberto</t>
  </si>
  <si>
    <t>Vasconcelos</t>
  </si>
  <si>
    <t>anders_lindgren</t>
  </si>
  <si>
    <t>Anders</t>
  </si>
  <si>
    <t>Lindgren</t>
  </si>
  <si>
    <t>andrei_bejan</t>
  </si>
  <si>
    <t>Bejan</t>
  </si>
  <si>
    <t>andrew_twigg</t>
  </si>
  <si>
    <t>Twigg</t>
  </si>
  <si>
    <t>ann_copestake</t>
  </si>
  <si>
    <t>Ann</t>
  </si>
  <si>
    <t>Copestake</t>
  </si>
  <si>
    <t>cecilia_mascolo</t>
  </si>
  <si>
    <t>Cecilia</t>
  </si>
  <si>
    <t>Mascolo</t>
  </si>
  <si>
    <t>chi_kin_chau</t>
  </si>
  <si>
    <t>Sid</t>
  </si>
  <si>
    <t>Chau</t>
  </si>
  <si>
    <t>diarmuid_oseaghdha</t>
  </si>
  <si>
    <t>Diarmuid</t>
  </si>
  <si>
    <t>O'Seaghdha</t>
  </si>
  <si>
    <t>eiko_yoneki</t>
  </si>
  <si>
    <t>Eiko</t>
  </si>
  <si>
    <t>Yoneki</t>
  </si>
  <si>
    <t>ilias_leontiadis</t>
  </si>
  <si>
    <t>Ilias</t>
  </si>
  <si>
    <t>Leontiadis</t>
  </si>
  <si>
    <t>john_tang</t>
  </si>
  <si>
    <t>jon_crowcroft</t>
  </si>
  <si>
    <t>Crowcroft</t>
  </si>
  <si>
    <t>kuang_xu</t>
  </si>
  <si>
    <t>Kuang</t>
  </si>
  <si>
    <t>Xu</t>
  </si>
  <si>
    <t>mirco_musolesi</t>
  </si>
  <si>
    <t>Mirco</t>
  </si>
  <si>
    <t>Musolesi</t>
  </si>
  <si>
    <t>nik_sultana</t>
  </si>
  <si>
    <t>Nik</t>
  </si>
  <si>
    <t>Sultana</t>
  </si>
  <si>
    <t>pietro_lio</t>
  </si>
  <si>
    <t>Pietro</t>
  </si>
  <si>
    <t>Lio</t>
  </si>
  <si>
    <t>richard_gibbens</t>
  </si>
  <si>
    <t>Richard</t>
  </si>
  <si>
    <t>Gibbens</t>
  </si>
  <si>
    <t>richard_van_der_wath</t>
  </si>
  <si>
    <t>salvatore_scellato</t>
  </si>
  <si>
    <t>Salvatore</t>
  </si>
  <si>
    <t>Scellato</t>
  </si>
  <si>
    <t>steven_hand</t>
  </si>
  <si>
    <t>Hand</t>
  </si>
  <si>
    <t>tammy_cheng</t>
  </si>
  <si>
    <t>Tammy</t>
  </si>
  <si>
    <t>wenjun_hu</t>
  </si>
  <si>
    <t>Wenjun</t>
  </si>
  <si>
    <t>yu-en_lu</t>
  </si>
  <si>
    <t>Yu-En</t>
  </si>
  <si>
    <t>joe_sventek</t>
  </si>
  <si>
    <t>Joe</t>
  </si>
  <si>
    <t>Sventek</t>
  </si>
  <si>
    <t>steven_heeps</t>
  </si>
  <si>
    <t>Heeps</t>
  </si>
  <si>
    <t>steven_strowes</t>
  </si>
  <si>
    <t>Strowes</t>
  </si>
  <si>
    <t>ji_zhu</t>
  </si>
  <si>
    <t>riccardo_crepaldi</t>
  </si>
  <si>
    <t>Riccardo</t>
  </si>
  <si>
    <t>Crepaldi</t>
  </si>
  <si>
    <t>shuochao_yao</t>
  </si>
  <si>
    <t>Shuochao</t>
  </si>
  <si>
    <t>Yao</t>
  </si>
  <si>
    <t>tarek_abdelzaher</t>
  </si>
  <si>
    <t>Abdelzaher</t>
  </si>
  <si>
    <t>yunlong_gao</t>
  </si>
  <si>
    <t>Yunlong</t>
  </si>
  <si>
    <t>alistair_russell</t>
  </si>
  <si>
    <t>Alistair</t>
  </si>
  <si>
    <t>Russell</t>
  </si>
  <si>
    <t>baofeng_guo</t>
  </si>
  <si>
    <t>Baofeng</t>
  </si>
  <si>
    <t>christos_koumenides</t>
  </si>
  <si>
    <t>Koumenides</t>
  </si>
  <si>
    <t>darren_richardson</t>
  </si>
  <si>
    <t>duncan_mcrae-spencer</t>
  </si>
  <si>
    <t>McRae-Spencer</t>
  </si>
  <si>
    <t>luc_moreau</t>
  </si>
  <si>
    <t>Luc</t>
  </si>
  <si>
    <t>Moreau</t>
  </si>
  <si>
    <t>mark_nixon</t>
  </si>
  <si>
    <t>Nixon</t>
  </si>
  <si>
    <t>nigel_shadbolt</t>
  </si>
  <si>
    <t>Nigel</t>
  </si>
  <si>
    <t>Shadbolt</t>
  </si>
  <si>
    <t>paul_smart</t>
  </si>
  <si>
    <t>Smart</t>
  </si>
  <si>
    <t>paula_engelbrecht</t>
  </si>
  <si>
    <t>Paula</t>
  </si>
  <si>
    <t>Engelbrecht</t>
  </si>
  <si>
    <t>trung_dong_huynh</t>
  </si>
  <si>
    <t>Huynh</t>
  </si>
  <si>
    <t>yannis_kalfoglou</t>
  </si>
  <si>
    <t>Yannis</t>
  </si>
  <si>
    <t>Kalfoglou</t>
  </si>
  <si>
    <t>yi_wang</t>
  </si>
  <si>
    <t>jeremy_jacob</t>
  </si>
  <si>
    <t>Jeremy</t>
  </si>
  <si>
    <t>Jacob</t>
  </si>
  <si>
    <t>john_clark</t>
  </si>
  <si>
    <t>john_mcdermid</t>
  </si>
  <si>
    <t>McDermid</t>
  </si>
  <si>
    <t>john_murdoch</t>
  </si>
  <si>
    <t>Murdoch</t>
  </si>
  <si>
    <t>juan_tapiador</t>
  </si>
  <si>
    <t>Tapiador</t>
  </si>
  <si>
    <t>sevil_sen</t>
  </si>
  <si>
    <t>Sevil</t>
  </si>
  <si>
    <t>Sen</t>
  </si>
  <si>
    <t>will_harwood</t>
  </si>
  <si>
    <t>Harwood</t>
  </si>
  <si>
    <t>yow_tzu_lim</t>
  </si>
  <si>
    <t>mario_alvim</t>
  </si>
  <si>
    <t>Alvim</t>
  </si>
  <si>
    <t>joao_luis_sobrinho</t>
  </si>
  <si>
    <t>Sobrinho</t>
  </si>
  <si>
    <t>marco_barbosa</t>
  </si>
  <si>
    <t>Marco</t>
  </si>
  <si>
    <t>Barbosa</t>
  </si>
  <si>
    <t>enzo_de_sena</t>
  </si>
  <si>
    <t>Enzo</t>
  </si>
  <si>
    <t>edelmira_pasarella</t>
  </si>
  <si>
    <t>Edelmira</t>
  </si>
  <si>
    <t>Pasarella</t>
  </si>
  <si>
    <t>windhya_rankothge</t>
  </si>
  <si>
    <t>Windhya</t>
  </si>
  <si>
    <t>Rankothge</t>
  </si>
  <si>
    <t>benoit_libert</t>
  </si>
  <si>
    <t>Benoit</t>
  </si>
  <si>
    <t>Libert</t>
  </si>
  <si>
    <t>xiaoyan_hong</t>
  </si>
  <si>
    <t>Xiaoyan</t>
  </si>
  <si>
    <t>Hong</t>
  </si>
  <si>
    <t>randy_goebel</t>
  </si>
  <si>
    <t>Randy</t>
  </si>
  <si>
    <t>Goebel</t>
  </si>
  <si>
    <t>sisi_liu</t>
  </si>
  <si>
    <t>Sisi</t>
  </si>
  <si>
    <t>rod_girle</t>
  </si>
  <si>
    <t>Girle</t>
  </si>
  <si>
    <t>antonio_corradi</t>
  </si>
  <si>
    <t>Corradi</t>
  </si>
  <si>
    <t>eugenio_giordano</t>
  </si>
  <si>
    <t>Eugenio</t>
  </si>
  <si>
    <t>Giordano</t>
  </si>
  <si>
    <t>eugenio_magistretti</t>
  </si>
  <si>
    <t>Magistretti</t>
  </si>
  <si>
    <t>marco_di_felice</t>
  </si>
  <si>
    <t>paolo_bellavista</t>
  </si>
  <si>
    <t>Bellavista</t>
  </si>
  <si>
    <t>majid_ghaderi</t>
  </si>
  <si>
    <t>Majid</t>
  </si>
  <si>
    <t>Ghaderi</t>
  </si>
  <si>
    <t>rei_safavi-naini</t>
  </si>
  <si>
    <t>Rei</t>
  </si>
  <si>
    <t>Safavi-Naini</t>
  </si>
  <si>
    <t>elizabeth_belding</t>
  </si>
  <si>
    <t>Belding</t>
  </si>
  <si>
    <t>joao_hespanha</t>
  </si>
  <si>
    <t>Joao</t>
  </si>
  <si>
    <t>Hespanha</t>
  </si>
  <si>
    <t>paul_schmitt</t>
  </si>
  <si>
    <t>Schmitt</t>
  </si>
  <si>
    <t>upamanyu_madhow</t>
  </si>
  <si>
    <t>Upamanyu</t>
  </si>
  <si>
    <t>Madhow</t>
  </si>
  <si>
    <t>vito_latora</t>
  </si>
  <si>
    <t>Vito</t>
  </si>
  <si>
    <t>Latora</t>
  </si>
  <si>
    <t>gita_sukthankar</t>
  </si>
  <si>
    <t>Gita</t>
  </si>
  <si>
    <t>Sukthankar</t>
  </si>
  <si>
    <t>antonis_kakas</t>
  </si>
  <si>
    <t>Antonis</t>
  </si>
  <si>
    <t>Kakas</t>
  </si>
  <si>
    <t>falko_dressler</t>
  </si>
  <si>
    <t>Falko</t>
  </si>
  <si>
    <t>Dressler</t>
  </si>
  <si>
    <t>roman_koch</t>
  </si>
  <si>
    <t>Roman</t>
  </si>
  <si>
    <t>Koch</t>
  </si>
  <si>
    <t>luca_sguanci</t>
  </si>
  <si>
    <t>Luca</t>
  </si>
  <si>
    <t>Sguanci</t>
  </si>
  <si>
    <t>anna_lawniczak</t>
  </si>
  <si>
    <t>Anna</t>
  </si>
  <si>
    <t>Lawniczak</t>
  </si>
  <si>
    <t>jiaying_xu</t>
  </si>
  <si>
    <t>Jiaying</t>
  </si>
  <si>
    <t>shengkun_xie</t>
  </si>
  <si>
    <t>Shengkun</t>
  </si>
  <si>
    <t>ran_wolff</t>
  </si>
  <si>
    <t>Ran</t>
  </si>
  <si>
    <t>Wolff</t>
  </si>
  <si>
    <t>victor_li</t>
  </si>
  <si>
    <t>Victor</t>
  </si>
  <si>
    <t>abm_musa</t>
  </si>
  <si>
    <t>ABM</t>
  </si>
  <si>
    <t>Musa</t>
  </si>
  <si>
    <t>yan_xie</t>
  </si>
  <si>
    <t>bo_luo</t>
  </si>
  <si>
    <t>Luo</t>
  </si>
  <si>
    <t>fengjun_li</t>
  </si>
  <si>
    <t>Fengjun</t>
  </si>
  <si>
    <t>jerome_haerri</t>
  </si>
  <si>
    <t>Jerome</t>
  </si>
  <si>
    <t>Haerri</t>
  </si>
  <si>
    <t>matteo_migliavacca</t>
  </si>
  <si>
    <t>Matteo</t>
  </si>
  <si>
    <t>Migliavacca</t>
  </si>
  <si>
    <t>katie_atkinson</t>
  </si>
  <si>
    <t>Katie</t>
  </si>
  <si>
    <t>Atkinson</t>
  </si>
  <si>
    <t>michael_wooldridge</t>
  </si>
  <si>
    <t>Wooldridge</t>
  </si>
  <si>
    <t>paul_dunne</t>
  </si>
  <si>
    <t>Dunne</t>
  </si>
  <si>
    <t>peter_mcburney</t>
  </si>
  <si>
    <t>McBurney</t>
  </si>
  <si>
    <t>antonio_carzaniga</t>
  </si>
  <si>
    <t>Carzaniga</t>
  </si>
  <si>
    <t>koorosh_khazaei</t>
  </si>
  <si>
    <t>Koorosh</t>
  </si>
  <si>
    <t>Khazaei</t>
  </si>
  <si>
    <t>michele_paplini</t>
  </si>
  <si>
    <t>Michele</t>
  </si>
  <si>
    <t>Paplini</t>
  </si>
  <si>
    <t>raphael_frank</t>
  </si>
  <si>
    <t>Raphael</t>
  </si>
  <si>
    <t>prabal_dutta</t>
  </si>
  <si>
    <t>Prabal</t>
  </si>
  <si>
    <t>george_karypis</t>
  </si>
  <si>
    <t>Karypis</t>
  </si>
  <si>
    <t>ivan_jureta</t>
  </si>
  <si>
    <t>Jureta</t>
  </si>
  <si>
    <t>scott_coull</t>
  </si>
  <si>
    <t>Coull</t>
  </si>
  <si>
    <t>zhanwei_sun</t>
  </si>
  <si>
    <t>Zhanwei</t>
  </si>
  <si>
    <t>michele_zorzi</t>
  </si>
  <si>
    <t>Zorzi</t>
  </si>
  <si>
    <t>andrea_bracciali</t>
  </si>
  <si>
    <t>Andrea</t>
  </si>
  <si>
    <t>Bracciali</t>
  </si>
  <si>
    <t>anil_sorathiya</t>
  </si>
  <si>
    <t>Anil</t>
  </si>
  <si>
    <t>Sorathiya</t>
  </si>
  <si>
    <t>marco_aldinucci</t>
  </si>
  <si>
    <t>Aldinucci</t>
  </si>
  <si>
    <t>massimo_torquati</t>
  </si>
  <si>
    <t>Massimo</t>
  </si>
  <si>
    <t>Torquati</t>
  </si>
  <si>
    <t>chet_gnegy</t>
  </si>
  <si>
    <t>Chet</t>
  </si>
  <si>
    <t>Gnegy</t>
  </si>
  <si>
    <t>michael_lewis</t>
  </si>
  <si>
    <t>Lewis</t>
  </si>
  <si>
    <t>young_cho</t>
  </si>
  <si>
    <t>albert_harris</t>
  </si>
  <si>
    <t>Albert</t>
  </si>
  <si>
    <t>Harris</t>
  </si>
  <si>
    <t>austin_harris</t>
  </si>
  <si>
    <t>Austin</t>
  </si>
  <si>
    <t>evan_glasgow</t>
  </si>
  <si>
    <t>Evan</t>
  </si>
  <si>
    <t>mohit_tiwari</t>
  </si>
  <si>
    <t>Mohit</t>
  </si>
  <si>
    <t>Tiwari</t>
  </si>
  <si>
    <t>siavosh_benabbas</t>
  </si>
  <si>
    <t>Siavosh</t>
  </si>
  <si>
    <t>Benabbas</t>
  </si>
  <si>
    <t>luca_nizzardo</t>
  </si>
  <si>
    <t>Nizzardo</t>
  </si>
  <si>
    <t>dario_catalano</t>
  </si>
  <si>
    <t>Catalano</t>
  </si>
  <si>
    <t>franco_bagnoli</t>
  </si>
  <si>
    <t>Franco</t>
  </si>
  <si>
    <t>Bagnoli</t>
  </si>
  <si>
    <t>edith_ngai</t>
  </si>
  <si>
    <t>Edith</t>
  </si>
  <si>
    <t>Ngai</t>
  </si>
  <si>
    <t>richard_mortier</t>
  </si>
  <si>
    <t>Mortier</t>
  </si>
  <si>
    <t>hong-sheng_zhou</t>
  </si>
  <si>
    <t>Hong-Sheng</t>
  </si>
  <si>
    <t>jonathan_thiess</t>
  </si>
  <si>
    <t>Theiss</t>
  </si>
  <si>
    <t>michael_shares</t>
  </si>
  <si>
    <t>Shares</t>
  </si>
  <si>
    <t>won_ro</t>
  </si>
  <si>
    <t>Won</t>
  </si>
  <si>
    <t>Ro</t>
  </si>
  <si>
    <t>ITA_static/images/people/abbe_mowshowitz.jpg</t>
  </si>
  <si>
    <t>ITA_static/images/people/alun_preece.jpg</t>
  </si>
  <si>
    <t>ITA_static/images/people/christopher_gibson.jpg</t>
  </si>
  <si>
    <t>ITA_static/images/people/dave_braines.jpg</t>
  </si>
  <si>
    <t>ITA_static/images/people/dave_conway_jones.jpg</t>
  </si>
  <si>
    <t>ITA_static/images/people/david_mott.jpg</t>
  </si>
  <si>
    <t>ITA_static/images/people/david_vyvyan.jpg</t>
  </si>
  <si>
    <t>ITA_static/images/people/dominic_harries.jpg</t>
  </si>
  <si>
    <t>ITA_static/images/people/flavio_bergamaschi.jpg</t>
  </si>
  <si>
    <t>ITA_static/images/people/graham_bent.jpg</t>
  </si>
  <si>
    <t>ITA_static/images/people/helen_bowyer.jpg</t>
  </si>
  <si>
    <t>ITA_static/images/people/john_ibbotson.jpg</t>
  </si>
  <si>
    <t>ITA_static/images/people/patrick_dantressangle.jpg</t>
  </si>
  <si>
    <t>ITA_static/images/people/paul_stone.jpg</t>
  </si>
  <si>
    <t>ITA_static/images/people/peter_waggett.jpg</t>
  </si>
  <si>
    <t>ITA_static/images/people/saritha_arunkumar.jpg</t>
  </si>
  <si>
    <t>ITA_static/images/people/simon_laws.jpg</t>
  </si>
  <si>
    <t>ITA_static/images/people/stephen_pipes.jpg</t>
  </si>
  <si>
    <t>ITA_static/images/people/tom_berman.jpg</t>
  </si>
  <si>
    <t>ITA_static/images/people/tom_klapiscak.jpg</t>
  </si>
  <si>
    <t>ITA_static/images/people/geeth_de_mel.jpg</t>
  </si>
  <si>
    <t>ITA_static/images/people/kin_leung.jpg</t>
  </si>
  <si>
    <t>ITA_static/images/people/thomas_laporta.jpg</t>
  </si>
  <si>
    <t>ITA_static/images/people/don_towsley.jpg</t>
  </si>
  <si>
    <t>Julie Skipper</t>
  </si>
  <si>
    <t>James Tittle</t>
  </si>
  <si>
    <t>Siddharth Mehrotra</t>
  </si>
  <si>
    <t>Piotr Yordanov</t>
  </si>
  <si>
    <t>Dov Gordon</t>
  </si>
  <si>
    <t>Ben Simpkins</t>
  </si>
  <si>
    <t>Louise Rasmussen</t>
  </si>
  <si>
    <t>Shane Mueller</t>
  </si>
  <si>
    <t>Winston Sieck</t>
  </si>
  <si>
    <t>Bao-Hong Shen</t>
  </si>
  <si>
    <t>Dijiang Huang</t>
  </si>
  <si>
    <t>Ananthram Swami</t>
  </si>
  <si>
    <t>Andrew Toth</t>
  </si>
  <si>
    <t>Brian Rivera</t>
  </si>
  <si>
    <t>Brian Sadler</t>
  </si>
  <si>
    <t>Cheryl Giammanco</t>
  </si>
  <si>
    <t>Gene Whipps</t>
  </si>
  <si>
    <t>Greg Cirincione</t>
  </si>
  <si>
    <t>Gunjan Verma</t>
  </si>
  <si>
    <t>Jemin George</t>
  </si>
  <si>
    <t>Jin-Hee Cho</t>
  </si>
  <si>
    <t>Jon Bakdash</t>
  </si>
  <si>
    <t>Kelly Bennett</t>
  </si>
  <si>
    <t>Kelvin Marcus</t>
  </si>
  <si>
    <t>Kevin Chan</t>
  </si>
  <si>
    <t>Lance Kaplan</t>
  </si>
  <si>
    <t>Mike Kolodny</t>
  </si>
  <si>
    <t>Mike Strub</t>
  </si>
  <si>
    <t>Natalie Ivanic</t>
  </si>
  <si>
    <t>Paul Sullivan</t>
  </si>
  <si>
    <t>Paul Yu</t>
  </si>
  <si>
    <t>Pearl Gendason</t>
  </si>
  <si>
    <t>Thyagaraju Damarla</t>
  </si>
  <si>
    <t>Ray McGowan</t>
  </si>
  <si>
    <t>Ryan Pressley</t>
  </si>
  <si>
    <t>Scott Mastin</t>
  </si>
  <si>
    <t>Sue Toth</t>
  </si>
  <si>
    <t>Taylor Cassidy</t>
  </si>
  <si>
    <t>Tien Pham</t>
  </si>
  <si>
    <t>Jennifer Yates</t>
  </si>
  <si>
    <t>Juan Garay</t>
  </si>
  <si>
    <t>Yehuda Lindell</t>
  </si>
  <si>
    <t>Alberto Medina</t>
  </si>
  <si>
    <t>Prithwish Basu</t>
  </si>
  <si>
    <t>Rick Allen</t>
  </si>
  <si>
    <t>Ryan Irwin</t>
  </si>
  <si>
    <t>Saikat Guha</t>
  </si>
  <si>
    <t>Sam Nelson</t>
  </si>
  <si>
    <t>Will Leland</t>
  </si>
  <si>
    <t>Mugen Peng</t>
  </si>
  <si>
    <t>Wenbo Wang</t>
  </si>
  <si>
    <t>Ali Bahrami</t>
  </si>
  <si>
    <t>Anne Hunt</t>
  </si>
  <si>
    <t>Anne Kao</t>
  </si>
  <si>
    <t>Changzhou Wang</t>
  </si>
  <si>
    <t>Guangyu Pei</t>
  </si>
  <si>
    <t>Jae Kim</t>
  </si>
  <si>
    <t>Jun Yuan</t>
  </si>
  <si>
    <t>Mark Handel</t>
  </si>
  <si>
    <t>Paul Murray</t>
  </si>
  <si>
    <t>Ping Xue</t>
  </si>
  <si>
    <t>Stephen Poltrock</t>
  </si>
  <si>
    <t>Stephen Poteet</t>
  </si>
  <si>
    <t>Bruno Courcelle</t>
  </si>
  <si>
    <t>Cyril Gavoille</t>
  </si>
  <si>
    <t>Mamadou Kante</t>
  </si>
  <si>
    <t>Gonca Gursun</t>
  </si>
  <si>
    <t>Ibrahim Matta</t>
  </si>
  <si>
    <t>Mark Crovella</t>
  </si>
  <si>
    <t>Wentao Huang</t>
  </si>
  <si>
    <t>Alun Preece</t>
  </si>
  <si>
    <t>Chris Gwilliams</t>
  </si>
  <si>
    <t>Christos Parizas</t>
  </si>
  <si>
    <t>Colin Roberts</t>
  </si>
  <si>
    <t>David Rogers</t>
  </si>
  <si>
    <t>Diego Pizzocaro</t>
  </si>
  <si>
    <t>Federico Cerutti</t>
  </si>
  <si>
    <t>Irena Spasic</t>
  </si>
  <si>
    <t>Konrad Borowiecki</t>
  </si>
  <si>
    <t>Martin Innes</t>
  </si>
  <si>
    <t>Sarah Tucker</t>
  </si>
  <si>
    <t>Will Webberley</t>
  </si>
  <si>
    <t>Jim Schoening</t>
  </si>
  <si>
    <t>Keith Wilson</t>
  </si>
  <si>
    <t>Yi-Dong Shen</t>
  </si>
  <si>
    <t>Jiyeon Lee</t>
  </si>
  <si>
    <t>Muttukrishnan Rajarajan</t>
  </si>
  <si>
    <t>Adrian Perrig</t>
  </si>
  <si>
    <t>Avrim Blum</t>
  </si>
  <si>
    <t>Balajee Kannan</t>
  </si>
  <si>
    <t>Bernardine Dias</t>
  </si>
  <si>
    <t>Christian Lebiere</t>
  </si>
  <si>
    <t>Chun Lee</t>
  </si>
  <si>
    <t>Dawn Song</t>
  </si>
  <si>
    <t>Don Morrison</t>
  </si>
  <si>
    <t>Felipe Meneguzzi</t>
  </si>
  <si>
    <t>Guoming Lai</t>
  </si>
  <si>
    <t>Haowen Chan</t>
  </si>
  <si>
    <t>Jean Oh</t>
  </si>
  <si>
    <t>Joseph Giampapa</t>
  </si>
  <si>
    <t>Juan Caballero</t>
  </si>
  <si>
    <t>Katia Sycara</t>
  </si>
  <si>
    <t>Min Guang</t>
  </si>
  <si>
    <t>Min Guang Kang</t>
  </si>
  <si>
    <t>Nilanjan Chakraborty</t>
  </si>
  <si>
    <t>Noam Hazon</t>
  </si>
  <si>
    <t>Paul Scerri</t>
  </si>
  <si>
    <t>Pongsin Pooksman</t>
  </si>
  <si>
    <t>Praveen Paruchuri</t>
  </si>
  <si>
    <t>Shobha Venkataraman</t>
  </si>
  <si>
    <t>Soo-Bum Lee</t>
  </si>
  <si>
    <t>Srinivasan Seshan</t>
  </si>
  <si>
    <t>Steven Okamoto</t>
  </si>
  <si>
    <t>Virgil Gligor</t>
  </si>
  <si>
    <t>Yuqing Tang</t>
  </si>
  <si>
    <t>Claudia Angelini</t>
  </si>
  <si>
    <t>de Feis</t>
  </si>
  <si>
    <t>Italia de Feis</t>
  </si>
  <si>
    <t>Luisa Cutillo</t>
  </si>
  <si>
    <t>Berk Birand</t>
  </si>
  <si>
    <t>Gill Zussman</t>
  </si>
  <si>
    <t>Hang Zhao</t>
  </si>
  <si>
    <t>Henning Schulzrinne</t>
  </si>
  <si>
    <t>Mariana Raykova</t>
  </si>
  <si>
    <t>Michael Mandel</t>
  </si>
  <si>
    <t>Shih-Fu Chang</t>
  </si>
  <si>
    <t>Shruti Gandhi</t>
  </si>
  <si>
    <t>Steve Bellovin</t>
  </si>
  <si>
    <t>Vishal Singh</t>
  </si>
  <si>
    <t>Yevgeniy Vahlis</t>
  </si>
  <si>
    <t>Lang Tong</t>
  </si>
  <si>
    <t>Andy Farmilo</t>
  </si>
  <si>
    <t>Annika Larsson</t>
  </si>
  <si>
    <t>Caroline Morin</t>
  </si>
  <si>
    <t>Geoff Hone</t>
  </si>
  <si>
    <t>Howard Chivers</t>
  </si>
  <si>
    <t>Ian Whitworth</t>
  </si>
  <si>
    <t>Marie Cahillane</t>
  </si>
  <si>
    <t>Bob Ganger</t>
  </si>
  <si>
    <t>Brian Donohue</t>
  </si>
  <si>
    <t>Doug Kutach</t>
  </si>
  <si>
    <t>Rod Rudnicki</t>
  </si>
  <si>
    <t>Abbe Mowshowitz</t>
  </si>
  <si>
    <t>Akira Kawaguchi</t>
  </si>
  <si>
    <t>Amotz Bar-Noy</t>
  </si>
  <si>
    <t>Andi Toce</t>
  </si>
  <si>
    <t>Andrew Nagel</t>
  </si>
  <si>
    <t>Berker Soyluoglu</t>
  </si>
  <si>
    <t>Carolyn Ortega</t>
  </si>
  <si>
    <t>Christopher Seaman</t>
  </si>
  <si>
    <t>Deniz Sarioz</t>
  </si>
  <si>
    <t>Galathara Kahanda</t>
  </si>
  <si>
    <t>Hoeteck Wee</t>
  </si>
  <si>
    <t>Ihab Darwish</t>
  </si>
  <si>
    <t>Irippuge Perera</t>
  </si>
  <si>
    <t>Javier Pajuelo</t>
  </si>
  <si>
    <t>Jinwoo Kim</t>
  </si>
  <si>
    <t>Joseph Soryal</t>
  </si>
  <si>
    <t>Kent Boklan</t>
  </si>
  <si>
    <t>Kevin Sekniqi</t>
  </si>
  <si>
    <t>Marcin Szczodrak</t>
  </si>
  <si>
    <t>Matthew Johnson</t>
  </si>
  <si>
    <t>Miriam Tausner</t>
  </si>
  <si>
    <t>Nelly Fazio</t>
  </si>
  <si>
    <t>Ou Liu</t>
  </si>
  <si>
    <t>Ping Ji</t>
  </si>
  <si>
    <t>Rosario Gennaro</t>
  </si>
  <si>
    <t>Rui Zhang</t>
  </si>
  <si>
    <t>Shuqun Zhang</t>
  </si>
  <si>
    <t>Simon Parsons</t>
  </si>
  <si>
    <t>Simon Shamoun</t>
  </si>
  <si>
    <t>Tarek Saadawi</t>
  </si>
  <si>
    <t>Ted Brown</t>
  </si>
  <si>
    <t>Valerio Pastro</t>
  </si>
  <si>
    <t>Valia Mitsou</t>
  </si>
  <si>
    <t>William Skeith</t>
  </si>
  <si>
    <t>Yosef Alayev</t>
  </si>
  <si>
    <t>Zev Klagsbrun</t>
  </si>
  <si>
    <t>Zhanyang Zhang</t>
  </si>
  <si>
    <t>Joost Bosman</t>
  </si>
  <si>
    <t>Serge Fehr</t>
  </si>
  <si>
    <t>Anja Feldmann</t>
  </si>
  <si>
    <t>Juhoon Kim</t>
  </si>
  <si>
    <t>Pan Hui</t>
  </si>
  <si>
    <t>Cedric Westphal</t>
  </si>
  <si>
    <t>Alex Barnett</t>
  </si>
  <si>
    <t>David Dean</t>
  </si>
  <si>
    <t>Ed Gentle</t>
  </si>
  <si>
    <t>Gavin Pearson</t>
  </si>
  <si>
    <t>Helen Phillips</t>
  </si>
  <si>
    <t>Jessica Connah</t>
  </si>
  <si>
    <t>Jessica Lowe</t>
  </si>
  <si>
    <t>Jitu Patel</t>
  </si>
  <si>
    <t>John Yesberg</t>
  </si>
  <si>
    <t>Olwen Worthington</t>
  </si>
  <si>
    <t>Peter Houghton</t>
  </si>
  <si>
    <t>Peter Wrobel</t>
  </si>
  <si>
    <t>Rob Young</t>
  </si>
  <si>
    <t>Stuart Colley</t>
  </si>
  <si>
    <t>Todd Karr</t>
  </si>
  <si>
    <t>Gavin Powell</t>
  </si>
  <si>
    <t>Ioannis Krikidis</t>
  </si>
  <si>
    <t>John Thompson</t>
  </si>
  <si>
    <t>Jean-Pierre Hubaux</t>
  </si>
  <si>
    <t>Maxim Raya</t>
  </si>
  <si>
    <t>Panagiotis Papadimitratos</t>
  </si>
  <si>
    <t>Patrick Thiran</t>
  </si>
  <si>
    <t>Christina Popper</t>
  </si>
  <si>
    <t>Srdjan Capkun</t>
  </si>
  <si>
    <t>Lucas Wanner</t>
  </si>
  <si>
    <t>Micah Adler</t>
  </si>
  <si>
    <t>Jinpeng Wei</t>
  </si>
  <si>
    <t>Yongzhi Wang</t>
  </si>
  <si>
    <t>Michael Clarkson</t>
  </si>
  <si>
    <t>Ling Liu</t>
  </si>
  <si>
    <t>Raheem Beyah</t>
  </si>
  <si>
    <t>Shouling Ji</t>
  </si>
  <si>
    <t>Weiqing Li</t>
  </si>
  <si>
    <t>Xuefeng Gao</t>
  </si>
  <si>
    <t>Yuzhe Tang</t>
  </si>
  <si>
    <t>Jianfeng Du</t>
  </si>
  <si>
    <t>Wencai Du</t>
  </si>
  <si>
    <t>Yucong Duan</t>
  </si>
  <si>
    <t>Junho Choi</t>
  </si>
  <si>
    <t>Bjorn Scheuermann</t>
  </si>
  <si>
    <t>Daniel Johnson</t>
  </si>
  <si>
    <t>Dinkar Mylaraswamy</t>
  </si>
  <si>
    <t>James Kirk</t>
  </si>
  <si>
    <t>James Richardson</t>
  </si>
  <si>
    <t>Jeffrey Starr</t>
  </si>
  <si>
    <t>John Allen</t>
  </si>
  <si>
    <t>Kartik Ariyur</t>
  </si>
  <si>
    <t>Kirk Schloegel</t>
  </si>
  <si>
    <t>Srivatsan Varadarajan</t>
  </si>
  <si>
    <t>Thomas Markham</t>
  </si>
  <si>
    <t>Tim Dropps</t>
  </si>
  <si>
    <t>Vibhor Bageshwar</t>
  </si>
  <si>
    <t>Vicraj Thomas</t>
  </si>
  <si>
    <t>Walt Heimerdinger</t>
  </si>
  <si>
    <t>Yunjung Yi</t>
  </si>
  <si>
    <t>Joon-Sang Park</t>
  </si>
  <si>
    <t>Dipyaman Banerjee</t>
  </si>
  <si>
    <t>Venkateshwara Madduri</t>
  </si>
  <si>
    <t>Malolan Chetlur</t>
  </si>
  <si>
    <t>Partha Dutta</t>
  </si>
  <si>
    <t>Shivkumar Kalyanraman</t>
  </si>
  <si>
    <t>Vijay Arya</t>
  </si>
  <si>
    <t>Chi Harold</t>
  </si>
  <si>
    <t>Chi Harold Liu</t>
  </si>
  <si>
    <t>Anja Lehmann</t>
  </si>
  <si>
    <t>Adrian Lee</t>
  </si>
  <si>
    <t>Alan Knox</t>
  </si>
  <si>
    <t>Amardeep Bhattal</t>
  </si>
  <si>
    <t>Andrew Feltham</t>
  </si>
  <si>
    <t>Andy Stanford-Clark</t>
  </si>
  <si>
    <t>Ben Hardill</t>
  </si>
  <si>
    <t>Christopher Gibson</t>
  </si>
  <si>
    <t>Darren Shaw</t>
  </si>
  <si>
    <t>Dave Braines</t>
  </si>
  <si>
    <t>Dave Conway-Jones</t>
  </si>
  <si>
    <t>Dave Roberts</t>
  </si>
  <si>
    <t>David Mott</t>
  </si>
  <si>
    <t>David Vyvyan</t>
  </si>
  <si>
    <t>Dominic Harries</t>
  </si>
  <si>
    <t>Flavio Bergamaschi</t>
  </si>
  <si>
    <t>Gareth Jones</t>
  </si>
  <si>
    <t>Graham Bent</t>
  </si>
  <si>
    <t>Graham White</t>
  </si>
  <si>
    <t>Hamish Hunt</t>
  </si>
  <si>
    <t>Helen Bowyer</t>
  </si>
  <si>
    <t>James Thomas</t>
  </si>
  <si>
    <t>Joel Wright</t>
  </si>
  <si>
    <t>John Ibbotson</t>
  </si>
  <si>
    <t>Kristian Stewart</t>
  </si>
  <si>
    <t>Matthew Duggan</t>
  </si>
  <si>
    <t>Nick Peach</t>
  </si>
  <si>
    <t>Patrick Dantressangle</t>
  </si>
  <si>
    <t>Paul Stone</t>
  </si>
  <si>
    <t>Peter Waggett</t>
  </si>
  <si>
    <t>Saritha Arunkumar</t>
  </si>
  <si>
    <t>Simon Laws</t>
  </si>
  <si>
    <t>Stephen Pipes</t>
  </si>
  <si>
    <t>Syd Chapman</t>
  </si>
  <si>
    <t>Tom Berman</t>
  </si>
  <si>
    <t>Tom Klapiscak</t>
  </si>
  <si>
    <t>Aaron Kershenbaum</t>
  </si>
  <si>
    <t>Achille Fokoue</t>
  </si>
  <si>
    <t>Alina Beygelzimer</t>
  </si>
  <si>
    <t>Anastasios Kementsietsidis</t>
  </si>
  <si>
    <t>Archan Misra</t>
  </si>
  <si>
    <t>Arnab Roy</t>
  </si>
  <si>
    <t>Asser Tantawi</t>
  </si>
  <si>
    <t>Bong Jun</t>
  </si>
  <si>
    <t>Bong Jun Ko</t>
  </si>
  <si>
    <t>Bonnie Ray</t>
  </si>
  <si>
    <t>Carolyn Brodie</t>
  </si>
  <si>
    <t>Cathy Xia</t>
  </si>
  <si>
    <t>Cesar Gonzales</t>
  </si>
  <si>
    <t>Chai Wah</t>
  </si>
  <si>
    <t>Chai Wah Wu</t>
  </si>
  <si>
    <t>Charanjit Jutla</t>
  </si>
  <si>
    <t>Charu Aggarwal</t>
  </si>
  <si>
    <t>Chatschik Bisdikian</t>
  </si>
  <si>
    <t>Christopher Kiekenveld</t>
  </si>
  <si>
    <t>Clare-Marie Karat</t>
  </si>
  <si>
    <t>Craig Gentry</t>
  </si>
  <si>
    <t>Dakshi Agrawal</t>
  </si>
  <si>
    <t>Daniel Wichs</t>
  </si>
  <si>
    <t>Dashun Wang</t>
  </si>
  <si>
    <t>David Bacon</t>
  </si>
  <si>
    <t>David George</t>
  </si>
  <si>
    <t>David Wood</t>
  </si>
  <si>
    <t>Dinesh Verma</t>
  </si>
  <si>
    <t>Dmitriy Katz-Rogozhnikov</t>
  </si>
  <si>
    <t>Douglas Freimuth</t>
  </si>
  <si>
    <t>Douglas Schales</t>
  </si>
  <si>
    <t>Erich Nahum</t>
  </si>
  <si>
    <t>Ertugrul Ciftcioglu</t>
  </si>
  <si>
    <t>Fan Ye</t>
  </si>
  <si>
    <t>Fei Wang</t>
  </si>
  <si>
    <t>Franck Le</t>
  </si>
  <si>
    <t>Geeth de Mel</t>
  </si>
  <si>
    <t>Starsky Wong</t>
  </si>
  <si>
    <t>Hugo Krawczyk</t>
  </si>
  <si>
    <t>Hyoil Kim</t>
  </si>
  <si>
    <t>Ian Molloy</t>
  </si>
  <si>
    <t>Ian Molly</t>
  </si>
  <si>
    <t>Irina Rish</t>
  </si>
  <si>
    <t>James Fan</t>
  </si>
  <si>
    <t>Janusz Marecki</t>
  </si>
  <si>
    <t>Jiyong Jang</t>
  </si>
  <si>
    <t>Joel Branch</t>
  </si>
  <si>
    <t>John Karat</t>
  </si>
  <si>
    <t>Jorge Lobo</t>
  </si>
  <si>
    <t>Julian Dolby</t>
  </si>
  <si>
    <t>Kang-won Lee</t>
  </si>
  <si>
    <t>Kavitha Srinivas</t>
  </si>
  <si>
    <t>Keith Grueneberg</t>
  </si>
  <si>
    <t>Lu Su</t>
  </si>
  <si>
    <t>Mandis Beigi</t>
  </si>
  <si>
    <t>Marc Stoecklin</t>
  </si>
  <si>
    <t>Mark Squillante</t>
  </si>
  <si>
    <t>Maroun Touma</t>
  </si>
  <si>
    <t>Mayank Sharma</t>
  </si>
  <si>
    <t>Mihaela Bornea</t>
  </si>
  <si>
    <t>Milind Tambe</t>
  </si>
  <si>
    <t>Mudhakar Srivatsa</t>
  </si>
  <si>
    <t>Murtaza Zafer</t>
  </si>
  <si>
    <t>Natalia Odintsova</t>
  </si>
  <si>
    <t>Nikhil Bansal</t>
  </si>
  <si>
    <t>Oktay Gunluk</t>
  </si>
  <si>
    <t>Padmashree Ravindra</t>
  </si>
  <si>
    <t>Pankaj Rohatgi</t>
  </si>
  <si>
    <t>Pau-Chen Cheng</t>
  </si>
  <si>
    <t>Paul Karger</t>
  </si>
  <si>
    <t>van de Ven</t>
  </si>
  <si>
    <t>Peter van de Ven</t>
  </si>
  <si>
    <t>Petros Zerfos</t>
  </si>
  <si>
    <t>Philip Yu</t>
  </si>
  <si>
    <t>Poonam Yadav</t>
  </si>
  <si>
    <t>Pradeep Varakantham</t>
  </si>
  <si>
    <t>Raghava Mutharaju</t>
  </si>
  <si>
    <t>Raghu Ganti</t>
  </si>
  <si>
    <t>Raheleh Dilmaghani</t>
  </si>
  <si>
    <t>Rahul Urgaonkar</t>
  </si>
  <si>
    <t>Rajesh Bordawekar</t>
  </si>
  <si>
    <t>Ramya Raghavendra</t>
  </si>
  <si>
    <t>Reiner Sailer</t>
  </si>
  <si>
    <t>Sambit Sahu</t>
  </si>
  <si>
    <t>Seraphin Calo</t>
  </si>
  <si>
    <t>Shahram Ebadollahi</t>
  </si>
  <si>
    <t>Shai Halevi</t>
  </si>
  <si>
    <t>Sihyung Lee</t>
  </si>
  <si>
    <t>Suresh Chari</t>
  </si>
  <si>
    <t>Tal Rabin</t>
  </si>
  <si>
    <t>Theodoros Salonidis</t>
  </si>
  <si>
    <t>Ting He</t>
  </si>
  <si>
    <t>Ting Wang</t>
  </si>
  <si>
    <t>Vasilieos Pappas</t>
  </si>
  <si>
    <t>Viswanath Nagarajan</t>
  </si>
  <si>
    <t>Xin Hu</t>
  </si>
  <si>
    <t>Xiping Wang</t>
  </si>
  <si>
    <t>Yang Song</t>
  </si>
  <si>
    <t>Zhen Liu</t>
  </si>
  <si>
    <t>Zubair Shafiq</t>
  </si>
  <si>
    <t>Andres Garcia-Camino</t>
  </si>
  <si>
    <t>Dario Fiore</t>
  </si>
  <si>
    <t>Alberto Schaeffer-Filho</t>
  </si>
  <si>
    <t>Alessandra Russo</t>
  </si>
  <si>
    <t>Alexander Wolf</t>
  </si>
  <si>
    <t>Andrei Petric</t>
  </si>
  <si>
    <t>Athanasios Gkelias</t>
  </si>
  <si>
    <t>Chee Yen</t>
  </si>
  <si>
    <t>Chee Leow</t>
  </si>
  <si>
    <t>Chi Liu</t>
  </si>
  <si>
    <t>Chung-Huat Tan</t>
  </si>
  <si>
    <t>Cong Ling</t>
  </si>
  <si>
    <t>Dalal Alrajeh</t>
  </si>
  <si>
    <t>Daniel O'Keeffe</t>
  </si>
  <si>
    <t>Dave Thornley</t>
  </si>
  <si>
    <t>Duncan Gillies</t>
  </si>
  <si>
    <t>Emil Lupu</t>
  </si>
  <si>
    <t>Erol Gelenbe</t>
  </si>
  <si>
    <t>Eskindir Asmare</t>
  </si>
  <si>
    <t>George Tychogiorgos</t>
  </si>
  <si>
    <t>Haishi Ning</t>
  </si>
  <si>
    <t>Ivan Ho</t>
  </si>
  <si>
    <t>Jeff Kramer</t>
  </si>
  <si>
    <t>Jiefei Ma</t>
  </si>
  <si>
    <t>Julie McCann</t>
  </si>
  <si>
    <t>Keith Clark</t>
  </si>
  <si>
    <t>Kevin Twidle</t>
  </si>
  <si>
    <t>Kin Leung</t>
  </si>
  <si>
    <t>Krysia Broda</t>
  </si>
  <si>
    <t>Laurence Hey</t>
  </si>
  <si>
    <t>Liang Ma</t>
  </si>
  <si>
    <t>Luke Dickens</t>
  </si>
  <si>
    <t>Mark Harvey</t>
  </si>
  <si>
    <t>Morris Sloman</t>
  </si>
  <si>
    <t>Naranker Dulay</t>
  </si>
  <si>
    <t>Nikoletta Sofra</t>
  </si>
  <si>
    <t>Peter Pietzuch</t>
  </si>
  <si>
    <t>Petr Novotny</t>
  </si>
  <si>
    <t>Robert Craven</t>
  </si>
  <si>
    <t>Sebastin Uchitel</t>
  </si>
  <si>
    <t>Sepideh Nazemi</t>
  </si>
  <si>
    <t>Shiqiang Wang</t>
  </si>
  <si>
    <t>Shusen Yang</t>
  </si>
  <si>
    <t>Susan Eisenbach</t>
  </si>
  <si>
    <t>Sye-Loong Keoh</t>
  </si>
  <si>
    <t>Themistoklis Bourdenas</t>
  </si>
  <si>
    <t>Yun Hou</t>
  </si>
  <si>
    <t>Zhengguo Sheng</t>
  </si>
  <si>
    <t>Zhiguo Ding</t>
  </si>
  <si>
    <t>Jean-Charles Faugere</t>
  </si>
  <si>
    <t>Ludovic Perret</t>
  </si>
  <si>
    <t>Christian Bonnet</t>
  </si>
  <si>
    <t>Fethi Filali</t>
  </si>
  <si>
    <t>Vrizlynn Thing</t>
  </si>
  <si>
    <t>Woon Hau</t>
  </si>
  <si>
    <t>Woon Hau Chin</t>
  </si>
  <si>
    <t>Martin Grabner</t>
  </si>
  <si>
    <t>Matthias Dehmer</t>
  </si>
  <si>
    <t>Michael Dorneich</t>
  </si>
  <si>
    <t>Joel Alwen</t>
  </si>
  <si>
    <t>Paulo Lutterotti</t>
  </si>
  <si>
    <t>Guilin Qi</t>
  </si>
  <si>
    <t>Dennis Hofheinz</t>
  </si>
  <si>
    <t>Andreas Kassler</t>
  </si>
  <si>
    <t>Michael Luck</t>
  </si>
  <si>
    <t>Jing He</t>
  </si>
  <si>
    <t>Norman Heino</t>
  </si>
  <si>
    <t>Dave Sloggett</t>
  </si>
  <si>
    <t>Gavin Lock</t>
  </si>
  <si>
    <t>Stephan Eidenbenz</t>
  </si>
  <si>
    <t>Ian Jacobi</t>
  </si>
  <si>
    <t>Lalana Kagal</t>
  </si>
  <si>
    <t>Mark Klein</t>
  </si>
  <si>
    <t>Bryan Parno</t>
  </si>
  <si>
    <t>Chuanxiong Guo</t>
  </si>
  <si>
    <t>Moritz Becker</t>
  </si>
  <si>
    <t>Paolo Costa</t>
  </si>
  <si>
    <t>Vinod Vaikuntanathan</t>
  </si>
  <si>
    <t>Michael Frame</t>
  </si>
  <si>
    <t>Phil Sutton</t>
  </si>
  <si>
    <t>Hiroshi Hosobe</t>
  </si>
  <si>
    <t>Ken Satoh</t>
  </si>
  <si>
    <t>Konstantinos Vamvourellis</t>
  </si>
  <si>
    <t>Juong-Sik Lee</t>
  </si>
  <si>
    <t>Chung Wei</t>
  </si>
  <si>
    <t>Chung Wei Hang</t>
  </si>
  <si>
    <t>Munindar Singh</t>
  </si>
  <si>
    <t>Srikanth Hariharan</t>
  </si>
  <si>
    <t>Arosha Bandara</t>
  </si>
  <si>
    <t>Takamasa Higuchi</t>
  </si>
  <si>
    <t>Jun Zhao</t>
  </si>
  <si>
    <t>Robin Dunbar</t>
  </si>
  <si>
    <t>Sam Roberts</t>
  </si>
  <si>
    <t>Gonul Ayci</t>
  </si>
  <si>
    <t>Xavier Boyen</t>
  </si>
  <si>
    <t>Ashwin Sridharan</t>
  </si>
  <si>
    <t>Bhaskar Prabhala</t>
  </si>
  <si>
    <t>Brett Holbert</t>
  </si>
  <si>
    <t>Chao-Hsien Chu</t>
  </si>
  <si>
    <t>Don Shemanski</t>
  </si>
  <si>
    <t>Dongwon Lee</t>
  </si>
  <si>
    <t>Fangfei Chen</t>
  </si>
  <si>
    <t>Guohong Cao</t>
  </si>
  <si>
    <t>Heesook Choi</t>
  </si>
  <si>
    <t>Hosam Rowaihy</t>
  </si>
  <si>
    <t>Jaesheung Shin</t>
  </si>
  <si>
    <t>James Edwards</t>
  </si>
  <si>
    <t>Mingyi Zhao</t>
  </si>
  <si>
    <t>Nan Hu</t>
  </si>
  <si>
    <t>Patrick McDaniel</t>
  </si>
  <si>
    <t>Peng Liu</t>
  </si>
  <si>
    <t>Qiang Zeng</t>
  </si>
  <si>
    <t>Raju Kumar</t>
  </si>
  <si>
    <t>Scott Rager</t>
  </si>
  <si>
    <t>Sencun Zhu</t>
  </si>
  <si>
    <t>Sharanya Eswaran</t>
  </si>
  <si>
    <t>Simone Silvestri</t>
  </si>
  <si>
    <t>Srikar Tati</t>
  </si>
  <si>
    <t>La Porta</t>
  </si>
  <si>
    <t>Thomas La Porta</t>
  </si>
  <si>
    <t>William Enck</t>
  </si>
  <si>
    <t>Kevin Iga</t>
  </si>
  <si>
    <t>Changchang Liu</t>
  </si>
  <si>
    <t>Jennifer Rexford</t>
  </si>
  <si>
    <t>Laurent Vanbever</t>
  </si>
  <si>
    <t>Prateek Mittal</t>
  </si>
  <si>
    <t>Mark Walters</t>
  </si>
  <si>
    <t>Frank Emmert-Streib</t>
  </si>
  <si>
    <t>Tharmalingam Ratnarajah</t>
  </si>
  <si>
    <t>Alex Dent</t>
  </si>
  <si>
    <t>Allan Tomlinson</t>
  </si>
  <si>
    <t>Arman Khouzani</t>
  </si>
  <si>
    <t>Carlos Cid</t>
  </si>
  <si>
    <t>Charles Morisset</t>
  </si>
  <si>
    <t>Christian Janson</t>
  </si>
  <si>
    <t>Eimear Gallery</t>
  </si>
  <si>
    <t>Elizabeth Quaglia</t>
  </si>
  <si>
    <t>James Alderman</t>
  </si>
  <si>
    <t>Jason Crampton</t>
  </si>
  <si>
    <t>Kenny Paterson</t>
  </si>
  <si>
    <t>Martin Albrecht</t>
  </si>
  <si>
    <t>Po-Wah Yau</t>
  </si>
  <si>
    <t>Pooya Farshim</t>
  </si>
  <si>
    <t>Robert Fitzpatrick</t>
  </si>
  <si>
    <t>Shane Balfe</t>
  </si>
  <si>
    <t>Sriramkrishnan Srinivasan</t>
  </si>
  <si>
    <t>Steffen Reidt</t>
  </si>
  <si>
    <t>Stephen Wolthusen</t>
  </si>
  <si>
    <t>Viet Pham</t>
  </si>
  <si>
    <t>Wei Zhang</t>
  </si>
  <si>
    <t>Adele Freeman</t>
  </si>
  <si>
    <t>Alan Ford</t>
  </si>
  <si>
    <t>Andrew McDonald</t>
  </si>
  <si>
    <t>Howard Tripp</t>
  </si>
  <si>
    <t>Katy Warr</t>
  </si>
  <si>
    <t>Robert Hancock</t>
  </si>
  <si>
    <t>Sam Empson</t>
  </si>
  <si>
    <t>Timothy Freeman</t>
  </si>
  <si>
    <t>Ankesh Khandelwal</t>
  </si>
  <si>
    <t>Boleslaw Szymanski</t>
  </si>
  <si>
    <t>Caleb Vincent</t>
  </si>
  <si>
    <t>Christopher Morrell</t>
  </si>
  <si>
    <t>Deborah McGuiness</t>
  </si>
  <si>
    <t>Deborah McGuinness</t>
  </si>
  <si>
    <t>Eyuphan Bulut</t>
  </si>
  <si>
    <t>Gang Chen</t>
  </si>
  <si>
    <t>Gilbert Chen</t>
  </si>
  <si>
    <t>Gregory Williams</t>
  </si>
  <si>
    <t>Gyorgy Korniss</t>
  </si>
  <si>
    <t>Heng Ji</t>
  </si>
  <si>
    <t>James Michaelis</t>
  </si>
  <si>
    <t>Jiao Tao</t>
  </si>
  <si>
    <t>Jie Bao</t>
  </si>
  <si>
    <t>Jierui Xie</t>
  </si>
  <si>
    <t>Jim Hendler</t>
  </si>
  <si>
    <t>Jin Zheng</t>
  </si>
  <si>
    <t>Kamil Wasilewski</t>
  </si>
  <si>
    <t>Lei Chen</t>
  </si>
  <si>
    <t>Li Ding</t>
  </si>
  <si>
    <t>Malik Magdon-Ismail</t>
  </si>
  <si>
    <t>Mark Goldbreg</t>
  </si>
  <si>
    <t>Mark Lisee</t>
  </si>
  <si>
    <t>Mykola Hayvanovych</t>
  </si>
  <si>
    <t>Qiming Lu</t>
  </si>
  <si>
    <t>Robert Escriva</t>
  </si>
  <si>
    <t>Rui Huang</t>
  </si>
  <si>
    <t>Sahin Geyik</t>
  </si>
  <si>
    <t>Sanmay Das</t>
  </si>
  <si>
    <t>Sibel Adali</t>
  </si>
  <si>
    <t>Syed Shah</t>
  </si>
  <si>
    <t>Thomas Babbitt</t>
  </si>
  <si>
    <t>William Wallace</t>
  </si>
  <si>
    <t>Zijian Wang</t>
  </si>
  <si>
    <t>Eike Kiltz</t>
  </si>
  <si>
    <t>Gautam Bhanage</t>
  </si>
  <si>
    <t>Yuncheol Baek</t>
  </si>
  <si>
    <t>Novella Bartolini</t>
  </si>
  <si>
    <t>Emma Jones</t>
  </si>
  <si>
    <t>Iris Fermin</t>
  </si>
  <si>
    <t>Iya Solodilova-Whiteley</t>
  </si>
  <si>
    <t>Mike Jackson</t>
  </si>
  <si>
    <t>Kasthuri Jayarajah</t>
  </si>
  <si>
    <t>Pinghui Wang</t>
  </si>
  <si>
    <t>Zheng Ma</t>
  </si>
  <si>
    <t>Hui Zang</t>
  </si>
  <si>
    <t>Brent Waters</t>
  </si>
  <si>
    <t>Dan Boneh</t>
  </si>
  <si>
    <t>David Freeman</t>
  </si>
  <si>
    <t>Dina Thomas</t>
  </si>
  <si>
    <t>Antonio Nicolosi</t>
  </si>
  <si>
    <t>Honggang Zhank</t>
  </si>
  <si>
    <t>Heike Schroeder</t>
  </si>
  <si>
    <t>Marc Fischlin</t>
  </si>
  <si>
    <t>Jerry Burman</t>
  </si>
  <si>
    <t>Chris Giannella</t>
  </si>
  <si>
    <t>Jianyong Wang</t>
  </si>
  <si>
    <t>Lizhu Zhou</t>
  </si>
  <si>
    <t>Yuzhou Zhang</t>
  </si>
  <si>
    <t>Martin Maas</t>
  </si>
  <si>
    <t>Anthony Hunter</t>
  </si>
  <si>
    <t>Jan Medvesek</t>
  </si>
  <si>
    <t>Stephen Hailes</t>
  </si>
  <si>
    <t>Alexander Chang</t>
  </si>
  <si>
    <t>Amit Sahai</t>
  </si>
  <si>
    <t>Andrew Symington</t>
  </si>
  <si>
    <t>Atsushi Fujimura</t>
  </si>
  <si>
    <t>Babak Daneshrad</t>
  </si>
  <si>
    <t>Biao Zhou</t>
  </si>
  <si>
    <t>Brian Choi</t>
  </si>
  <si>
    <t>Chenguang Shen</t>
  </si>
  <si>
    <t>Chieh Ning</t>
  </si>
  <si>
    <t>Chieh Ning Lien</t>
  </si>
  <si>
    <t>Chien Chia</t>
  </si>
  <si>
    <t>Chien Chia Chen</t>
  </si>
  <si>
    <t>Clifford Chen</t>
  </si>
  <si>
    <t>Dae-Ki Cho</t>
  </si>
  <si>
    <t>Daniela Tulone</t>
  </si>
  <si>
    <t>Davide Lau</t>
  </si>
  <si>
    <t>Donnie Kim</t>
  </si>
  <si>
    <t>Eun-Kyu Lee</t>
  </si>
  <si>
    <t>Frank Chang</t>
  </si>
  <si>
    <t>Gabriel Pan</t>
  </si>
  <si>
    <t>Giovanni Pau</t>
  </si>
  <si>
    <t>Guan-Hua Tu</t>
  </si>
  <si>
    <t>Guang Yang</t>
  </si>
  <si>
    <t>Gustavo Marfia</t>
  </si>
  <si>
    <t>Haksoo Choi</t>
  </si>
  <si>
    <t>Ian Ku</t>
  </si>
  <si>
    <t>Ioannis Pefkianakis</t>
  </si>
  <si>
    <t>Jason Cong</t>
  </si>
  <si>
    <t>Jerrid Matthews</t>
  </si>
  <si>
    <t>Jiejun Kong</t>
  </si>
  <si>
    <t>Jonathan Friedman</t>
  </si>
  <si>
    <t>Joseph Yeh</t>
  </si>
  <si>
    <t>Kasturi Raghavan</t>
  </si>
  <si>
    <t>Kevin Lee</t>
  </si>
  <si>
    <t>Lara Dolecek</t>
  </si>
  <si>
    <t>Ling-Jyh Chen</t>
  </si>
  <si>
    <t>Lixia Zhang</t>
  </si>
  <si>
    <t>Filipe Vieira</t>
  </si>
  <si>
    <t>Luiz Filipe Vieira</t>
  </si>
  <si>
    <t>Mani Srivastava</t>
  </si>
  <si>
    <t>Mario Gerla</t>
  </si>
  <si>
    <t>Matt Millar</t>
  </si>
  <si>
    <t>Medy Sanadidi</t>
  </si>
  <si>
    <t>Michael Meisel</t>
  </si>
  <si>
    <t>Nanxi Chen</t>
  </si>
  <si>
    <t>Nicolas Bitouze</t>
  </si>
  <si>
    <t>Nishanth Alapati</t>
  </si>
  <si>
    <t>Paul Martin</t>
  </si>
  <si>
    <t>Pei-Chun Cheng</t>
  </si>
  <si>
    <t>Pengkai Zhao</t>
  </si>
  <si>
    <t>Prashanth Swaminathan</t>
  </si>
  <si>
    <t>Roy Shea</t>
  </si>
  <si>
    <t>Ryan Cheung</t>
  </si>
  <si>
    <t>Sadaf Zahedi</t>
  </si>
  <si>
    <t>Sai-Wang Tam</t>
  </si>
  <si>
    <t>Salma Elmalaki</t>
  </si>
  <si>
    <t>Saurabh Ganeriwal</t>
  </si>
  <si>
    <t>Seung-Hoon Lee</t>
  </si>
  <si>
    <t>Sewook Jung</t>
  </si>
  <si>
    <t>Songwu Lu</t>
  </si>
  <si>
    <t>Soon Young</t>
  </si>
  <si>
    <t>Soon Young Oh</t>
  </si>
  <si>
    <t>Suk-Bok Lee</t>
  </si>
  <si>
    <t>Supriyo Chakraborty</t>
  </si>
  <si>
    <t>Thomas Schmid</t>
  </si>
  <si>
    <t>Tony Sun</t>
  </si>
  <si>
    <t>Triet Le</t>
  </si>
  <si>
    <t>Uichin Lee</t>
  </si>
  <si>
    <t>Wentao Ouyang</t>
  </si>
  <si>
    <t>Wooseong Kim</t>
  </si>
  <si>
    <t>Yasser Shoukry</t>
  </si>
  <si>
    <t>Yeng-Zhong Lee</t>
  </si>
  <si>
    <t>You Lu</t>
  </si>
  <si>
    <t>Younghun Kim</t>
  </si>
  <si>
    <t>Yu-Ting Yu</t>
  </si>
  <si>
    <t>Zafeiria Anagnostopoulou</t>
  </si>
  <si>
    <t>Zainul Charbiwala</t>
  </si>
  <si>
    <t>Zhen Cao</t>
  </si>
  <si>
    <t>Panagiotis Voulgaris</t>
  </si>
  <si>
    <t>Rene Cruz</t>
  </si>
  <si>
    <t>Anand Seetharam</t>
  </si>
  <si>
    <t>Azadeh Sheikholeslami</t>
  </si>
  <si>
    <t>Benyuan Liu</t>
  </si>
  <si>
    <t>Bo Jiang</t>
  </si>
  <si>
    <t>Boulat Bash</t>
  </si>
  <si>
    <t>Brian Levine</t>
  </si>
  <si>
    <t>Bruno Ribeiro</t>
  </si>
  <si>
    <t>Cagatay Capar</t>
  </si>
  <si>
    <t>Chang Liu</t>
  </si>
  <si>
    <t>Dennis Goeckel</t>
  </si>
  <si>
    <t>Don Towsley</t>
  </si>
  <si>
    <t>Elisha Rosensweig</t>
  </si>
  <si>
    <t>Emmanuel Cecchet</t>
  </si>
  <si>
    <t>Hossein Pishro-Nik</t>
  </si>
  <si>
    <t>Jim Kurose</t>
  </si>
  <si>
    <t>Junning Liu</t>
  </si>
  <si>
    <t>Kery Hardwick</t>
  </si>
  <si>
    <t>Liaoruo Wang</t>
  </si>
  <si>
    <t>Manikandan Somasundaram</t>
  </si>
  <si>
    <t>Mark Corner</t>
  </si>
  <si>
    <t>Mostafa Dehghan</t>
  </si>
  <si>
    <t>Nilanjan Banerjee</t>
  </si>
  <si>
    <t>Prashant Shenoy</t>
  </si>
  <si>
    <t>Ramesh Sitaraman</t>
  </si>
  <si>
    <t>Ramin Khalili</t>
  </si>
  <si>
    <t>Stephan Adams</t>
  </si>
  <si>
    <t>Sudarshan Vasudevan</t>
  </si>
  <si>
    <t>Victor Manfredi</t>
  </si>
  <si>
    <t>Wei Wei</t>
  </si>
  <si>
    <t>Weibo Gong</t>
  </si>
  <si>
    <t>William Gauvin</t>
  </si>
  <si>
    <t>Xiaolan Zhang</t>
  </si>
  <si>
    <t>Yeon-sup Lim</t>
  </si>
  <si>
    <t>Yong Huang</t>
  </si>
  <si>
    <t>Yonggang Hao</t>
  </si>
  <si>
    <t>Yung-Chih Chen</t>
  </si>
  <si>
    <t>Aishwarya Thiruvengadam</t>
  </si>
  <si>
    <t>Andrew Miller</t>
  </si>
  <si>
    <t>Anthony Ephremides</t>
  </si>
  <si>
    <t>Arkady Yerukhimovich</t>
  </si>
  <si>
    <t>Aseem Rastogi</t>
  </si>
  <si>
    <t>Charalampos Papamanthou</t>
  </si>
  <si>
    <t>Daniel Apon</t>
  </si>
  <si>
    <t>Dominique Schroder</t>
  </si>
  <si>
    <t>Elaine Shi</t>
  </si>
  <si>
    <t>Feng-Hao Liu</t>
  </si>
  <si>
    <t>Gelareh Taban</t>
  </si>
  <si>
    <t>Hillol Kargupta</t>
  </si>
  <si>
    <t>Ji Sun</t>
  </si>
  <si>
    <t>Ji Sun Shin</t>
  </si>
  <si>
    <t>Jonathan Katz</t>
  </si>
  <si>
    <t>Leeger Yu</t>
  </si>
  <si>
    <t>Matthew Hammer</t>
  </si>
  <si>
    <t>Mike Hicks</t>
  </si>
  <si>
    <t>Omer Horvitz</t>
  </si>
  <si>
    <t>Piotr Mardziel</t>
  </si>
  <si>
    <t>Ranjit Kumaresan</t>
  </si>
  <si>
    <t>Samuel Dov Gordon</t>
  </si>
  <si>
    <t>Seung Choi</t>
  </si>
  <si>
    <t>Seung Geol</t>
  </si>
  <si>
    <t>Seung Geol Choi</t>
  </si>
  <si>
    <t>Stephen Magill</t>
  </si>
  <si>
    <t>Yan Huang</t>
  </si>
  <si>
    <t>Yupeng Zhang</t>
  </si>
  <si>
    <t>Alice Toniolo</t>
  </si>
  <si>
    <t>Anthony Etuk</t>
  </si>
  <si>
    <t>Artemis Parvizi</t>
  </si>
  <si>
    <t>Burcu Yilmaz</t>
  </si>
  <si>
    <t>Chris Burnett</t>
  </si>
  <si>
    <t>Craig McKenzie</t>
  </si>
  <si>
    <t>Daniele Masato</t>
  </si>
  <si>
    <t>Chukwuemeka Emele</t>
  </si>
  <si>
    <t>Derek Sleeman</t>
  </si>
  <si>
    <t>Frank Guerin</t>
  </si>
  <si>
    <t>Hengfei Li</t>
  </si>
  <si>
    <t>Jeff Pan</t>
  </si>
  <si>
    <t>Jhonatan Garcia</t>
  </si>
  <si>
    <t>Mairi McCallum</t>
  </si>
  <si>
    <t>Mario Gomez</t>
  </si>
  <si>
    <t>Martin Kollingbaum</t>
  </si>
  <si>
    <t>Murat Sensoy</t>
  </si>
  <si>
    <t>Nava Tintarev</t>
  </si>
  <si>
    <t>Nir Oren</t>
  </si>
  <si>
    <t>Stuart Chalmers</t>
  </si>
  <si>
    <t>Thao Le</t>
  </si>
  <si>
    <t>Timothy Norman</t>
  </si>
  <si>
    <t>Wamberto Vasconcelos</t>
  </si>
  <si>
    <t>Anders Lindgren</t>
  </si>
  <si>
    <t>Andrei Bejan</t>
  </si>
  <si>
    <t>Andrew Twigg</t>
  </si>
  <si>
    <t>Ann Copestake</t>
  </si>
  <si>
    <t>Cecilia Mascolo</t>
  </si>
  <si>
    <t>Sid Chau</t>
  </si>
  <si>
    <t>Diarmuid O'Seaghdha</t>
  </si>
  <si>
    <t>Eiko Yoneki</t>
  </si>
  <si>
    <t>Ilias Leontiadis</t>
  </si>
  <si>
    <t>John Tang</t>
  </si>
  <si>
    <t>Jon Crowcroft</t>
  </si>
  <si>
    <t>Kuang Xu</t>
  </si>
  <si>
    <t>Mirco Musolesi</t>
  </si>
  <si>
    <t>Nik Sultana</t>
  </si>
  <si>
    <t>Pietro Lio</t>
  </si>
  <si>
    <t>Richard Gibbens</t>
  </si>
  <si>
    <t>van der Wath</t>
  </si>
  <si>
    <t>Richard van der Wath</t>
  </si>
  <si>
    <t>Salvatore Scellato</t>
  </si>
  <si>
    <t>Steven Hand</t>
  </si>
  <si>
    <t>Tammy Cheng</t>
  </si>
  <si>
    <t>Wenjun Hu</t>
  </si>
  <si>
    <t>Yu-En Lu</t>
  </si>
  <si>
    <t>Joe Sventek</t>
  </si>
  <si>
    <t>Steven Heeps</t>
  </si>
  <si>
    <t>Steven Strowes</t>
  </si>
  <si>
    <t>Ji Zhu</t>
  </si>
  <si>
    <t>Riccardo Crepaldi</t>
  </si>
  <si>
    <t>Shuochao Yao</t>
  </si>
  <si>
    <t>Tarek Abdelzaher</t>
  </si>
  <si>
    <t>Yunlong Gao</t>
  </si>
  <si>
    <t>Alistair Russell</t>
  </si>
  <si>
    <t>Baofeng Guo</t>
  </si>
  <si>
    <t>Christos Koumenides</t>
  </si>
  <si>
    <t>Darren Richardson</t>
  </si>
  <si>
    <t>Duncan McRae-Spencer</t>
  </si>
  <si>
    <t>Luc Moreau</t>
  </si>
  <si>
    <t>Mark Nixon</t>
  </si>
  <si>
    <t>Nigel Shadbolt</t>
  </si>
  <si>
    <t>Paul Smart</t>
  </si>
  <si>
    <t>Paula Engelbrecht</t>
  </si>
  <si>
    <t>Trung Dong</t>
  </si>
  <si>
    <t>Trung Dong Huynh</t>
  </si>
  <si>
    <t>Yannis Kalfoglou</t>
  </si>
  <si>
    <t>Yi Wang</t>
  </si>
  <si>
    <t>Joao Luis</t>
  </si>
  <si>
    <t>Joao Luis Sobrinho</t>
  </si>
  <si>
    <t>Marco Barbosa</t>
  </si>
  <si>
    <t>Mario Alvim</t>
  </si>
  <si>
    <t>Luca Nizzardo</t>
  </si>
  <si>
    <t>de Sena</t>
  </si>
  <si>
    <t>Enzo de Sena</t>
  </si>
  <si>
    <t>Dario Catalano</t>
  </si>
  <si>
    <t>Franco Bagnoli</t>
  </si>
  <si>
    <t>Edelmira Pasarella</t>
  </si>
  <si>
    <t>Windhya Rankothge</t>
  </si>
  <si>
    <t>Benoit Libert</t>
  </si>
  <si>
    <t>Xiaoyan Hong</t>
  </si>
  <si>
    <t>Randy Goebel</t>
  </si>
  <si>
    <t>Sisi Liu</t>
  </si>
  <si>
    <t>Rod Girle</t>
  </si>
  <si>
    <t>Antonio Corradi</t>
  </si>
  <si>
    <t>Eugenio Giordano</t>
  </si>
  <si>
    <t>Eugenio Magistretti</t>
  </si>
  <si>
    <t>di Felice</t>
  </si>
  <si>
    <t>Marco di Felice</t>
  </si>
  <si>
    <t>Paolo Bellavista</t>
  </si>
  <si>
    <t>Majid Ghaderi</t>
  </si>
  <si>
    <t>Rei Safavi-Naini</t>
  </si>
  <si>
    <t>Elizabeth Belding</t>
  </si>
  <si>
    <t>Joao Hesphana</t>
  </si>
  <si>
    <t>Paul Schmitt</t>
  </si>
  <si>
    <t>Upamanyu Madhow</t>
  </si>
  <si>
    <t>Vito Latora</t>
  </si>
  <si>
    <t>Gita Sukthankar</t>
  </si>
  <si>
    <t>Antonis Kakas</t>
  </si>
  <si>
    <t>Falko Dressler</t>
  </si>
  <si>
    <t>Roman Koch</t>
  </si>
  <si>
    <t>Luca Sguanci</t>
  </si>
  <si>
    <t>Anna Lawniczak</t>
  </si>
  <si>
    <t>Jiaying Xu</t>
  </si>
  <si>
    <t>Shengkun Xie</t>
  </si>
  <si>
    <t>Ran Wolff</t>
  </si>
  <si>
    <t>Victor Li</t>
  </si>
  <si>
    <t>ABM Musa</t>
  </si>
  <si>
    <t>Yan Xie</t>
  </si>
  <si>
    <t>Bo Luo</t>
  </si>
  <si>
    <t>Fengjun Li</t>
  </si>
  <si>
    <t>Jerome Haerri</t>
  </si>
  <si>
    <t>Matteo Migliavacca</t>
  </si>
  <si>
    <t>Katie Atkinson</t>
  </si>
  <si>
    <t>Michael Wooldridge</t>
  </si>
  <si>
    <t>Paul Dunne</t>
  </si>
  <si>
    <t>Peter McBurney</t>
  </si>
  <si>
    <t>Antonio Carzaniga</t>
  </si>
  <si>
    <t>Koorosh Khazaei</t>
  </si>
  <si>
    <t>Michele Paplini</t>
  </si>
  <si>
    <t>Raphael Frank</t>
  </si>
  <si>
    <t>Prabal Dutta</t>
  </si>
  <si>
    <t>George Karypis</t>
  </si>
  <si>
    <t>Ivan Jureta</t>
  </si>
  <si>
    <t>Scott Coull</t>
  </si>
  <si>
    <t>Zhanwei Sun</t>
  </si>
  <si>
    <t>Michele Zorzi</t>
  </si>
  <si>
    <t>Anil Sorathiya</t>
  </si>
  <si>
    <t>Marco Aldinucci</t>
  </si>
  <si>
    <t>Massimo Torquati</t>
  </si>
  <si>
    <t>Chet Gnegy</t>
  </si>
  <si>
    <t>Michael Lewis</t>
  </si>
  <si>
    <t>Young Cho</t>
  </si>
  <si>
    <t>Albert Harris</t>
  </si>
  <si>
    <t>Austin Harris</t>
  </si>
  <si>
    <t>Evan Glasgow</t>
  </si>
  <si>
    <t>Mohit Tiwari</t>
  </si>
  <si>
    <t>Siavosh Benabbas</t>
  </si>
  <si>
    <t>Jeremy Jacob</t>
  </si>
  <si>
    <t>John Clark</t>
  </si>
  <si>
    <t>John McDermid</t>
  </si>
  <si>
    <t>John Murdoch</t>
  </si>
  <si>
    <t>Juan Tapiador</t>
  </si>
  <si>
    <t>Sevil Sen</t>
  </si>
  <si>
    <t>Will Harwood</t>
  </si>
  <si>
    <t>Yow Tzu</t>
  </si>
  <si>
    <t>Yow Tzu Lim</t>
  </si>
  <si>
    <t>Edith Ngai</t>
  </si>
  <si>
    <t>Thomas Killion</t>
  </si>
  <si>
    <t>Richard Mortier</t>
  </si>
  <si>
    <t>Hong-Sheng Zhou</t>
  </si>
  <si>
    <t>Hannah Grosso</t>
  </si>
  <si>
    <t>Jinny Yan</t>
  </si>
  <si>
    <t>Jonathan Theiss</t>
  </si>
  <si>
    <t>Michael Shares</t>
  </si>
  <si>
    <t>Theodore Hoel</t>
  </si>
  <si>
    <t>Won Ro</t>
  </si>
  <si>
    <t>there is a country named '{1}' (stub)</t>
  </si>
  <si>
    <t>Note - replace with with "(max)" to generate all spreadsheet rows</t>
  </si>
  <si>
    <t>AAMAS</t>
  </si>
  <si>
    <t>International Conference on Autonomous Agents and Multiagent Systems (AAMAS)</t>
  </si>
  <si>
    <t>http://www.aamas-conference.org/</t>
  </si>
  <si>
    <t>ArgMAS</t>
  </si>
  <si>
    <t>Argumentation in Multi-Agent Systems (ArgMAS)</t>
  </si>
  <si>
    <t>http://www.mit.edu/~irahwan/argmas/</t>
  </si>
  <si>
    <t>ASC</t>
  </si>
  <si>
    <t>Army Science Conference (ASC)</t>
  </si>
  <si>
    <t>http://www.arl.army.mil/www/?article=449</t>
  </si>
  <si>
    <t>ASIACRYPT</t>
  </si>
  <si>
    <t>IACR Annual International Conference on the Theory and Application of Cryptology and Information (ASIACRYPT)</t>
  </si>
  <si>
    <t>http://www.iacr.org/meetings/asiacrypt/</t>
  </si>
  <si>
    <t>CNSM</t>
  </si>
  <si>
    <t>IEEE International Conference on Network and Service Management (CNSM)</t>
  </si>
  <si>
    <t>http://www.cnsm-conf.org/</t>
  </si>
  <si>
    <t>COMMSNETS</t>
  </si>
  <si>
    <t>IEEE International Conference on Communication Systems and Networks and Workshops (COMMSNETS)</t>
  </si>
  <si>
    <t>http://www.comsnets.org/</t>
  </si>
  <si>
    <t>CoNEXT</t>
  </si>
  <si>
    <t>ACM Conference on emerging Networking EXperiments and Technologies (CoNEXT)</t>
  </si>
  <si>
    <t>http://www.sigcomm.org/events/conext-conference</t>
  </si>
  <si>
    <t>CRYPTO</t>
  </si>
  <si>
    <t>IACR Annual International Cryptology Conference (CRYPTO)</t>
  </si>
  <si>
    <t>http://www.iacr.org/meetings/crypto/</t>
  </si>
  <si>
    <t>DCoSS</t>
  </si>
  <si>
    <t>IEEE International Conference on Distributed Computing in Sensor Systems (DCoSS)</t>
  </si>
  <si>
    <t>http://www.dcoss.org/</t>
  </si>
  <si>
    <t>EUMAS</t>
  </si>
  <si>
    <t>European Workshop on Multi-Agent Systems (EUMAS)</t>
  </si>
  <si>
    <t>http://www.ia.urjc.es/www.eumas.org/</t>
  </si>
  <si>
    <t>EUROCRYPT</t>
  </si>
  <si>
    <t>IACR Annual Annual International Conference on the Theory and Applications of Cryptographic Techniques (EUROCRYPT)</t>
  </si>
  <si>
    <t>http://www.iacr.org/meetings/eurocrypt/</t>
  </si>
  <si>
    <t>GlobeCom</t>
  </si>
  <si>
    <t>IEEE Global Communications Conference (GlobeCom)</t>
  </si>
  <si>
    <t>http://ieeexplore.ieee.org/xpl/conhome.jsp?punumber=1000308</t>
  </si>
  <si>
    <t>ICC</t>
  </si>
  <si>
    <t>IEEE International Conference on Communications (ICC)</t>
  </si>
  <si>
    <t>http://ieeexplore.ieee.org/xpl/conhome.jsp?punumber=1000104</t>
  </si>
  <si>
    <t>ICCRTS</t>
  </si>
  <si>
    <t>International Command and Control Research Technology Symposium (ICCRTS)</t>
  </si>
  <si>
    <t>http://www.dodccrp.org/html4/events_symposium_home.html</t>
  </si>
  <si>
    <t>IJCAI</t>
  </si>
  <si>
    <t>International Joint Conferences on Artificial Intelligence (IJCAI)</t>
  </si>
  <si>
    <t>http://ijcai.org/</t>
  </si>
  <si>
    <t>InfoCom</t>
  </si>
  <si>
    <t>IEEE International Conference on Computer Communications (InfoCom)</t>
  </si>
  <si>
    <t>http://ieeexplore.ieee.org/xpl/conhome.jsp?punumber=1000359</t>
  </si>
  <si>
    <t>ISWC</t>
  </si>
  <si>
    <t>International Semantic Web Conference (ISWC)</t>
  </si>
  <si>
    <t>http://swsa.semanticweb.org/content/international-semantic-web-conference-iswc</t>
  </si>
  <si>
    <t>KSCO</t>
  </si>
  <si>
    <t>Knowledge Systems for Coalition Operations (KSCO)</t>
  </si>
  <si>
    <t>http://www.aiai.ed.ac.uk/project/coalition/</t>
  </si>
  <si>
    <t>MASS</t>
  </si>
  <si>
    <t>IEEE International Conference on Mobile Ad Hoc and Sensor Systems (MASS)</t>
  </si>
  <si>
    <t>http://ieeexplore.ieee.org/xpl/conhome.jsp?punumber=1001499</t>
  </si>
  <si>
    <t>MILCOM</t>
  </si>
  <si>
    <t>IEEE Military Communication Conference (Milcom)</t>
  </si>
  <si>
    <t>MobiCom</t>
  </si>
  <si>
    <t>Annual International Conference on Mobile Computing and Networking (MobiCom)</t>
  </si>
  <si>
    <t>http://www.sigmobile.org/mobicom/</t>
  </si>
  <si>
    <t>MobiHoc</t>
  </si>
  <si>
    <t>ACM International Symposium on Mobile Ad Hoc Networking and Computing (MobiHoc)</t>
  </si>
  <si>
    <t>http://www.sigmobile.org/mobihoc/</t>
  </si>
  <si>
    <t>PerCom</t>
  </si>
  <si>
    <t>IEEE International Conference on Pervasive Computing and Communications (PerCom)</t>
  </si>
  <si>
    <t>http://www.percom.org/</t>
  </si>
  <si>
    <t>PIMRC</t>
  </si>
  <si>
    <t>IEEE International Symposium on Personal, Indoor and Mobile Radio Communications (PIMRC)</t>
  </si>
  <si>
    <t>http://www.ieee-pimrc.org/</t>
  </si>
  <si>
    <t>POLICY</t>
  </si>
  <si>
    <t>IEEE International Symposium on Policies for Distributed Systems and Networks (POLICY)</t>
  </si>
  <si>
    <t>http://www.policy-workshop.org/</t>
  </si>
  <si>
    <t>SECON</t>
  </si>
  <si>
    <t>IEEE Communications Society Conference on Sensor, Mesh and Ad Hoc Communications and Networks (SECON)</t>
  </si>
  <si>
    <t>http://ieee-secon.org</t>
  </si>
  <si>
    <t>SPIE ESD</t>
  </si>
  <si>
    <t>International Society for Optics and Photonics - Europe Security and Defense (SPIE ESD)</t>
  </si>
  <si>
    <t>http://spieeurope.org/esd</t>
  </si>
  <si>
    <t>WCNC</t>
  </si>
  <si>
    <t>IEEE Wireless Communications and Networking Conference (WCNC)</t>
  </si>
  <si>
    <t>http://ieeexplore.ieee.org/xpl/conhome.jsp?punumber=1000817</t>
  </si>
  <si>
    <t>AAMAS 2007</t>
  </si>
  <si>
    <t>International Conference on Autonomous Agents and Multiagent Systems (AAMAS), 2007</t>
  </si>
  <si>
    <t>14th May 2007</t>
  </si>
  <si>
    <t>18th May 2007</t>
  </si>
  <si>
    <t>http://www.aamas-conference.org/AAMAS/aamas07/</t>
  </si>
  <si>
    <t>AAMAS 2008</t>
  </si>
  <si>
    <t>International Conference on Autonomous Agents and Multiagent Systems (AAMAS), 2008</t>
  </si>
  <si>
    <t>12th May 2008</t>
  </si>
  <si>
    <t>16th May 2008</t>
  </si>
  <si>
    <t>http://www.aamas-conference.org/AAMAS/aamas08/</t>
  </si>
  <si>
    <t>AAMAS 2009</t>
  </si>
  <si>
    <t>International Conference on Autonomous Agents and Multiagent Systems (AAMAS), 2009</t>
  </si>
  <si>
    <t>10th May 2009</t>
  </si>
  <si>
    <t>15th May 2009</t>
  </si>
  <si>
    <t>http://www.aamas-conference.org/AAMAS/aamas09/</t>
  </si>
  <si>
    <t>AAMAS 2010</t>
  </si>
  <si>
    <t>International Conference on Autonomous Agents and Multiagent Systems (AAMAS), 2010</t>
  </si>
  <si>
    <t>10th May 2010</t>
  </si>
  <si>
    <t>14th May 2010</t>
  </si>
  <si>
    <t>http://www.aamas-conference.org/AAMAS/aamas10/</t>
  </si>
  <si>
    <t>AAMAS 2011</t>
  </si>
  <si>
    <t>International Conference on Autonomous Agents and Multiagent Systems (AAMAS), 2011</t>
  </si>
  <si>
    <t>2nd May 2011</t>
  </si>
  <si>
    <t>6th May 2011</t>
  </si>
  <si>
    <t>http://www.aamas-conference.org/AAMAS/aamas2011/</t>
  </si>
  <si>
    <t>AAMAS 2012</t>
  </si>
  <si>
    <t>International Conference on Autonomous Agents and Multiagent Systems (AAMAS), 2012</t>
  </si>
  <si>
    <t>4th June 2012</t>
  </si>
  <si>
    <t>8th June 2012</t>
  </si>
  <si>
    <t>http://www.aamas-conference.org/AAMAS/aamas2012/</t>
  </si>
  <si>
    <t>AAMAS 2013</t>
  </si>
  <si>
    <t>International Conference on Autonomous Agents and Multiagent Systems (AAMAS), 2013</t>
  </si>
  <si>
    <t>6th May 2013</t>
  </si>
  <si>
    <t>10th May 2013</t>
  </si>
  <si>
    <t>http://www.aamas-conference.org/AAMAS/aamas2013/</t>
  </si>
  <si>
    <t>AAMAS 2015</t>
  </si>
  <si>
    <t>International Conference on Autonomous Agents and Multiagent Systems (AAMAS), 2015</t>
  </si>
  <si>
    <t>4th May 2015</t>
  </si>
  <si>
    <t>8th May 2015</t>
  </si>
  <si>
    <t>http://www.aamas-conference.org/AAMAS/aamas2015/</t>
  </si>
  <si>
    <t>ACITA 2007</t>
  </si>
  <si>
    <t>1st Annual Conference of the International Technology Alliance</t>
  </si>
  <si>
    <t>25th September 2007</t>
  </si>
  <si>
    <t>27th September 2007</t>
  </si>
  <si>
    <t>https://www.usukitacs.com/acita2007</t>
  </si>
  <si>
    <t>ACITA 2008</t>
  </si>
  <si>
    <t>2nd Annual Conference of the International Technology Alliance</t>
  </si>
  <si>
    <t>16th September 2008</t>
  </si>
  <si>
    <t>18th September 2008</t>
  </si>
  <si>
    <t>https://www.usukitacs.com/acita2008</t>
  </si>
  <si>
    <t>ACITA 2009</t>
  </si>
  <si>
    <t>3rd Annual Conference of the International Technology Alliance</t>
  </si>
  <si>
    <t>22nd September 2009</t>
  </si>
  <si>
    <t>24th September 2009</t>
  </si>
  <si>
    <t>https://www.usukitacs.com/acita2009</t>
  </si>
  <si>
    <t>ACITA 2010</t>
  </si>
  <si>
    <t>4th Annual Conference of the International Technology Alliance</t>
  </si>
  <si>
    <t>13th September 2010</t>
  </si>
  <si>
    <t>16th September 2010</t>
  </si>
  <si>
    <t>https://www.usukitacs.com/acita2010</t>
  </si>
  <si>
    <t>ACITA 2011</t>
  </si>
  <si>
    <t>5th Annual Conference of the International Technology Alliance</t>
  </si>
  <si>
    <t>27th September 2011</t>
  </si>
  <si>
    <t>28th September 2011</t>
  </si>
  <si>
    <t>https://www.usukitacs.com/acita2011</t>
  </si>
  <si>
    <t>AFM 2013</t>
  </si>
  <si>
    <t>7th Annual Fall Meeting of the International Technology Alliance</t>
  </si>
  <si>
    <t>1st October 2013</t>
  </si>
  <si>
    <t>3rd October 2013</t>
  </si>
  <si>
    <t>https://www.usukitacs.com/annual_fall_meeting</t>
  </si>
  <si>
    <t>AFM 2014</t>
  </si>
  <si>
    <t>8th Annual Fall Meeting of the International Technology Alliance</t>
  </si>
  <si>
    <t>16th September 2014</t>
  </si>
  <si>
    <t>18th September 2014</t>
  </si>
  <si>
    <t>https://www.usukitacs.com/2014_AFM</t>
  </si>
  <si>
    <t>ArgMAS 2007</t>
  </si>
  <si>
    <t>Argumentation in Multi-Agent Systems (ArgMAS), 2007</t>
  </si>
  <si>
    <t>15th May 2007</t>
  </si>
  <si>
    <t>http://www.mit.edu/~irahwan/argmas/argmas07/</t>
  </si>
  <si>
    <t>ArgMAS 2008</t>
  </si>
  <si>
    <t>Argumentation in Multi-Agent Systems (ArgMAS), 2008</t>
  </si>
  <si>
    <t>http://www.mit.edu/~irahwan/argmas/argmas08/</t>
  </si>
  <si>
    <t>ArgMAS 2009</t>
  </si>
  <si>
    <t>Argumentation in Multi-Agent Systems (ArgMAS), 2009</t>
  </si>
  <si>
    <t>12th May 2009</t>
  </si>
  <si>
    <t>http://www.mit.edu/~irahwan/argmas/argmas09/</t>
  </si>
  <si>
    <t>ArgMAS 2010</t>
  </si>
  <si>
    <t>Argumentation in Multi-Agent Systems (ArgMAS), 2010</t>
  </si>
  <si>
    <t>http://www.mit.edu/~irahwan/argmas/argmas10/</t>
  </si>
  <si>
    <t>ArgMAS 2013</t>
  </si>
  <si>
    <t>Argumentation in Multi-Agent Systems (ArgMAS), 2013</t>
  </si>
  <si>
    <t>http://cgi.csc.liv.ac.uk/~sp/events/argmas13/</t>
  </si>
  <si>
    <t>ArgMAS 2014</t>
  </si>
  <si>
    <t>Argumentation in Multi-Agent Systems (ArgMAS), 2014</t>
  </si>
  <si>
    <t>5th May 2014</t>
  </si>
  <si>
    <t>http://www.mit.edu/~irahwan/argmas/argmas14/</t>
  </si>
  <si>
    <t>ArgMAS 2015</t>
  </si>
  <si>
    <t>Argumentation in Multi-Agent Systems (ArgMAS), 2015</t>
  </si>
  <si>
    <t>5th May 2015</t>
  </si>
  <si>
    <t>http://cgi.csc.liv.ac.uk/~sp/events/argmas15/</t>
  </si>
  <si>
    <t>ASC 2008</t>
  </si>
  <si>
    <t>Army Science Conference (ASC), 2008</t>
  </si>
  <si>
    <t>1st December 2008</t>
  </si>
  <si>
    <t>4th December 2008</t>
  </si>
  <si>
    <t>ASC 2010</t>
  </si>
  <si>
    <t>Army Science Conference (ASC), 2010</t>
  </si>
  <si>
    <t>29th November 2010</t>
  </si>
  <si>
    <t>2nd December 2010</t>
  </si>
  <si>
    <t>ASIACRYPT 2009</t>
  </si>
  <si>
    <t>IACR Annual International Conference on the Theory and Application of Cryptology and Information (ASIACRYPT), 2009</t>
  </si>
  <si>
    <t>6th December 2009</t>
  </si>
  <si>
    <t>10th December 2009</t>
  </si>
  <si>
    <t>http://www.iacr.org/conferences/asiacrypt2009/</t>
  </si>
  <si>
    <t>ASIACRYPT 2013</t>
  </si>
  <si>
    <t>IACR Annual International Conference on the Theory and Application of Cryptology and Information (ASIACRYPT), 2013</t>
  </si>
  <si>
    <t>1st December 2013</t>
  </si>
  <si>
    <t>5th December 2013</t>
  </si>
  <si>
    <t>http://www.iacr.org/conferences/asiacrypt2013/</t>
  </si>
  <si>
    <t>CNSM 2010</t>
  </si>
  <si>
    <t>IEEE International Conference on Network and Service Management (CNSM), 2010</t>
  </si>
  <si>
    <t>25th October 2010</t>
  </si>
  <si>
    <t>29th October 2010</t>
  </si>
  <si>
    <t>http://www.cnsm-conf.org/2010/</t>
  </si>
  <si>
    <t>CNSM 2011</t>
  </si>
  <si>
    <t>IEEE International Conference on Network and Service Management (CNSM), 2011</t>
  </si>
  <si>
    <t>24th October 2011</t>
  </si>
  <si>
    <t>28th October 2011</t>
  </si>
  <si>
    <t>http://cnsm.loria.fr/</t>
  </si>
  <si>
    <t>CNSM 2012</t>
  </si>
  <si>
    <t>IEEE International Conference on Network and Service Management (CNSM), 2012</t>
  </si>
  <si>
    <t>22nd October 2012</t>
  </si>
  <si>
    <t>26th October 2012</t>
  </si>
  <si>
    <t>http://www.cnsm-conf.org/2012/</t>
  </si>
  <si>
    <t>COMMSNETS 2009</t>
  </si>
  <si>
    <t>IEEE International Conference on Communication Systems and Networks and Workshops (COMMSNETS), 2009</t>
  </si>
  <si>
    <t>5th January 2009</t>
  </si>
  <si>
    <t>10th January 2009</t>
  </si>
  <si>
    <t>http://www.comsnets.org/archive/2009/</t>
  </si>
  <si>
    <t>COMMSNETS 2012</t>
  </si>
  <si>
    <t>IEEE International Conference on Communication Systems and Networks and Workshops (COMMSNETS), 2012</t>
  </si>
  <si>
    <t>3rd January 2012</t>
  </si>
  <si>
    <t>7th January 2012</t>
  </si>
  <si>
    <t>http://www.comsnets.org/archive/2012/</t>
  </si>
  <si>
    <t>CoNEXT 2007</t>
  </si>
  <si>
    <t>ACM Conference on emerging Networking EXperiments and Technologies (CoNEXT), 2007</t>
  </si>
  <si>
    <t>10th December 2007</t>
  </si>
  <si>
    <t>13th December 2007</t>
  </si>
  <si>
    <t>http://conferences2.sigcomm.org/co-next/2007/</t>
  </si>
  <si>
    <t>CoNEXT 2015</t>
  </si>
  <si>
    <t>ACM Conference on emerging Networking EXperiments and Technologies (CoNEXT), 2015</t>
  </si>
  <si>
    <t>1st December 2015</t>
  </si>
  <si>
    <t>4th December 2015</t>
  </si>
  <si>
    <t>http://conferences2.sigcomm.org/co-next/2015/</t>
  </si>
  <si>
    <t>CRYPTO 2007</t>
  </si>
  <si>
    <t>IACR Annual International Cryptology Conference (CRYPTO), 2007</t>
  </si>
  <si>
    <t>19th August 2007</t>
  </si>
  <si>
    <t>23rd August 2007</t>
  </si>
  <si>
    <t>http://www.iacr.org/conferences/crypto2007/</t>
  </si>
  <si>
    <t>CRYPTO 2010</t>
  </si>
  <si>
    <t>IACR Annual International Cryptology Conference (CRYPTO), 2010</t>
  </si>
  <si>
    <t>15th August 2010</t>
  </si>
  <si>
    <t>19th August 2010</t>
  </si>
  <si>
    <t>http://www.iacr.org/conferences/crypto2010/</t>
  </si>
  <si>
    <t>CRYPTO 2011</t>
  </si>
  <si>
    <t>IACR Annual International Cryptology Conference (CRYPTO), 2011</t>
  </si>
  <si>
    <t>14th August 2011</t>
  </si>
  <si>
    <t>18th August 2011</t>
  </si>
  <si>
    <t>http://www.iacr.org/conferences/crypto2011/</t>
  </si>
  <si>
    <t>CRYPTO 2013</t>
  </si>
  <si>
    <t>IACR Annual International Cryptology Conference (CRYPTO), 2013</t>
  </si>
  <si>
    <t>18th August 2013</t>
  </si>
  <si>
    <t>22nd August 2013</t>
  </si>
  <si>
    <t>http://www.iacr.org/conferences/crypto2013/</t>
  </si>
  <si>
    <t>DCoSS 2008</t>
  </si>
  <si>
    <t>IEEE International Conference on Distributed Computing in Sensor Systems (DCoSS), 2008</t>
  </si>
  <si>
    <t>11th June 2008</t>
  </si>
  <si>
    <t>14th June 2008</t>
  </si>
  <si>
    <t>http://www.dcoss.org/dcoss08/</t>
  </si>
  <si>
    <t>DCoSS 2009</t>
  </si>
  <si>
    <t>IEEE International Conference on Distributed Computing in Sensor Systems (DCoSS), 2009</t>
  </si>
  <si>
    <t>8th June 2009</t>
  </si>
  <si>
    <t>10th June 2009</t>
  </si>
  <si>
    <t>http://www.dcoss.org/dcoss09/</t>
  </si>
  <si>
    <t>DCoSS 2010</t>
  </si>
  <si>
    <t>IEEE International Conference on Distributed Computing in Sensor Systems (DCoSS), 2010</t>
  </si>
  <si>
    <t>21st June 2010</t>
  </si>
  <si>
    <t>23rd June 2010</t>
  </si>
  <si>
    <t>http://www.dcoss.org/dcoss10/</t>
  </si>
  <si>
    <t>DCoSS 2011</t>
  </si>
  <si>
    <t>IEEE International Conference on Distributed Computing in Sensor Systems (DCoSS), 2011</t>
  </si>
  <si>
    <t>27th June 2011</t>
  </si>
  <si>
    <t>29th June 2011</t>
  </si>
  <si>
    <t>http://www.dcoss.org/dcoss11/</t>
  </si>
  <si>
    <t>DCoSS 2012</t>
  </si>
  <si>
    <t>IEEE International Conference on Distributed Computing in Sensor Systems (DCoSS), 2012</t>
  </si>
  <si>
    <t>27th May 2012</t>
  </si>
  <si>
    <t>29th May 2012</t>
  </si>
  <si>
    <t>http://www.dcoss.org/dcoss12/</t>
  </si>
  <si>
    <t>EUMAS 2010</t>
  </si>
  <si>
    <t>European Workshop on Multi-Agent Systems (EUMAS), 2010</t>
  </si>
  <si>
    <t>16th December 2010</t>
  </si>
  <si>
    <t>17th December 2010</t>
  </si>
  <si>
    <t>EUMAS 2011</t>
  </si>
  <si>
    <t>European Workshop on Multi-Agent Systems (EUMAS), 2011</t>
  </si>
  <si>
    <t>14th November 2011</t>
  </si>
  <si>
    <t>15th November 2011</t>
  </si>
  <si>
    <t>http://swarmlab.unimaas.nl/eumas2011/</t>
  </si>
  <si>
    <t>EUROCRYPT 2008</t>
  </si>
  <si>
    <t>IACR Annual Annual International Conference on the Theory and Applications of Cryptographic Techniques (EUROCRYPT), 2008</t>
  </si>
  <si>
    <t>13th April 2008</t>
  </si>
  <si>
    <t>17th April 2008</t>
  </si>
  <si>
    <t>http://www.iacr.org/conferences/eurocrypt2008/</t>
  </si>
  <si>
    <t>EUROCRYPT 2010</t>
  </si>
  <si>
    <t>IACR Annual Annual International Conference on the Theory and Applications of Cryptographic Techniques (EUROCRYPT), 2010</t>
  </si>
  <si>
    <t>30th May 2010</t>
  </si>
  <si>
    <t>3rd June 2010</t>
  </si>
  <si>
    <t>http://www.iacr.org/conferences/eurocrypt2010/</t>
  </si>
  <si>
    <t>EUROCRYPT 2013</t>
  </si>
  <si>
    <t>IACR Annual Annual International Conference on the Theory and Applications of Cryptographic Techniques (EUROCRYPT), 2013</t>
  </si>
  <si>
    <t>26th May 2013</t>
  </si>
  <si>
    <t>30th May 2013</t>
  </si>
  <si>
    <t>http://www.iacr.org/conferences/eurocrypt2013/</t>
  </si>
  <si>
    <t>EUROCRYPT 2014</t>
  </si>
  <si>
    <t>IACR Annual Annual International Conference on the Theory and Applications of Cryptographic Techniques (EUROCRYPT), 2014</t>
  </si>
  <si>
    <t>11th May 2014</t>
  </si>
  <si>
    <t>15th May 2014</t>
  </si>
  <si>
    <t>http://www.iacr.org/conferences/eurocrypt2014/</t>
  </si>
  <si>
    <t>Fusion 2008</t>
  </si>
  <si>
    <t>11th International Conference on Information FUSION</t>
  </si>
  <si>
    <t>30th June 2008</t>
  </si>
  <si>
    <t>3rd July 2008</t>
  </si>
  <si>
    <t>http://isif.org/events/conference/fusion-2008</t>
  </si>
  <si>
    <t>Fusion 2009</t>
  </si>
  <si>
    <t>12th International Conference on Information FUSION</t>
  </si>
  <si>
    <t>6th July 2009</t>
  </si>
  <si>
    <t>9th July 2009</t>
  </si>
  <si>
    <t>http://isif.org/events/conference/fusion-2009</t>
  </si>
  <si>
    <t>Fusion 2010</t>
  </si>
  <si>
    <t>13th International Conference on Information FUSION</t>
  </si>
  <si>
    <t>26th July 2010</t>
  </si>
  <si>
    <t>29th July 2010</t>
  </si>
  <si>
    <t>http://isif.org/events/conference/fusion-2010</t>
  </si>
  <si>
    <t>Fusion 2011</t>
  </si>
  <si>
    <t>14th International Conference on Information FUSION</t>
  </si>
  <si>
    <t>5th July 2011</t>
  </si>
  <si>
    <t>8th July 2011</t>
  </si>
  <si>
    <t>http://isif.org/events/conference/fusion-2011</t>
  </si>
  <si>
    <t>Fusion 2012</t>
  </si>
  <si>
    <t>15th International Conference on Information FUSION</t>
  </si>
  <si>
    <t>9th July 2012</t>
  </si>
  <si>
    <t>12th July 2012</t>
  </si>
  <si>
    <t>http://isif.org/events/conference/fusion-2012</t>
  </si>
  <si>
    <t>Fusion 2013</t>
  </si>
  <si>
    <t>16th International Conference on Information FUSION</t>
  </si>
  <si>
    <t>9th July 2013</t>
  </si>
  <si>
    <t>12th July 2013</t>
  </si>
  <si>
    <t>http://isif.org/events/conference/fusion-2013</t>
  </si>
  <si>
    <t>Fusion 2015</t>
  </si>
  <si>
    <t>18th International Conference on Information FUSION</t>
  </si>
  <si>
    <t>6th July 2015</t>
  </si>
  <si>
    <t>9th July 2015</t>
  </si>
  <si>
    <t>http://isif.org/events/conference/fusion-2015</t>
  </si>
  <si>
    <t>GlobeCom 2007</t>
  </si>
  <si>
    <t>IEEE Global Communications Conference (GlobeCom), 2007</t>
  </si>
  <si>
    <t>26th November 2007</t>
  </si>
  <si>
    <t>30th November 2007</t>
  </si>
  <si>
    <t>http://globecom2007.ieee-globecom.org/</t>
  </si>
  <si>
    <t>GlobeCom 2008</t>
  </si>
  <si>
    <t>IEEE Global Communications Conference (GlobeCom), 2008</t>
  </si>
  <si>
    <t>30th November 2008</t>
  </si>
  <si>
    <t>http://globecom2008.ieee-globecom.org/</t>
  </si>
  <si>
    <t>GlobeCom 2009</t>
  </si>
  <si>
    <t>IEEE Global Communications Conference (GlobeCom), 2009</t>
  </si>
  <si>
    <t>30th November 2009</t>
  </si>
  <si>
    <t>4th December 2009</t>
  </si>
  <si>
    <t>http://globecom2009.ieee-globecom.org/</t>
  </si>
  <si>
    <t>GlobeCom 2010</t>
  </si>
  <si>
    <t>IEEE Global Communications Conference (GlobeCom), 2010</t>
  </si>
  <si>
    <t>6th December 2010</t>
  </si>
  <si>
    <t>10th December 2010</t>
  </si>
  <si>
    <t>http://globecom2010.ieee-globecom.org/</t>
  </si>
  <si>
    <t>GlobeCom 2011</t>
  </si>
  <si>
    <t>IEEE Global Communications Conference (GlobeCom), 2011</t>
  </si>
  <si>
    <t>5th December 2011</t>
  </si>
  <si>
    <t>9th December 2011</t>
  </si>
  <si>
    <t>http://globecom2011.ieee-globecom.org/</t>
  </si>
  <si>
    <t>GlobeCom 2013</t>
  </si>
  <si>
    <t>IEEE Global Communications Conference (GlobeCom), 2013</t>
  </si>
  <si>
    <t>9th December 2013</t>
  </si>
  <si>
    <t>13th December 2013</t>
  </si>
  <si>
    <t>http://globecom2013.ieee-globecom.org/</t>
  </si>
  <si>
    <t>ICC 2008</t>
  </si>
  <si>
    <t>IEEE International Conference on Communications (ICC), 2008</t>
  </si>
  <si>
    <t>19th May 2008</t>
  </si>
  <si>
    <t>23rd May 2008</t>
  </si>
  <si>
    <t>http://icc2008.ieee-icc.org/</t>
  </si>
  <si>
    <t>ICC 2010</t>
  </si>
  <si>
    <t>IEEE International Conference on Communications (ICC), 2010</t>
  </si>
  <si>
    <t>23rd May 2010</t>
  </si>
  <si>
    <t>27th May 2010</t>
  </si>
  <si>
    <t>http://icc2010.ieee-icc.org/</t>
  </si>
  <si>
    <t>ICC 2015</t>
  </si>
  <si>
    <t>IEEE International Conference on Communications (ICC), 2015</t>
  </si>
  <si>
    <t>8th June 2015</t>
  </si>
  <si>
    <t>12th June 2015</t>
  </si>
  <si>
    <t>http://icc2015.ieee-icc.org/</t>
  </si>
  <si>
    <t>ICCRTS 2008</t>
  </si>
  <si>
    <t>International Command and Control Research Technology Symposium (ICCRTS), 2008</t>
  </si>
  <si>
    <t>17th June 2008</t>
  </si>
  <si>
    <t>19th June 2008</t>
  </si>
  <si>
    <t>http://www.dodccrp.org/events/13th_iccrts_2008/CD/Launch_CD.html</t>
  </si>
  <si>
    <t>ICCRTS 2009</t>
  </si>
  <si>
    <t>International Command and Control Research Technology Symposium (ICCRTS), 2009</t>
  </si>
  <si>
    <t>15th June 2009</t>
  </si>
  <si>
    <t>17th June 2009</t>
  </si>
  <si>
    <t>http://www.dodccrp.org/events/14th_iccrts_2009/Launch_CD.html</t>
  </si>
  <si>
    <t>ICCRTS 2012</t>
  </si>
  <si>
    <t>International Command and Control Research Technology Symposium (ICCRTS), 2012</t>
  </si>
  <si>
    <t>19th June 2012</t>
  </si>
  <si>
    <t>21st June 2012</t>
  </si>
  <si>
    <t>http://www.dodccrp.org/events/17th_iccrts_2012/post_conference/html/home.html</t>
  </si>
  <si>
    <t>ICCRTS 2013</t>
  </si>
  <si>
    <t>International Command and Control Research Technology Symposium (ICCRTS), 2013</t>
  </si>
  <si>
    <t>19th June 2013</t>
  </si>
  <si>
    <t>21st June 2013</t>
  </si>
  <si>
    <t>http://www.dodccrp.org/events/18th_iccrts_2013/post_conference/html/home.html</t>
  </si>
  <si>
    <t>ICCRTS 2014</t>
  </si>
  <si>
    <t>International Command and Control Research Technology Symposium (ICCRTS), 2014</t>
  </si>
  <si>
    <t>16th June 2014</t>
  </si>
  <si>
    <t>19th June 2014</t>
  </si>
  <si>
    <t>http://www.dodccrp.org/events/19th_iccrts_2014/post_conference/html/home.html</t>
  </si>
  <si>
    <t>IJCAI 2007</t>
  </si>
  <si>
    <t>20th International Joint Conference on Artificial Intelligence, 2007</t>
  </si>
  <si>
    <t>6th January 2007</t>
  </si>
  <si>
    <t>12th January 2007</t>
  </si>
  <si>
    <t>http://www.ijcai-07.org/</t>
  </si>
  <si>
    <t>IJCAI 2011</t>
  </si>
  <si>
    <t>22nd International Joint Conference on Artificial Intelligence, 2011</t>
  </si>
  <si>
    <t>16th July 2011</t>
  </si>
  <si>
    <t>22nd July 2011</t>
  </si>
  <si>
    <t>http://ijcai-11.iiia.csic.es/</t>
  </si>
  <si>
    <t>IJCAI 2013</t>
  </si>
  <si>
    <t>23rd International Joint Conference on Artificial Intelligence, 2013</t>
  </si>
  <si>
    <t>3rd August 2013</t>
  </si>
  <si>
    <t>9th August 2013</t>
  </si>
  <si>
    <t>http://ijcai-13.org/</t>
  </si>
  <si>
    <t>IJCAI 2015</t>
  </si>
  <si>
    <t>24th International Joint Conference on Artificial Intelligence, 2015</t>
  </si>
  <si>
    <t>25th July 2015</t>
  </si>
  <si>
    <t>31st July 2015</t>
  </si>
  <si>
    <t>http://ijcai-15.org/</t>
  </si>
  <si>
    <t>InfoCom 2007</t>
  </si>
  <si>
    <t>IEEE International Conference on Computer Communications (InfoCom), 2007</t>
  </si>
  <si>
    <t>6th May 2007</t>
  </si>
  <si>
    <t>12th May 2007</t>
  </si>
  <si>
    <t>http://infocom2007.ieee-infocom.org/</t>
  </si>
  <si>
    <t>InfoCom 2008</t>
  </si>
  <si>
    <t>IEEE International Conference on Computer Communications (InfoCom), 2008</t>
  </si>
  <si>
    <t>http://infocom2008.ieee-infocom.org/</t>
  </si>
  <si>
    <t>InfoCom 2009</t>
  </si>
  <si>
    <t>IEEE International Conference on Computer Communications (InfoCom), 2009</t>
  </si>
  <si>
    <t>19th April 2009</t>
  </si>
  <si>
    <t>25th April 2009</t>
  </si>
  <si>
    <t>http://infocom2009.ieee-infocom.org/</t>
  </si>
  <si>
    <t>InfoCom 2010</t>
  </si>
  <si>
    <t>IEEE International Conference on Computer Communications (InfoCom), 2010</t>
  </si>
  <si>
    <t>15th March 2010</t>
  </si>
  <si>
    <t>19th March 2010</t>
  </si>
  <si>
    <t>http://infocom2010.ieee-infocom.org/</t>
  </si>
  <si>
    <t>InfoCom 2011</t>
  </si>
  <si>
    <t>IEEE International Conference on Computer Communications (InfoCom), 2011</t>
  </si>
  <si>
    <t>10th April 2011</t>
  </si>
  <si>
    <t>15th April 2011</t>
  </si>
  <si>
    <t>http://infocom2011.ieee-infocom.org/</t>
  </si>
  <si>
    <t>InfoCom 2012</t>
  </si>
  <si>
    <t>IEEE International Conference on Computer Communications (InfoCom), 2012</t>
  </si>
  <si>
    <t>25th March 2012</t>
  </si>
  <si>
    <t>30th March 2012</t>
  </si>
  <si>
    <t>http://infocom2012.ieee-infocom.org/</t>
  </si>
  <si>
    <t>InfoCom 2013</t>
  </si>
  <si>
    <t>IEEE International Conference on Computer Communications (InfoCom), 2013</t>
  </si>
  <si>
    <t>14th April 2013</t>
  </si>
  <si>
    <t>19th April 2013</t>
  </si>
  <si>
    <t>http://infocom2013.ieee-infocom.org/</t>
  </si>
  <si>
    <t>InfoCom 2014</t>
  </si>
  <si>
    <t>IEEE International Conference on Computer Communications (InfoCom), 2014</t>
  </si>
  <si>
    <t>27th April 2014</t>
  </si>
  <si>
    <t>2nd May 2014</t>
  </si>
  <si>
    <t>http://infocom2014.ieee-infocom.org/</t>
  </si>
  <si>
    <t>InfoCom 2015</t>
  </si>
  <si>
    <t>IEEE International Conference on Computer Communications (InfoCom), 2015</t>
  </si>
  <si>
    <t>26th April 2015</t>
  </si>
  <si>
    <t>1st May 2015</t>
  </si>
  <si>
    <t>http://infocom2015.ieee-infocom.org/</t>
  </si>
  <si>
    <t>InfoCom 2016</t>
  </si>
  <si>
    <t>IEEE International Conference on Computer Communications (InfoCom), 2016</t>
  </si>
  <si>
    <t>10th April 2016</t>
  </si>
  <si>
    <t>15th April 2016</t>
  </si>
  <si>
    <t>http://infocom2016.ieee-infocom.org/</t>
  </si>
  <si>
    <t>ISWC 2009</t>
  </si>
  <si>
    <t>International Semantic Web Conference (ISWC), 2009</t>
  </si>
  <si>
    <t>25th October 2009</t>
  </si>
  <si>
    <t>29th October 2009</t>
  </si>
  <si>
    <t>http://iswc2009.semanticweb.org/</t>
  </si>
  <si>
    <t>ISWC 2010</t>
  </si>
  <si>
    <t>International Semantic Web Conference (ISWC), 2010</t>
  </si>
  <si>
    <t>7th November 2010</t>
  </si>
  <si>
    <t>11th November 2010</t>
  </si>
  <si>
    <t>http://iswc2010.semanticweb.org/</t>
  </si>
  <si>
    <t>ISWC 2012</t>
  </si>
  <si>
    <t>International Semantic Web Conference (ISWC), 2012</t>
  </si>
  <si>
    <t>11th November 2012</t>
  </si>
  <si>
    <t>15th November 2012</t>
  </si>
  <si>
    <t>http://iswc2012.semanticweb.org/</t>
  </si>
  <si>
    <t>KSCO 2007</t>
  </si>
  <si>
    <t>Knowledge Systems for Coalition Operations (KSCO), 2007</t>
  </si>
  <si>
    <t>1st May 2007</t>
  </si>
  <si>
    <t>2nd May 2007</t>
  </si>
  <si>
    <t>http://www.aiai.ed.ac.uk/project/coalition/ksco/ksco-2007.html</t>
  </si>
  <si>
    <t>KSCO 2009</t>
  </si>
  <si>
    <t>Knowledge Systems for Coalition Operations (KSCO), 2009</t>
  </si>
  <si>
    <t>31st March 2009</t>
  </si>
  <si>
    <t>1st April 2009</t>
  </si>
  <si>
    <t>http://www.aiai.ed.ac.uk/project/coalition/ksco/ksco-2009.html</t>
  </si>
  <si>
    <t>KSCO 2010</t>
  </si>
  <si>
    <t>Knowledge Systems for Coalition Operations (KSCO), 2010</t>
  </si>
  <si>
    <t>21st September 2010</t>
  </si>
  <si>
    <t>23rd September 2010</t>
  </si>
  <si>
    <t>http://www.aiai.ed.ac.uk/project/coalition/ksco-2010.html</t>
  </si>
  <si>
    <t>KSCO 2012</t>
  </si>
  <si>
    <t>Knowledge Systems for Coalition Operations (KSCO), 2012</t>
  </si>
  <si>
    <t>15th February 2012</t>
  </si>
  <si>
    <t>17th February 2012</t>
  </si>
  <si>
    <t>http://www.aiai.ed.ac.uk/project/coalition/ksco-2012.html</t>
  </si>
  <si>
    <t>KSCO 2016</t>
  </si>
  <si>
    <t>Knowledge Systems for Coalition Operations (KSCO), 2016</t>
  </si>
  <si>
    <t>6th September 2016</t>
  </si>
  <si>
    <t>8th September 2016</t>
  </si>
  <si>
    <t>http://www.aiai.ed.ac.uk/project/coalition/ksco-2016.html</t>
  </si>
  <si>
    <t>MASS 2006</t>
  </si>
  <si>
    <t>IEEE International Conference on Mobile Ad Hoc and Sensor Systems (MASS), 2006</t>
  </si>
  <si>
    <t>9th October 2006</t>
  </si>
  <si>
    <t>12th October 2006</t>
  </si>
  <si>
    <t>http://www.ieee.org/conferences_events/conferences/conferencedetails/index.html?Conf_ID=11556</t>
  </si>
  <si>
    <t>MASS 2007</t>
  </si>
  <si>
    <t>IEEE International Conference on Mobile Ad Hoc and Sensor Systems (MASS), 2007</t>
  </si>
  <si>
    <t>8th October 2007</t>
  </si>
  <si>
    <t>11th October 2007</t>
  </si>
  <si>
    <t>http://cnd.iit.cnr.it/mass2007/</t>
  </si>
  <si>
    <t>MASS 2008</t>
  </si>
  <si>
    <t>IEEE International Conference on Mobile Ad Hoc and Sensor Systems (MASS), 2008</t>
  </si>
  <si>
    <t>29th September 2008</t>
  </si>
  <si>
    <t>2nd October 2008</t>
  </si>
  <si>
    <t>http://www.cse.psu.edu/IEEEMASS08/</t>
  </si>
  <si>
    <t>MASS 2009</t>
  </si>
  <si>
    <t>IEEE International Conference on Mobile Ad Hoc and Sensor Systems (MASS), 2009</t>
  </si>
  <si>
    <t>5th October 2009</t>
  </si>
  <si>
    <t>8th October 2009</t>
  </si>
  <si>
    <t>http://ieeexplore.ieee.org/xpl/mostRecentIssue.jsp?punumber=5312767</t>
  </si>
  <si>
    <t>MASS 2010</t>
  </si>
  <si>
    <t>IEEE International Conference on Mobile Ad Hoc and Sensor Systems (MASS), 2010</t>
  </si>
  <si>
    <t>8th November 2010</t>
  </si>
  <si>
    <t>12th November 2010</t>
  </si>
  <si>
    <t>https://mass2010.soe.ucsc.edu/</t>
  </si>
  <si>
    <t>MASS 2011</t>
  </si>
  <si>
    <t>IEEE International Conference on Mobile Ad Hoc and Sensor Systems (MASS), 2011</t>
  </si>
  <si>
    <t>17th October 2011</t>
  </si>
  <si>
    <t>21st October 2011</t>
  </si>
  <si>
    <t>http://mass2011.upv.es/</t>
  </si>
  <si>
    <t>MASS 2013</t>
  </si>
  <si>
    <t>IEEE International Conference on Mobile Ad Hoc and Sensor Systems (MASS), 2013</t>
  </si>
  <si>
    <t>14th October 2013</t>
  </si>
  <si>
    <t>16th October 2013</t>
  </si>
  <si>
    <t>http://www.sensornet.cn/ieeemass2013/</t>
  </si>
  <si>
    <t>Hangzhou, China</t>
  </si>
  <si>
    <t>MASS 2015</t>
  </si>
  <si>
    <t>IEEE International Conference on Mobile Ad Hoc and Sensor Systems (MASS), 2015</t>
  </si>
  <si>
    <t>19th October 2015</t>
  </si>
  <si>
    <t>22nd October 2015</t>
  </si>
  <si>
    <t>http://mass2015.eecs.utk.edu/</t>
  </si>
  <si>
    <t>MILCOM 2006</t>
  </si>
  <si>
    <t>IEEE Military Communications Conference, 2006</t>
  </si>
  <si>
    <t>23rd October 2006</t>
  </si>
  <si>
    <t>25th October 2006</t>
  </si>
  <si>
    <t>http://www.ieee.org/conferences_events/conferences/conferencedetails/index.html?Conf_ID=11382</t>
  </si>
  <si>
    <t>MILCOM 2007</t>
  </si>
  <si>
    <t>IEEE Military Communications Conference, 2007</t>
  </si>
  <si>
    <t>29th October 2007</t>
  </si>
  <si>
    <t>31st October 2007</t>
  </si>
  <si>
    <t>http://www.ieee.org/conferences_events/conferences/conferencedetails/index.html?Conf_ID=12352</t>
  </si>
  <si>
    <t>MILCOM 2008</t>
  </si>
  <si>
    <t>IEEE Military Communications Conference, 2008</t>
  </si>
  <si>
    <t>17th November 2008</t>
  </si>
  <si>
    <t>19th November 2008</t>
  </si>
  <si>
    <t>http://ieeexplore.ieee.org/xpl/mostRecentIssue.jsp?punumber=4723889</t>
  </si>
  <si>
    <t>MILCOM 2009</t>
  </si>
  <si>
    <t>IEEE Military Communications Conference, 2009</t>
  </si>
  <si>
    <t>18th October 2009</t>
  </si>
  <si>
    <t>21st November 2009</t>
  </si>
  <si>
    <t>http://www.ieee.org/conferences_events/conferences/conferencedetails/index.html?Conf_ID=14586</t>
  </si>
  <si>
    <t>MILCOM 2010</t>
  </si>
  <si>
    <t>IEEE Military Communications Conference, 2010</t>
  </si>
  <si>
    <t>31st October 2010</t>
  </si>
  <si>
    <t>3rd November 2010</t>
  </si>
  <si>
    <t>MILCOM 2011</t>
  </si>
  <si>
    <t>IEEE Military Communications Conference, 2011</t>
  </si>
  <si>
    <t>7th November 2011</t>
  </si>
  <si>
    <t>10th November 2011</t>
  </si>
  <si>
    <t>http://www.ieee.org/conferences_events/conferences/conferencedetails/index.html?Conf_ID=18114</t>
  </si>
  <si>
    <t>MILCOM 2013</t>
  </si>
  <si>
    <t>IEEE Military Communications Conference, 2013</t>
  </si>
  <si>
    <t>18th November 2013</t>
  </si>
  <si>
    <t>20th November 2013</t>
  </si>
  <si>
    <t>https://www.ieee.org/conferences_events/conferences/conferencedetails/index.html?Conf_ID=30370</t>
  </si>
  <si>
    <t>MILCOM 2014</t>
  </si>
  <si>
    <t>IEEE Military Communications Conference, 2014</t>
  </si>
  <si>
    <t>6th October 2014</t>
  </si>
  <si>
    <t>8th October 2014</t>
  </si>
  <si>
    <t>https://www.ieee.org/conferences_events/conferences/conferencedetails/index.html?Conf_ID=34636</t>
  </si>
  <si>
    <t>MILCOM 2015</t>
  </si>
  <si>
    <t>IEEE Military Communications Conference, 2015</t>
  </si>
  <si>
    <t>26th October 2015</t>
  </si>
  <si>
    <t>28th October 2015</t>
  </si>
  <si>
    <t>https://www.ieee.org/conferences_events/conferences/conferencedetails/index.html?Conf_ID=36929</t>
  </si>
  <si>
    <t>MobiCom 2007</t>
  </si>
  <si>
    <t>Annual International Conference on Mobile Computing and Networking, 2007</t>
  </si>
  <si>
    <t>9th September 2007</t>
  </si>
  <si>
    <t>14th September 2007</t>
  </si>
  <si>
    <t>http://www.sigmobile.org/mobicom/2007/</t>
  </si>
  <si>
    <t>MobiCom 2008</t>
  </si>
  <si>
    <t>Annual International Conference on Mobile Computing and Networking, 2008</t>
  </si>
  <si>
    <t>14th September 2008</t>
  </si>
  <si>
    <t>19th September 2008</t>
  </si>
  <si>
    <t>http://www.sigmobile.org/mobicom/2009/</t>
  </si>
  <si>
    <t>MobiCom 2009</t>
  </si>
  <si>
    <t>Annual International Conference on Mobile Computing and Networking, 2009</t>
  </si>
  <si>
    <t>September 20th 2009</t>
  </si>
  <si>
    <t>September 25th 2009</t>
  </si>
  <si>
    <t>MobiCom 2010</t>
  </si>
  <si>
    <t>Annual International Conference on Mobile Computing and Networking, 2010</t>
  </si>
  <si>
    <t>20th September 2010</t>
  </si>
  <si>
    <t>24th September 2010</t>
  </si>
  <si>
    <t>http://www.sigmobile.org/mobicom/2010/</t>
  </si>
  <si>
    <t>MobiCom 2012</t>
  </si>
  <si>
    <t>Annual International Conference on Mobile Computing and Networking, 2012</t>
  </si>
  <si>
    <t>22nd August 2012</t>
  </si>
  <si>
    <t>26th August 2012</t>
  </si>
  <si>
    <t>http://www.sigmobile.org/mobicom/2012/</t>
  </si>
  <si>
    <t>MobiCom 2014</t>
  </si>
  <si>
    <t>Annual International Conference on Mobile Computing and Networking, 2014</t>
  </si>
  <si>
    <t>7th September 2014</t>
  </si>
  <si>
    <t>11th September 2014</t>
  </si>
  <si>
    <t>http://www.sigmobile.org/mobicom/2014/</t>
  </si>
  <si>
    <t>MobiHoc 2007</t>
  </si>
  <si>
    <t>ACM International Symposium on Mobile Ad Hoc Networking and Computing (MobiHoc), 2007</t>
  </si>
  <si>
    <t>http://www.sigmobile.org/mobihoc/2007/</t>
  </si>
  <si>
    <t>MobiHoc 2010</t>
  </si>
  <si>
    <t>ACM International Symposium on Mobile Ad Hoc Networking and Computing (MobiHoc), 2010</t>
  </si>
  <si>
    <t>http://www.sigmobile.org/mobihoc/2010/</t>
  </si>
  <si>
    <t>MobiHoc 2011</t>
  </si>
  <si>
    <t>ACM International Symposium on Mobile Ad Hoc Networking and Computing (MobiHoc), 2011</t>
  </si>
  <si>
    <t>16th May 2011</t>
  </si>
  <si>
    <t>19th May 2011</t>
  </si>
  <si>
    <t>http://www.sigmobile.org/mobihoc/2011/</t>
  </si>
  <si>
    <t>PerCom 2007</t>
  </si>
  <si>
    <t>IEEE International Conference on Pervasive Computing and Communications (PerCom), 2007</t>
  </si>
  <si>
    <t>19th March 2007</t>
  </si>
  <si>
    <t>23rd March 2007</t>
  </si>
  <si>
    <t>http://www.percom.org/2007/</t>
  </si>
  <si>
    <t>PerCom 2009</t>
  </si>
  <si>
    <t>IEEE International Conference on Pervasive Computing and Communications (PerCom), 2009</t>
  </si>
  <si>
    <t>9th March 2009</t>
  </si>
  <si>
    <t>13th March 2009</t>
  </si>
  <si>
    <t>http://www.percom.org/2009/</t>
  </si>
  <si>
    <t>PerCom 2010</t>
  </si>
  <si>
    <t>IEEE International Conference on Pervasive Computing and Communications (PerCom), 2010</t>
  </si>
  <si>
    <t>29th March 2010</t>
  </si>
  <si>
    <t>2nd April 2010</t>
  </si>
  <si>
    <t>http://www.percom.org/2010/</t>
  </si>
  <si>
    <t>PerCom 2011</t>
  </si>
  <si>
    <t>IEEE International Conference on Pervasive Computing and Communications (PerCom), 2011</t>
  </si>
  <si>
    <t>21st March 2011</t>
  </si>
  <si>
    <t>25th March 2011</t>
  </si>
  <si>
    <t>http://www.percom.org/2011/</t>
  </si>
  <si>
    <t>PerCom 2012</t>
  </si>
  <si>
    <t>IEEE International Conference on Pervasive Computing and Communications (PerCom), 2012</t>
  </si>
  <si>
    <t>19th March 2012</t>
  </si>
  <si>
    <t>23rd March 2012</t>
  </si>
  <si>
    <t>http://www.percom.org/2012/</t>
  </si>
  <si>
    <t>PerCom 2013</t>
  </si>
  <si>
    <t>IEEE International Conference on Pervasive Computing and Communications (PerCom), 2013</t>
  </si>
  <si>
    <t>18th March 2013</t>
  </si>
  <si>
    <t>22nd March 2013</t>
  </si>
  <si>
    <t>http://www.percom.org/2013/</t>
  </si>
  <si>
    <t>PerCom 2014</t>
  </si>
  <si>
    <t>IEEE International Conference on Pervasive Computing and Communications (PerCom), 2014</t>
  </si>
  <si>
    <t>24th March 2014</t>
  </si>
  <si>
    <t>28th March 2014</t>
  </si>
  <si>
    <t>http://www.percom.org/2014/</t>
  </si>
  <si>
    <t>PIMRC 2008</t>
  </si>
  <si>
    <t>IEEE International Symposium on Personal, Indoor and Mobile Radio Communications (PIMRC), 2008</t>
  </si>
  <si>
    <t>15th September 2008</t>
  </si>
  <si>
    <t>http://www.ieee.org/conferences_events/conferences/conferencedetails/index.html?Conf_ID=12763</t>
  </si>
  <si>
    <t>PIMRC 2009</t>
  </si>
  <si>
    <t>IEEE International Symposium on Personal, Indoor and Mobile Radio Communications (PIMRC), 2009</t>
  </si>
  <si>
    <t>13th September 2009</t>
  </si>
  <si>
    <t>16th September 2009</t>
  </si>
  <si>
    <t>PIMRC 2011</t>
  </si>
  <si>
    <t>IEEE International Symposium on Personal, Indoor and Mobile Radio Communications (PIMRC), 2011</t>
  </si>
  <si>
    <t>11th September 2011</t>
  </si>
  <si>
    <t>14th September 2011</t>
  </si>
  <si>
    <t>http://www.ieee-pimrc.org/2011/</t>
  </si>
  <si>
    <t>PIMRC 2012</t>
  </si>
  <si>
    <t>IEEE International Symposium on Personal, Indoor and Mobile Radio Communications (PIMRC), 2012</t>
  </si>
  <si>
    <t>9th September 2012</t>
  </si>
  <si>
    <t>12th September 2012</t>
  </si>
  <si>
    <t>http://www.ieee-pimrc.org/2012/</t>
  </si>
  <si>
    <t>PIMRC 2014</t>
  </si>
  <si>
    <t>IEEE International Symposium on Personal, Indoor and Mobile Radio Communications (PIMRC), 2014</t>
  </si>
  <si>
    <t>2nd September 2014</t>
  </si>
  <si>
    <t>5th September 2014</t>
  </si>
  <si>
    <t>http://www.ieee-pimrc.org/2014/</t>
  </si>
  <si>
    <t>POLICY 2008</t>
  </si>
  <si>
    <t>IEEE International Symposium on Policies for Distributed Systems and Networks (POLICY), 2008</t>
  </si>
  <si>
    <t>2nd June 2008</t>
  </si>
  <si>
    <t>4th June 2008</t>
  </si>
  <si>
    <t>http://www.policy-workshop.org/#policy2008</t>
  </si>
  <si>
    <t>POLICY 2009</t>
  </si>
  <si>
    <t>IEEE International Symposium on Policies for Distributed Systems and Networks (POLICY), 2009</t>
  </si>
  <si>
    <t>20th July 2009</t>
  </si>
  <si>
    <t>22nd July 2009</t>
  </si>
  <si>
    <t>http://www.policy-workshop.org/2009/</t>
  </si>
  <si>
    <t>POLICY 2010</t>
  </si>
  <si>
    <t>IEEE International Symposium on Policies for Distributed Systems and Networks (POLICY), 2010</t>
  </si>
  <si>
    <t>21st July 2010</t>
  </si>
  <si>
    <t>23rd July 2010</t>
  </si>
  <si>
    <t>http://www.policy-workshop.org/2010/</t>
  </si>
  <si>
    <t>POLICY 2011</t>
  </si>
  <si>
    <t>IEEE International Symposium on Policies for Distributed Systems and Networks (POLICY), 2011</t>
  </si>
  <si>
    <t>6th June 2011</t>
  </si>
  <si>
    <t>8th June 2011</t>
  </si>
  <si>
    <t>http://www.policy-workshop.org/2011/</t>
  </si>
  <si>
    <t>SECON 2007</t>
  </si>
  <si>
    <t>IEEE Communications Society Conference on Sensor, Mesh and Ad Hoc Communications and Networks (SECON), 2007</t>
  </si>
  <si>
    <t>18th June 2007</t>
  </si>
  <si>
    <t>21st June 2007</t>
  </si>
  <si>
    <t>http://secon2007.ieee-secon.org/</t>
  </si>
  <si>
    <t>SECON 2008</t>
  </si>
  <si>
    <t>IEEE Communications Society Conference on Sensor, Mesh and Ad Hoc Communications and Networks (SECON), 2008</t>
  </si>
  <si>
    <t>16th June 2008</t>
  </si>
  <si>
    <t>20th June 2008</t>
  </si>
  <si>
    <t>http://secon2008.ieee-secon.org/</t>
  </si>
  <si>
    <t>SECON 2009</t>
  </si>
  <si>
    <t>IEEE Communications Society Conference on Sensor, Mesh and Ad Hoc Communications and Networks (SECON), 2009</t>
  </si>
  <si>
    <t>24th June 2009</t>
  </si>
  <si>
    <t>27th June 2009</t>
  </si>
  <si>
    <t>http://secon2009.ieee-secon.org/</t>
  </si>
  <si>
    <t>SECON 2010</t>
  </si>
  <si>
    <t>IEEE Communications Society Conference on Sensor, Mesh and Ad Hoc Communications and Networks (SECON), 2010</t>
  </si>
  <si>
    <t>25th June 2010</t>
  </si>
  <si>
    <t>http://secon2010.ieee-secon.org/</t>
  </si>
  <si>
    <t>SECON 2012</t>
  </si>
  <si>
    <t>IEEE Communications Society Conference on Sensor, Mesh and Ad Hoc Communications and Networks (SECON), 2012</t>
  </si>
  <si>
    <t>18th June 2012</t>
  </si>
  <si>
    <t>http://secon2012.ieee-secon.org/</t>
  </si>
  <si>
    <t>SPIE DSS 2007</t>
  </si>
  <si>
    <t>International Society for Optics and Photonics - Defense, Security and Sensing, 2007</t>
  </si>
  <si>
    <t>9th April 2007</t>
  </si>
  <si>
    <t>13th April 2007</t>
  </si>
  <si>
    <t>http://spie.org/conferences-and-exhibitions/past-events/past-conferences-and-exhibitions/past-events/defense-security-and-sensing/defense-security-and-sensing-2007</t>
  </si>
  <si>
    <t>SPIE DSS 2008</t>
  </si>
  <si>
    <t>International Society for Optics and Photonics - Defense, Security and Sensing, 2008</t>
  </si>
  <si>
    <t>16th March 2008</t>
  </si>
  <si>
    <t>20th March 2008</t>
  </si>
  <si>
    <t>http://spie.org/conferences-and-exhibitions/past-events/past-conferences-and-exhibitions/past-events/defense-security-and-sensing/defense-security-and-sensing-2008</t>
  </si>
  <si>
    <t>SPIE DSS 2009</t>
  </si>
  <si>
    <t>International Society for Optics and Photonics - Defense, Security and Sensing, 2009</t>
  </si>
  <si>
    <t>13th April 2009</t>
  </si>
  <si>
    <t>17th April 2009</t>
  </si>
  <si>
    <t>http://spie.org/conferences-and-exhibitions/past-events/past-conferences-and-exhibitions/past-events/defense-security-and-sensing/defense-security-and-sensing-2009</t>
  </si>
  <si>
    <t>SPIE DSS 2010</t>
  </si>
  <si>
    <t>International Society for Optics and Photonics - Defense, Security and Sensing, 2010</t>
  </si>
  <si>
    <t>5th April 2010</t>
  </si>
  <si>
    <t>9th April 2010</t>
  </si>
  <si>
    <t>http://spie.org/conferences-and-exhibitions/past-events/past-conferences-and-exhibitions/past-events/defense-security-and-sensing/defense-security-and-sensing-2010</t>
  </si>
  <si>
    <t>SPIE DSS 2011</t>
  </si>
  <si>
    <t>25th April 2011</t>
  </si>
  <si>
    <t>29th April 2011</t>
  </si>
  <si>
    <t>http://spie.org/conferences-and-exhibitions/past-events/past-conferences-and-exhibitions/past-events/defense-security-and-sensing/defense-security-and-sensing-2011</t>
  </si>
  <si>
    <t>SPIE DSS 2013</t>
  </si>
  <si>
    <t>International Society for Optics and Photonics - Defense, Security and Sensing, 2013</t>
  </si>
  <si>
    <t>29th April 2013</t>
  </si>
  <si>
    <t>3rd May 2013</t>
  </si>
  <si>
    <t>http://spie.org/conferences-and-exhibitions/past-events/past-conferences-and-exhibitions/past-events/defense-security-and-sensing/defense-security-and-sensing-2013</t>
  </si>
  <si>
    <t>SPIE DSS 2014</t>
  </si>
  <si>
    <t>International Society for Optics and Photonics - Defense, Security and Sensing, 2014</t>
  </si>
  <si>
    <t>9th May 2014</t>
  </si>
  <si>
    <t>http://spie.org/conferences-and-exhibitions/past-events/past-conferences-and-exhibitions/past-events/defense-security-and-sensing/defense-security-and-sensing-2014</t>
  </si>
  <si>
    <t>SPIE DSS 2015</t>
  </si>
  <si>
    <t>International Society for Optics and Photonics - Defense, Security and Sensing, 2015</t>
  </si>
  <si>
    <t>20th April 2015</t>
  </si>
  <si>
    <t>24th April 2015</t>
  </si>
  <si>
    <t>http://spie.org/conferences-and-exhibitions/past-events/past-conferences-and-exhibitions/past-events/defense-security-and-sensing/defense-security-and-sensing-2015</t>
  </si>
  <si>
    <t>SPIE DSS 2016</t>
  </si>
  <si>
    <t>International Society for Optics and Photonics - Defense, Security and Sensing, 2016</t>
  </si>
  <si>
    <t>17th April 2016</t>
  </si>
  <si>
    <t>21st April 2016</t>
  </si>
  <si>
    <t>https://spie.org/conferences-and-exhibitions/defense--commercial-sensing</t>
  </si>
  <si>
    <t>SPIE ESD 2008</t>
  </si>
  <si>
    <t>International Society for Optics and Photonics - Europe Security and Defense, 2008</t>
  </si>
  <si>
    <t>https://spie.org/conferences-and-exhibitions/past-events/past-conferences-and-exhibitions/past-events/security---defence/security-defence-2008</t>
  </si>
  <si>
    <t>SPIE ESD 2009</t>
  </si>
  <si>
    <t>International Society for Optics and Photonics - Europe Security and Defense, 2009</t>
  </si>
  <si>
    <t>31st August 2009</t>
  </si>
  <si>
    <t>3rd September 2009</t>
  </si>
  <si>
    <t>https://spie.org/conferences-and-exhibitions/past-events/past-conferences-and-exhibitions/past-events/security---defence/security-defence-2009</t>
  </si>
  <si>
    <t>WCNC 2007</t>
  </si>
  <si>
    <t>IEEE Wireless Communications and Networking Conference (WCNC), 2007</t>
  </si>
  <si>
    <t>11th March 2007</t>
  </si>
  <si>
    <t>15th March 2007</t>
  </si>
  <si>
    <t>http://wcnc2007.ieee-wcnc.org/</t>
  </si>
  <si>
    <t>WCNC 2008</t>
  </si>
  <si>
    <t>IEEE Wireless Communications and Networking Conference (WCNC), 2008</t>
  </si>
  <si>
    <t>31st March 2008</t>
  </si>
  <si>
    <t>3rd April 2008</t>
  </si>
  <si>
    <t>http://wcnc2008.ieee-wcnc.org/</t>
  </si>
  <si>
    <t>WCNC 2010</t>
  </si>
  <si>
    <t>IEEE Wireless Communications and Networking Conference (WCNC), 2010</t>
  </si>
  <si>
    <t>18th April 2010</t>
  </si>
  <si>
    <t>21st April 2010</t>
  </si>
  <si>
    <t>http://wcnc2010.ieee-wcnc.org/</t>
  </si>
  <si>
    <t>WCNC 2016</t>
  </si>
  <si>
    <t>IEEE Wireless Communications and Networking Conference (WCNC), 2016</t>
  </si>
  <si>
    <t>3rd April 2016</t>
  </si>
  <si>
    <t>6th April 2016</t>
  </si>
  <si>
    <t>http://wcnc2016.ieee-wcnc.org/</t>
  </si>
  <si>
    <t>co author|co authors|co authored|co-authors|co-authored|coauthor|coauthors|coauthored|collaborated</t>
  </si>
  <si>
    <t>external paper|external papers</t>
  </si>
  <si>
    <t>internal paper|internal papers</t>
  </si>
  <si>
    <t>employed by|employs</t>
  </si>
  <si>
    <t>perfect paper|perfect papers|full collaboration paper|full collaboration papers</t>
  </si>
  <si>
    <t>look like</t>
  </si>
  <si>
    <t>technical report|technical reports</t>
  </si>
  <si>
    <t>total publication|total publications</t>
  </si>
  <si>
    <t>Institut Eurecom, France</t>
  </si>
  <si>
    <r>
      <rPr>
        <b/>
        <u/>
        <sz val="12"/>
        <color theme="1"/>
        <rFont val="Calibri"/>
        <scheme val="minor"/>
      </rPr>
      <t xml:space="preserve">Notes:
</t>
    </r>
    <r>
      <rPr>
        <sz val="12"/>
        <color theme="1"/>
        <rFont val="Calibri"/>
        <family val="2"/>
        <scheme val="minor"/>
      </rPr>
      <t xml:space="preserve">1. </t>
    </r>
    <r>
      <rPr>
        <sz val="12"/>
        <color theme="1"/>
        <rFont val="Calibri"/>
        <family val="2"/>
        <scheme val="minor"/>
      </rPr>
      <t>Due to codepage issues in Mac-OS when generating text files please avoid all special non-aplhanumeric characters (like accented e or a characters)</t>
    </r>
  </si>
  <si>
    <t>Ecole polytechnique federale de Lausanne</t>
  </si>
  <si>
    <t>Ruhr-Universitat Bochum, Germany</t>
  </si>
  <si>
    <t>Ruhr-Universitat Bochum</t>
  </si>
  <si>
    <t>Universita degli Studi di Milano-Bicocca</t>
  </si>
  <si>
    <t>Universita degli Studi di Milano Bicocca, Italy</t>
  </si>
  <si>
    <t>Universita di Catania</t>
  </si>
  <si>
    <t>Universita di Firenze, Italy</t>
  </si>
  <si>
    <t>Universita di Firenze</t>
  </si>
  <si>
    <t>Universita di Catania, Italy</t>
  </si>
  <si>
    <t>Universitat Politecnica de Valencia</t>
  </si>
  <si>
    <t>https://scholar.google.co.uk/citations?user=KwmExSIAAAAJ&amp;hl=en</t>
  </si>
  <si>
    <t>https://scholar.google.co.uk/citations?user=09f-i6wAAAAJ&amp;hl=en</t>
  </si>
  <si>
    <t>https://scholar.google.co.uk/citations?user=n-Oret4AAAAJ&amp;hl=en</t>
  </si>
  <si>
    <t>https://scholar.google.co.uk/citations?user=7cF0q3YAAAAJ&amp;hl=en&amp;oi=ao</t>
  </si>
  <si>
    <t>https://scholar.google.co.uk/citations?user=y6oOiqYAAAAJ&amp;hl=en</t>
  </si>
  <si>
    <t>https://scholar.google.co.uk/citations?user=_6zceo4AAAAJ&amp;hl=en</t>
  </si>
  <si>
    <t>https://scholar.google.co.uk/citations?user=BNdwyiUAAAAJ&amp;hl=en</t>
  </si>
  <si>
    <t>https://scholar.google.co.uk/citations?user=jKz-U3wAAAAJ&amp;hl=en</t>
  </si>
  <si>
    <t>https://scholar.google.co.uk/citations?user=MfLLOyMAAAAJ&amp;hl=en</t>
  </si>
  <si>
    <t>https://scholar.google.co.uk/citations?user=RLChs4QAAAAJ&amp;hl=en&amp;oi=ao</t>
  </si>
  <si>
    <t>https://scholar.google.co.uk/citations?user=6mmuzhAAAAAJ&amp;hl=en</t>
  </si>
  <si>
    <t>https://scholar.google.co.uk/citations?user=Jd7_7esAAAAJ&amp;hl=en&amp;oi=ao</t>
  </si>
  <si>
    <t>https://scholar.google.co.uk/citations?user=NNddU80AAAAJ&amp;hl=en&amp;oi=ao</t>
  </si>
  <si>
    <t>https://scholar.google.co.uk/citations?user=Uss9MH8AAAAJ&amp;hl=en&amp;oi=ao</t>
  </si>
  <si>
    <t>https://scholar.google.co.uk/citations?user=uwG76ncAAAAJ&amp;hl=en&amp;oi=sra</t>
  </si>
  <si>
    <t>https://scholar.google.co.uk/citations?user=mSK3340AAAAJ&amp;hl=en&amp;oi=ao</t>
  </si>
  <si>
    <t>https://scholar.google.co.uk/citations?user=wqzh1HwAAAAJ&amp;hl=en</t>
  </si>
  <si>
    <t>https://scholar.google.co.uk/citations?user=6r1XVswAAAAJ&amp;hl=en</t>
  </si>
  <si>
    <t>https://scholar.google.co.uk/citations?user=UktK5hgAAAAJ&amp;hl=en</t>
  </si>
  <si>
    <t>https://scholar.google.co.uk/citations?user=rr1cfRkAAAAJ&amp;hl=en&amp;oi=ao</t>
  </si>
  <si>
    <t>https://scholar.google.co.uk/citations?user=PrU4wEsAAAAJ&amp;hl=en&amp;oi=ao</t>
  </si>
  <si>
    <t>https://scholar.google.co.uk/citations?user=a0YC5VAAAAAJ&amp;hl=en</t>
  </si>
  <si>
    <t>https://scholar.google.co.uk/citations?user=eYWisq0AAAAJ&amp;hl=en</t>
  </si>
  <si>
    <t>https://scholar.google.co.uk/citations?user=TKkcqIgAAAAJ&amp;hl=en&amp;oi=ao</t>
  </si>
  <si>
    <t>https://scholar.google.co.uk/citations?user=goHVGSQAAAAJ&amp;hl=en&amp;oi=ao</t>
  </si>
  <si>
    <t>https://scholar.google.co.uk/citations?user=fgmzN9sAAAAJ&amp;hl=en</t>
  </si>
  <si>
    <t>https://scholar.google.co.uk/citations?user=Jlv4MR4AAAAJ&amp;hl=en</t>
  </si>
  <si>
    <t>https://scholar.google.co.uk/citations?user=AuvPDLIAAAAJ&amp;hl=en&amp;oi=ao</t>
  </si>
  <si>
    <t>https://scholar.google.co.uk/citations?user=uj3e6aoAAAAJ&amp;hl=en&amp;oi=ao</t>
  </si>
  <si>
    <t>https://scholar.google.co.uk/citations?user=s2n1-HMAAAAJ&amp;hl=en&amp;oi=ao</t>
  </si>
  <si>
    <t>https://scholar.google.co.uk/citations?user=571c80MAAAAJ&amp;hl=en&amp;oi=ao</t>
  </si>
  <si>
    <t>https://scholar.google.co.uk/citations?user=WxAIZtMAAAAJ&amp;hl=en&amp;oi=ao</t>
  </si>
  <si>
    <t>https://scholar.google.co.uk/citations?user=roY9L1oAAAAJ&amp;hl=en&amp;oi=ao</t>
  </si>
  <si>
    <t>https://scholar.google.co.uk/citations?user=2OJOZTUAAAAJ&amp;hl=en</t>
  </si>
  <si>
    <t>https://scholar.google.co.uk/citations?user=RTbNTdsAAAAJ&amp;hl=en&amp;oi=ao</t>
  </si>
  <si>
    <t>https://scholar.google.co.uk/citations?user=VEKxHOAAAAAJ&amp;hl=en&amp;oi=ao</t>
  </si>
  <si>
    <t>https://scholar.google.co.uk/citations?user=oHbIF48AAAAJ&amp;hl=en&amp;oi=ao</t>
  </si>
  <si>
    <t>https://scholar.google.co.uk/citations?user=s9eCQn4AAAAJ&amp;hl=en&amp;oi=ao</t>
  </si>
  <si>
    <t>https://scholar.google.co.uk/citations?user=5vLR2Q8AAAAJ&amp;hl=en</t>
  </si>
  <si>
    <t>https://scholar.google.co.uk/citations?user=KIEleCsAAAAJ&amp;hl=en&amp;oi=ao</t>
  </si>
  <si>
    <t>https://scholar.google.co.uk/citations?user=kTTBpJkAAAAJ&amp;hl=en&amp;oi=ao</t>
  </si>
  <si>
    <t>https://scholar.google.co.uk/citations?user=Ej4BNaQAAAAJ&amp;hl=en</t>
  </si>
  <si>
    <t>https://scholar.google.co.uk/citations?user=5WcgOxMAAAAJ&amp;hl=en&amp;oi=ao</t>
  </si>
  <si>
    <t>https://scholar.google.co.uk/citations?user=A4vzvcIAAAAJ&amp;hl=en&amp;oi=ao</t>
  </si>
  <si>
    <t>https://scholar.google.co.uk/citations?user=xdH7WU8AAAAJ&amp;hl=en&amp;oi=ao</t>
  </si>
  <si>
    <t>https://scholar.google.co.uk/citations?user=4k0lzWwAAAAJ&amp;hl=en&amp;oi=ao</t>
  </si>
  <si>
    <t>https://scholar.google.co.uk/citations?user=9VIn7xoAAAAJ&amp;hl=en</t>
  </si>
  <si>
    <t>https://scholar.google.co.uk/citations?user=x_wsduUAAAAJ&amp;hl=en</t>
  </si>
  <si>
    <t>https://scholar.google.co.uk/citations?user=O3ysw6MAAAAJ&amp;hl=en</t>
  </si>
  <si>
    <t>https://scholar.google.co.uk/citations?user=WSLDmXAAAAAJ&amp;hl=en</t>
  </si>
  <si>
    <t>https://scholar.google.co.uk/citations?user=ImWmkrQAAAAJ&amp;hl=en&amp;oi=ao</t>
  </si>
  <si>
    <t>https://scholar.google.co.uk/citations?user=3IgFTEkAAAAJ&amp;hl=en&amp;oi=ao</t>
  </si>
  <si>
    <t>https://scholar.google.co.uk/citations?user=JOqrZEMAAAAJ&amp;hl=en</t>
  </si>
  <si>
    <t>https://scholar.google.co.uk/citations?user=Pgq8Ez8AAAAJ&amp;hl=en</t>
  </si>
  <si>
    <t>https://scholar.google.co.uk/citations?user=ACeJK4AAAAAJ&amp;hl=en&amp;oi=ao</t>
  </si>
  <si>
    <t>https://scholar.google.co.uk/citations?user=Go6N4pQAAAAJ&amp;hl=en</t>
  </si>
  <si>
    <t>https://scholar.google.co.uk/citations?user=-0LFOnYAAAAJ&amp;hl=en</t>
  </si>
  <si>
    <t>https://scholar.google.co.uk/citations?user=PFkVQ3gAAAAJ&amp;hl=en</t>
  </si>
  <si>
    <t>https://scholar.google.co.uk/citations?user=Rz1WO7wAAAAJ&amp;hl=en</t>
  </si>
  <si>
    <t>https://scholar.google.co.uk/citations?user=iMOomiIAAAAJ&amp;hl=en&amp;oi=ao</t>
  </si>
  <si>
    <t>https://scholar.google.co.uk/citations?user=C8gkANgAAAAJ&amp;hl=en&amp;oi=ao</t>
  </si>
  <si>
    <t>https://scholar.google.co.uk/citations?user=Xnd6J1MAAAAJ&amp;hl=en</t>
  </si>
  <si>
    <t>https://scholar.google.co.uk/citations?user=onAoWhIAAAAJ&amp;hl=en&amp;oi=ao</t>
  </si>
  <si>
    <t>https://scholar.google.co.uk/citations?user=z8qVA68AAAAJ&amp;hl=en&amp;oi=ao</t>
  </si>
  <si>
    <t>https://scholar.google.co.uk/citations?user=CO7nYfIAAAAJ&amp;hl=en</t>
  </si>
  <si>
    <t>https://scholar.google.co.uk/citations?user=Gg7nd14AAAAJ&amp;hl=en</t>
  </si>
  <si>
    <t>https://scholar.google.co.uk/citations?user=RiIDoKQAAAAJ&amp;hl=en&amp;oi=ao</t>
  </si>
  <si>
    <t>https://scholar.google.co.uk/citations?user=uQJAkBoAAAAJ&amp;hl=en</t>
  </si>
  <si>
    <t>https://scholar.google.co.uk/citations?hl=en&amp;user=GNtI7cIAAAAJ&amp;view_op=list_works&amp;pagesize=100</t>
  </si>
  <si>
    <t>https://scholar.google.co.uk/citations?user=kmYDWfoAAAAJ&amp;hl=en&amp;oi=sra</t>
  </si>
  <si>
    <t>https://scholar.google.co.uk/citations?user=84WzBlYAAAAJ&amp;hl=en&amp;oi=ao</t>
  </si>
  <si>
    <t>https://scholar.google.co.uk/citations?user=PLJ0L4QAAAAJ&amp;hl=en&amp;oi=ao</t>
  </si>
  <si>
    <t>https://scholar.google.co.uk/citations?user=_NRYy-gAAAAJ&amp;hl=en&amp;oi=ao</t>
  </si>
  <si>
    <t>https://scholar.google.co.uk/citations?user=jfsu_TcAAAAJ&amp;hl=en</t>
  </si>
  <si>
    <t>https://scholar.google.co.uk/citations?user=Y_Bm7IwAAAAJ&amp;hl=en&amp;oi=ao</t>
  </si>
  <si>
    <t>https://scholar.google.co.uk/citations?user=BVhbXwUAAAAJ&amp;hl=en</t>
  </si>
  <si>
    <t>https://scholar.google.co.uk/citations?user=qZKEko0AAAAJ&amp;hl=en</t>
  </si>
  <si>
    <t>https://scholar.google.co.uk/citations?user=JOeLEGcAAAAJ&amp;hl=en</t>
  </si>
  <si>
    <t>https://scholar.google.co.uk/citations?user=KIFPVWoAAAAJ&amp;hl=en</t>
  </si>
  <si>
    <t>https://scholar.google.co.uk/citations?user=MzL-WnEAAAAJ&amp;hl=en</t>
  </si>
  <si>
    <t>https://scholar.google.co.uk/citations?user=QJq0ItQAAAAJ&amp;hl=en&amp;oi=ao</t>
  </si>
  <si>
    <t>https://scholar.google.co.uk/citations?user=jFt4ZtUAAAAJ&amp;hl=en&amp;oi=ao</t>
  </si>
  <si>
    <t>https://scholar.google.co.uk/citations?user=8d8jP60AAAAJ&amp;hl=en&amp;oi=ao</t>
  </si>
  <si>
    <t>https://scholar.google.co.uk/citations?user=39qZ_EsAAAAJ&amp;hl=en</t>
  </si>
  <si>
    <t>https://scholar.google.co.uk/citations?user=rejzeocAAAAJ&amp;hl=en&amp;oi=ao</t>
  </si>
  <si>
    <t>https://scholar.google.co.uk/citations?user=3G79TTEAAAAJ&amp;hl=en</t>
  </si>
  <si>
    <t>https://scholar.google.co.uk/citations?user=wB-9ke0AAAAJ&amp;hl=en&amp;oi=ao</t>
  </si>
  <si>
    <t>https://scholar.google.co.uk/citations?user=e23mVyoAAAAJ&amp;hl=en</t>
  </si>
  <si>
    <t>https://scholar.google.co.uk/citations?user=FXlb_IYAAAAJ&amp;hl=en&amp;oi=ao</t>
  </si>
  <si>
    <t>https://scholar.google.co.uk/citations?user=FRmACB4AAAAJ&amp;hl=en</t>
  </si>
  <si>
    <t>https://scholar.google.co.uk/citations?user=TShlArwAAAAJ&amp;hl=en</t>
  </si>
  <si>
    <t>https://scholar.google.co.uk/citations?user=sgfnoagAAAAJ&amp;hl=en&amp;oi=ao</t>
  </si>
  <si>
    <t>https://scholar.google.co.uk/citations?user=wvvIyOwAAAAJ&amp;hl=en</t>
  </si>
  <si>
    <t>https://scholar.google.co.uk/citations?user=sK8213AAAAAJ&amp;hl=en&amp;oi=ao</t>
  </si>
  <si>
    <t>https://scholar.google.co.uk/citations?user=QryTRHAAAAAJ&amp;hl=en</t>
  </si>
  <si>
    <t>https://scholar.google.co.uk/citations?user=C_xRN6EAAAAJ&amp;hl=en</t>
  </si>
  <si>
    <t>https://scholar.google.co.uk/citations?user=v0mFZhoAAAAJ&amp;hl=en</t>
  </si>
  <si>
    <t>https://scholar.google.co.uk/citations?user=uFEbojwAAAAJ&amp;hl=en</t>
  </si>
  <si>
    <t>https://scholar.google.co.uk/citations?user=vvWcl-wAAAAJ&amp;hl=en&amp;oi=ao</t>
  </si>
  <si>
    <t>https://scholar.google.co.uk/citations?user=OrkVjT4AAAAJ&amp;hl=en</t>
  </si>
  <si>
    <t>https://scholar.google.co.uk/citations?user=9ReKzK8AAAAJ&amp;hl=en&amp;oi=ao</t>
  </si>
  <si>
    <t>https://scholar.google.co.uk/citations?user=33Evv4EAAAAJ&amp;hl=en</t>
  </si>
  <si>
    <t>https://scholar.google.co.uk/citations?user=TqS2ZMcAAAAJ&amp;hl=en&amp;oi=ao</t>
  </si>
  <si>
    <t>https://scholar.google.co.uk/citations?user=uS90L5IAAAAJ&amp;hl=en</t>
  </si>
  <si>
    <t>https://scholar.google.co.uk/citations?user=OK8EYAoAAAAJ&amp;hl=en</t>
  </si>
  <si>
    <t>https://scholar.google.co.uk/citations?user=oYbrZ2kAAAAJ&amp;hl=en</t>
  </si>
  <si>
    <t>https://scholar.google.co.uk/citations?user=jaZVXq4AAAAJ&amp;hl=en</t>
  </si>
  <si>
    <t>https://scholar.google.co.uk/citations?user=R0cCxNkAAAAJ&amp;hl=en</t>
  </si>
  <si>
    <t>https://scholar.google.co.uk/citations?user=yuXkJrcAAAAJ&amp;hl=en&amp;oi=ao</t>
  </si>
  <si>
    <t>https://scholar.google.co.uk/citations?user=ElqwScwAAAAJ&amp;hl=en&amp;oi=ao</t>
  </si>
  <si>
    <t>https://scholar.google.co.uk/citations?user=jLEgvnsAAAAJ&amp;hl=en</t>
  </si>
  <si>
    <t>https://scholar.google.co.uk/citations?user=087P6LMAAAAJ&amp;hl=en&amp;oi=ao</t>
  </si>
  <si>
    <t>https://scholar.google.co.uk/citations?user=D2haocoAAAAJ&amp;hl=en</t>
  </si>
  <si>
    <t>https://scholar.google.co.uk/citations?user=SqZmO1IAAAAJ&amp;hl=en&amp;oi=ao</t>
  </si>
  <si>
    <t>https://scholar.google.co.uk/citations?user=zD5ZfacAAAAJ&amp;hl=en&amp;oi=ao</t>
  </si>
  <si>
    <t>https://scholar.google.co.uk/citations?user=hfkX2v4AAAAJ&amp;hl=en</t>
  </si>
  <si>
    <t>https://scholar.google.co.uk/citations?user=RjUYapgAAAAJ&amp;hl=en&amp;oi=ao</t>
  </si>
  <si>
    <t>https://scholar.google.co.uk/citations?user=x996EckAAAAJ&amp;hl=en</t>
  </si>
  <si>
    <t>https://scholar.google.co.uk/citations?user=LC2btK8AAAAJ&amp;hl=en&amp;oi=ao</t>
  </si>
  <si>
    <t>https://scholar.google.co.uk/citations?user=us-kAigAAAAJ&amp;hl=en</t>
  </si>
  <si>
    <t>https://scholar.google.co.uk/citations?user=xe3uh4gAAAAJ&amp;hl=en&amp;oi=ao</t>
  </si>
  <si>
    <t>https://scholar.google.co.uk/citations?user=6IHX8J4AAAAJ&amp;hl=en</t>
  </si>
  <si>
    <t>https://scholar.google.co.uk/citations?user=bKQBZ_4AAAAJ&amp;hl=en&amp;oi=ao</t>
  </si>
  <si>
    <t>https://scholar.google.co.uk/citations?user=FmicJvYAAAAJ&amp;hl=en&amp;oi=ao</t>
  </si>
  <si>
    <t>https://scholar.google.co.uk/citations?user=DClWo4IAAAAJ&amp;hl=en</t>
  </si>
  <si>
    <t>https://scholar.google.co.uk/citations?user=lG7aUrkAAAAJ&amp;hl=en</t>
  </si>
  <si>
    <t>https://scholar.google.co.uk/citations?user=PQl5OHMAAAAJ&amp;hl=en&amp;oi=ao</t>
  </si>
  <si>
    <t>https://scholar.google.co.uk/citations?user=elPaEWUAAAAJ&amp;hl=en</t>
  </si>
  <si>
    <t>https://scholar.google.co.uk/citations?user=Zznw6wEAAAAJ&amp;hl=en</t>
  </si>
  <si>
    <t>https://scholar.google.co.uk/citations?user=2OCQ9GkAAAAJ&amp;hl=en</t>
  </si>
  <si>
    <t>https://scholar.google.co.uk/citations?user=-coqiSIAAAAJ&amp;hl=en&amp;oi=ao</t>
  </si>
  <si>
    <t>https://scholar.google.co.uk/citations?user=x7DvW0cAAAAJ&amp;hl=en&amp;oi=ao</t>
  </si>
  <si>
    <t>https://scholar.google.co.uk/citations?user=_mj1-BQAAAAJ&amp;hl=en&amp;oi=ao</t>
  </si>
  <si>
    <t>https://scholar.google.co.uk/citations?user=HAOtV_AAAAAJ&amp;hl=en</t>
  </si>
  <si>
    <t>https://scholar.google.co.uk/citations?user=cbeFUMIAAAAJ&amp;hl=en</t>
  </si>
  <si>
    <t>https://scholar.google.co.uk/citations?user=UoSHrWcAAAAJ&amp;hl=en&amp;oi=ao</t>
  </si>
  <si>
    <t>https://scholar.google.co.uk/citations?user=_78MQWsAAAAJ&amp;hl=en&amp;oi=ao</t>
  </si>
  <si>
    <t>https://scholar.google.co.uk/citations?user=aQzEc3MAAAAJ&amp;hl=en&amp;oi=ao</t>
  </si>
  <si>
    <t>https://scholar.google.co.uk/citations?user=j9kTafAAAAAJ&amp;hl=en</t>
  </si>
  <si>
    <t>https://scholar.google.co.uk/citations?user=gGqjNyYAAAAJ&amp;hl=en&amp;oi=ao</t>
  </si>
  <si>
    <t>citation:james_tittle-01</t>
  </si>
  <si>
    <t>https://scholar.google.co.uk/citations?user=uTO5TUIAAAAJ&amp;hl=en</t>
  </si>
  <si>
    <t>https://scholar.google.co.uk/citations?user=asPMwYoAAAAJ&amp;hl=en&amp;oi=ao</t>
  </si>
  <si>
    <t>https://scholar.google.co.uk/citations?user=jizMCFAAAAAJ&amp;hl=en</t>
  </si>
  <si>
    <t>https://scholar.google.co.uk/citations?user=W7YBLlEAAAAJ&amp;hl=en&amp;oi=ao</t>
  </si>
  <si>
    <t>https://scholar.google.co.uk/citations?user=t-fuDjMAAAAJ&amp;hl=en&amp;oi=ao</t>
  </si>
  <si>
    <t>https://scholar.google.co.uk/citations?user=zLDAY8QAAAAJ&amp;hl=en</t>
  </si>
  <si>
    <t>https://scholar.google.co.uk/citations?user=07ds-DAAAAAJ&amp;hl=en</t>
  </si>
  <si>
    <t>https://scholar.google.co.uk/citations?user=QSAclH8AAAAJ&amp;hl=en&amp;oi=sra</t>
  </si>
  <si>
    <t>https://scholar.google.co.uk/citations?user=VfBaiG8AAAAJ&amp;hl=en&amp;oi=ao</t>
  </si>
  <si>
    <t>https://scholar.google.co.uk/citations?user=ZbLKiVEAAAAJ&amp;hl=en</t>
  </si>
  <si>
    <t>https://scholar.google.co.uk/citations?user=JqwXEKcAAAAJ&amp;hl=en&amp;oi=ao</t>
  </si>
  <si>
    <t>https://scholar.google.co.uk/citations?user=S8zBocYAAAAJ&amp;hl=en</t>
  </si>
  <si>
    <t>https://scholar.google.co.uk/citations?user=JNPbTdIAAAAJ&amp;hl=en</t>
  </si>
  <si>
    <t>https://scholar.google.co.uk/citations?user=ogj8ppAAAAAJ&amp;hl=en</t>
  </si>
  <si>
    <t>https://scholar.google.co.uk/citations?user=47vggZsAAAAJ&amp;hl=en</t>
  </si>
  <si>
    <t>https://scholar.google.co.uk/citations?user=wToVkEUAAAAJ&amp;hl=en&amp;oi=ao</t>
  </si>
  <si>
    <t>https://scholar.google.co.uk/citations?user=2J9Nd4wAAAAJ&amp;hl=en&amp;oi=ao</t>
  </si>
  <si>
    <t>https://scholar.google.co.uk/citations?user=XB5J8AIAAAAJ&amp;hl=en</t>
  </si>
  <si>
    <t>https://scholar.google.co.uk/citations?user=U_VRZucAAAAJ&amp;hl=en&amp;oi=ao</t>
  </si>
  <si>
    <t>https://scholar.google.co.uk/citations?user=Hip4KoAAAAAJ&amp;hl=en</t>
  </si>
  <si>
    <t>https://scholar.google.co.uk/citations?user=c6sFHVAAAAAJ&amp;hl=en</t>
  </si>
  <si>
    <t>https://scholar.google.co.uk/citations?user=HjKAUZEAAAAJ&amp;hl=en</t>
  </si>
  <si>
    <t>https://scholar.google.co.uk/citations?user=Eq1hk3YAAAAJ&amp;hl=en</t>
  </si>
  <si>
    <t>https://scholar.google.co.uk/citations?user=XbQGWCUAAAAJ&amp;hl=en</t>
  </si>
  <si>
    <t>https://scholar.google.co.uk/citations?user=CIhOJGkAAAAJ&amp;hl=en</t>
  </si>
  <si>
    <t>https://scholar.google.co.uk/citations?user=qnMs-XYAAAAJ&amp;hl=en</t>
  </si>
  <si>
    <t>https://scholar.google.co.uk/citations?user=H4rKFc8AAAAJ&amp;hl=en</t>
  </si>
  <si>
    <t>https://scholar.google.co.uk/citations?user=QCrQERYAAAAJ&amp;hl=en&amp;oi=sra</t>
  </si>
  <si>
    <t>https://scholar.google.co.uk/citations?user=3tcKGCcAAAAJ&amp;hl=en</t>
  </si>
  <si>
    <t>https://scholar.google.co.uk/citations?user=DM0ezCMAAAAJ&amp;hl=en&amp;oi=ao</t>
  </si>
  <si>
    <t>https://scholar.google.co.uk/citations?user=ldSJoRUAAAAJ&amp;hl=en&amp;oi=ao</t>
  </si>
  <si>
    <t>https://scholar.google.co.uk/citations?user=HtKFCtMAAAAJ&amp;hl=en&amp;oi=ao</t>
  </si>
  <si>
    <t>https://scholar.google.co.uk/citations?user=q8c91SMAAAAJ&amp;hl=en&amp;oi=ao</t>
  </si>
  <si>
    <t>https://scholar.google.co.uk/citations?user=o5QfxzkAAAAJ&amp;hl=en&amp;oi=ao</t>
  </si>
  <si>
    <t>https://scholar.google.co.uk/citations?user=vtYDi4UAAAAJ&amp;hl=en</t>
  </si>
  <si>
    <t>https://scholar.google.co.uk/citations?user=M7edePUAAAAJ&amp;hl=en</t>
  </si>
  <si>
    <t>https://scholar.google.co.uk/citations?user=TuacnBkAAAAJ&amp;hl=en</t>
  </si>
  <si>
    <t>https://scholar.google.co.uk/citations?user=fvQicksAAAAJ&amp;hl=en&amp;oi=ao</t>
  </si>
  <si>
    <t>https://scholar.google.co.uk/citations?user=nSyJu7EAAAAJ&amp;hl=en&amp;oi=ao</t>
  </si>
  <si>
    <t>https://scholar.google.co.uk/citations?user=LaOQyLcAAAAJ&amp;hl=en&amp;oi=ao</t>
  </si>
  <si>
    <t>https://scholar.google.co.uk/citations?user=QBOLy0QAAAAJ&amp;hl=en</t>
  </si>
  <si>
    <t>https://scholar.google.co.uk/citations?user=IpG80kwAAAAJ&amp;hl=en&amp;oi=ao</t>
  </si>
  <si>
    <t>https://scholar.google.co.uk/citations?user=Po4WsHsAAAAJ&amp;hl=en</t>
  </si>
  <si>
    <t>https://scholar.google.co.uk/citations?user=obew8e0AAAAJ&amp;hl=en</t>
  </si>
  <si>
    <t>https://scholar.google.co.uk/citations?user=c2FyjDwAAAAJ&amp;hl=en</t>
  </si>
  <si>
    <t>https://scholar.google.co.uk/citations?user=BlDc5hwAAAAJ&amp;hl=en</t>
  </si>
  <si>
    <t>https://scholar.google.co.uk/citations?user=VIwtdckAAAAJ&amp;hl=en</t>
  </si>
  <si>
    <t>https://scholar.google.co.uk/citations?user=kGAkolIAAAAJ&amp;hl=en&amp;oi=ao</t>
  </si>
  <si>
    <t>https://scholar.google.co.uk/citations?user=CZyWk8kAAAAJ&amp;hl=en</t>
  </si>
  <si>
    <t>https://scholar.google.co.uk/citations?user=38RuCN4AAAAJ&amp;hl=en</t>
  </si>
  <si>
    <t>https://scholar.google.co.uk/citations?user=q6JskukAAAAJ&amp;hl=en&amp;oi=ao</t>
  </si>
  <si>
    <t>https://scholar.google.co.uk/citations?user=koP7iPwAAAAJ&amp;hl=en&amp;oi=ao</t>
  </si>
  <si>
    <t>https://scholar.google.co.uk/citations?user=tPedATAAAAAJ&amp;hl=en&amp;oi=ao</t>
  </si>
  <si>
    <t>https://scholar.google.co.uk/citations?user=KGysOTEAAAAJ&amp;hl=en&amp;oi=sra</t>
  </si>
  <si>
    <t>https://scholar.google.co.uk/citations?user=X2Qs7XYAAAAJ&amp;hl=en</t>
  </si>
  <si>
    <t>https://scholar.google.co.uk/citations?user=gfoYjCMAAAAJ&amp;hl=en&amp;oi=ao</t>
  </si>
  <si>
    <t>https://scholar.google.co.uk/citations?user=7Thyi7sAAAAJ&amp;hl=en&amp;oi=ao</t>
  </si>
  <si>
    <t>https://scholar.google.co.uk/citations?user=_p4SDXkAAAAJ&amp;hl=en&amp;oi=ao</t>
  </si>
  <si>
    <t>https://scholar.google.co.uk/citations?user=xwTbW0MAAAAJ&amp;hl=en</t>
  </si>
  <si>
    <t>https://scholar.google.co.uk/citations?user=9r8YfCgAAAAJ&amp;hl=en</t>
  </si>
  <si>
    <t>https://scholar.google.co.uk/citations?user=ZB1N-IwAAAAJ&amp;hl=en&amp;oi=ao</t>
  </si>
  <si>
    <t>https://scholar.google.co.uk/citations?user=feBvcioAAAAJ&amp;hl=en&amp;oi=ao</t>
  </si>
  <si>
    <t>https://scholar.google.co.uk/citations?user=a1wFt7wAAAAJ&amp;hl=en</t>
  </si>
  <si>
    <t>https://scholar.google.co.uk/citations?user=yVLaR1QAAAAJ&amp;hl=en&amp;oi=ao</t>
  </si>
  <si>
    <t>https://scholar.google.co.uk/citations?user=zVXQcSsAAAAJ&amp;hl=en&amp;oi=ao</t>
  </si>
  <si>
    <t>https://scholar.google.co.uk/citations?user=YkmiTIkAAAAJ&amp;hl=en&amp;oi=ao</t>
  </si>
  <si>
    <t>https://scholar.google.co.uk/citations?user=ctoP3hIAAAAJ&amp;hl=en&amp;oi=ao</t>
  </si>
  <si>
    <t>https://scholar.google.co.uk/citations?user=g9t43eMAAAAJ&amp;hl=en</t>
  </si>
  <si>
    <t>https://scholar.google.co.uk/citations?user=mKVcy8sAAAAJ&amp;hl=en</t>
  </si>
  <si>
    <t>https://scholar.google.co.uk/citations?user=Z7d93ZYAAAAJ&amp;hl=en&amp;oi=ao</t>
  </si>
  <si>
    <t>https://scholar.google.co.uk/citations?user=d4HNjBEAAAAJ&amp;hl=en</t>
  </si>
  <si>
    <t>https://scholar.google.co.uk/citations?user=YOVZiJkAAAAJ&amp;hl=en</t>
  </si>
  <si>
    <t>https://scholar.google.co.uk/citations?user=8t4SqVwAAAAJ&amp;hl=en</t>
  </si>
  <si>
    <t>https://scholar.google.co.uk/citations?user=FukOricAAAAJ&amp;hl=en&amp;oi=ao</t>
  </si>
  <si>
    <t>https://scholar.google.co.uk/citations?user=ey299DUAAAAJ&amp;hl=en</t>
  </si>
  <si>
    <t>https://scholar.google.co.uk/citations?user=Ghh8xocAAAAJ&amp;hl=en</t>
  </si>
  <si>
    <t>https://scholar.google.co.uk/citations?user=Z2jVWrwAAAAJ&amp;hl=en</t>
  </si>
  <si>
    <t>https://scholar.google.co.uk/citations?user=qNznu3kAAAAJ&amp;hl=en&amp;oi=ao</t>
  </si>
  <si>
    <t>https://scholar.google.co.uk/citations?user=zwhncjQAAAAJ&amp;hl=en</t>
  </si>
  <si>
    <t>https://scholar.google.co.uk/citations?user=bgVHvYIAAAAJ&amp;hl=en</t>
  </si>
  <si>
    <t>https://scholar.google.co.uk/citations?user=gJ5yqXwAAAAJ&amp;hl=en&amp;oi=ao</t>
  </si>
  <si>
    <t>https://scholar.google.co.uk/citations?user=KXfVZq0AAAAJ&amp;hl=en&amp;oi=ao</t>
  </si>
  <si>
    <t>https://scholar.google.co.uk/citations?user=erMWZbAAAAAJ&amp;hl=en&amp;oi=ao</t>
  </si>
  <si>
    <t>https://scholar.google.co.uk/citations?user=U8ZdsuEAAAAJ&amp;hl=en&amp;oi=ao</t>
  </si>
  <si>
    <t>https://scholar.google.co.uk/citations?user=wTAM67UAAAAJ&amp;hl=en</t>
  </si>
  <si>
    <t>https://scholar.google.co.uk/citations?user=ElJBmvgAAAAJ&amp;hl=en</t>
  </si>
  <si>
    <t>https://scholar.google.co.uk/citations?user=Y4XkdPQAAAAJ&amp;hl=en</t>
  </si>
  <si>
    <t>https://scholar.google.co.uk/citations?user=dBcYZecAAAAJ&amp;hl=en</t>
  </si>
  <si>
    <t>https://scholar.google.co.uk/citations?user=eKB6YqIAAAAJ&amp;hl=en&amp;oi=ao</t>
  </si>
  <si>
    <t>https://scholar.google.co.uk/citations?user=VlgfXG4AAAAJ&amp;hl=en&amp;oi=ao</t>
  </si>
  <si>
    <t>https://scholar.google.co.uk/citations?user=RUNemy8AAAAJ&amp;hl=en</t>
  </si>
  <si>
    <t>https://scholar.google.co.uk/citations?user=dcDrhzMAAAAJ&amp;hl=en</t>
  </si>
  <si>
    <t>https://scholar.google.co.uk/citations?user=Iv2wBQ8AAAAJ&amp;hl=en&amp;oi=sra</t>
  </si>
  <si>
    <t>https://scholar.google.co.uk/citations?user=vVSZ4rUAAAAJ&amp;hl=en</t>
  </si>
  <si>
    <t>https://scholar.google.co.uk/citations?user=yS8ebMIAAAAJ&amp;hl=en&amp;oi=ao</t>
  </si>
  <si>
    <t>https://scholar.google.co.uk/citations?user=AMGqrI0AAAAJ&amp;hl=en&amp;oi=ao</t>
  </si>
  <si>
    <t>https://scholar.google.co.uk/citations?user=7Ek7pqgAAAAJ&amp;hl=en&amp;oi=ao</t>
  </si>
  <si>
    <t>https://scholar.google.co.uk/citations?user=ogtB3h4AAAAJ&amp;hl=en&amp;oi=ao</t>
  </si>
  <si>
    <t>https://scholar.google.co.uk/citations?user=TdAlgQ8AAAAJ&amp;hl=en</t>
  </si>
  <si>
    <t>https://scholar.google.co.uk/citations?user=qVOHi9cAAAAJ&amp;hl=en</t>
  </si>
  <si>
    <t>https://scholar.google.co.uk/citations?user=rfb1pk0AAAAJ&amp;hl=en</t>
  </si>
  <si>
    <t>https://scholar.google.co.uk/citations?user=mInKMwYAAAAJ&amp;hl=en</t>
  </si>
  <si>
    <t>https://scholar.google.co.uk/citations?user=vYcHYoYAAAAJ&amp;hl=en</t>
  </si>
  <si>
    <t>https://scholar.google.co.uk/citations?user=IaB4_j0AAAAJ&amp;hl=en</t>
  </si>
  <si>
    <t>https://scholar.google.co.uk/citations?user=E5o_obgAAAAJ&amp;hl=en</t>
  </si>
  <si>
    <t>https://scholar.google.co.uk/citations?user=SjkjEtQAAAAJ&amp;hl=en</t>
  </si>
  <si>
    <t>https://scholar.google.co.uk/citations?user=0-wMwpgAAAAJ&amp;hl=en&amp;oi=ao</t>
  </si>
  <si>
    <t>https://scholar.google.co.uk/citations?user=BAdQpFkAAAAJ&amp;hl=en</t>
  </si>
  <si>
    <t>https://scholar.google.co.uk/citations?user=rAT2ab0AAAAJ&amp;hl=en</t>
  </si>
  <si>
    <t>https://scholar.google.co.uk/citations?user=3yXwDqsAAAAJ&amp;hl=en</t>
  </si>
  <si>
    <t>https://scholar.google.co.uk/citations?user=hcyZpgIAAAAJ&amp;hl=en</t>
  </si>
  <si>
    <t>https://scholar.google.co.uk/citations?user=KhnJQ20AAAAJ&amp;hl=en</t>
  </si>
  <si>
    <t>https://scholar.google.co.uk/citations?user=tIVEu_YAAAAJ&amp;hl=en&amp;oi=ao</t>
  </si>
  <si>
    <t>https://scholar.google.co.uk/citations?user=mQMC3aYAAAAJ&amp;hl=en&amp;oi=ao</t>
  </si>
  <si>
    <t>https://scholar.google.co.uk/citations?user=_neUydcAAAAJ&amp;hl=en&amp;oi=ao</t>
  </si>
  <si>
    <t>https://scholar.google.co.uk/citations?user=-loJh1EAAAAJ&amp;hl=en</t>
  </si>
  <si>
    <t>https://scholar.google.co.uk/citations?user=EMqzMgcAAAAJ&amp;hl=en</t>
  </si>
  <si>
    <t>https://scholar.google.co.uk/citations?user=fTgRyn4AAAAJ&amp;hl=en</t>
  </si>
  <si>
    <t>https://scholar.google.co.uk/citations?user=YC3Ab4oAAAAJ&amp;hl=en</t>
  </si>
  <si>
    <t>https://scholar.google.co.uk/citations?user=dSs64v4AAAAJ&amp;hl=en&amp;oi=ao</t>
  </si>
  <si>
    <t>https://scholar.google.co.uk/citations?user=VKvOJdgAAAAJ&amp;hl=en</t>
  </si>
  <si>
    <t>https://scholar.google.co.uk/citations?user=9LJgRFAAAAAJ&amp;hl=en</t>
  </si>
  <si>
    <t>https://scholar.google.co.uk/citations?user=5NdeFwwAAAAJ&amp;hl=en</t>
  </si>
  <si>
    <t>https://scholar.google.co.uk/citations?user=YAZHNDUAAAAJ&amp;hl=en&amp;oi=ao</t>
  </si>
  <si>
    <t>https://scholar.google.co.uk/citations?user=ZPqZhnAAAAAJ&amp;hl=en</t>
  </si>
  <si>
    <t>https://scholar.google.co.uk/citations?user=E4JS8pQAAAAJ&amp;hl=en</t>
  </si>
  <si>
    <t>https://scholar.google.co.uk/citations?user=jBnuYi4AAAAJ&amp;hl=en</t>
  </si>
  <si>
    <t>https://scholar.google.co.uk/citations?user=HRSDO6IAAAAJ&amp;hl=en</t>
  </si>
  <si>
    <t>https://scholar.google.co.uk/citations?user=l4WN96YAAAAJ&amp;hl=en&amp;oi=ao</t>
  </si>
  <si>
    <t>https://scholar.google.co.uk/citations?user=-TjHVPkAAAAJ&amp;hl=en&amp;oi=ao</t>
  </si>
  <si>
    <t>https://scholar.google.co.uk/citations?user=v-rnR5UAAAAJ&amp;hl=en&amp;oi=ao</t>
  </si>
  <si>
    <t>https://scholar.google.co.uk/citations?user=UPhB8eQAAAAJ&amp;hl=en</t>
  </si>
  <si>
    <t>https://scholar.google.co.uk/citations?user=L2cAaGUAAAAJ&amp;hl=en&amp;oi=ao</t>
  </si>
  <si>
    <t>https://scholar.google.co.uk/citations?user=KniqC44AAAAJ&amp;hl=en</t>
  </si>
  <si>
    <t>https://scholar.google.co.uk/citations?user=Wqy6xC8AAAAJ&amp;hl=en&amp;oi=ao</t>
  </si>
  <si>
    <t>https://scholar.google.co.uk/citations?user=u60oMpoAAAAJ&amp;hl=en&amp;oi=ao</t>
  </si>
  <si>
    <t>https://scholar.google.co.uk/citations?user=RBX7SrkAAAAJ&amp;hl=en</t>
  </si>
  <si>
    <t>https://scholar.google.co.uk/citations?user=NIUqLxYAAAAJ&amp;hl=en&amp;oi=ao</t>
  </si>
  <si>
    <t>https://scholar.google.co.uk/citations?user=OMVTRscAAAAJ&amp;hl=en&amp;oi=ao</t>
  </si>
  <si>
    <t>https://scholar.google.co.uk/citations?user=kA_vmOcAAAAJ&amp;hl=en</t>
  </si>
  <si>
    <t>https://scholar.google.co.uk/citations?user=RJCmtBcAAAAJ&amp;hl=en&amp;oi=ao</t>
  </si>
  <si>
    <t>https://scholar.google.co.uk/citations?user=BFWurDEAAAAJ&amp;hl=en&amp;oi=ao</t>
  </si>
  <si>
    <t>https://scholar.google.co.uk/citations?user=5HoF_9oAAAAJ&amp;hl=en</t>
  </si>
  <si>
    <t>https://scholar.google.co.uk/citations?user=qT9Ubk0AAAAJ&amp;hl=en</t>
  </si>
  <si>
    <t>https://scholar.google.co.uk/citations?user=yaJJGjIAAAAJ&amp;hl=en</t>
  </si>
  <si>
    <t>https://scholar.google.co.uk/citations?user=N5W1U5QAAAAJ&amp;hl=en</t>
  </si>
  <si>
    <t>https://scholar.google.co.uk/citations?user=CVPmzJAAAAAJ&amp;hl=en&amp;oi=ao</t>
  </si>
  <si>
    <t>https://scholar.google.co.uk/citations?user=PVdTviYAAAAJ&amp;hl=en</t>
  </si>
  <si>
    <t>https://scholar.google.co.uk/citations?user=tEKHYoUAAAAJ&amp;hl=en&amp;oi=ao</t>
  </si>
  <si>
    <t>https://scholar.google.co.uk/citations?user=6VGDWDoAAAAJ&amp;hl=en&amp;oi=ao</t>
  </si>
  <si>
    <t>https://scholar.google.co.uk/citations?user=QE17xR4AAAAJ&amp;hl=en&amp;oi=ao</t>
  </si>
  <si>
    <t>https://scholar.google.co.uk/citations?user=i3jH-6QAAAAJ&amp;hl=en&amp;oi=sra</t>
  </si>
  <si>
    <t>https://scholar.google.co.uk/citations?user=sCLTNGsAAAAJ&amp;hl=en</t>
  </si>
  <si>
    <t>https://scholar.google.co.uk/citations?user=cIZwDMcAAAAJ&amp;hl=en</t>
  </si>
  <si>
    <t>https://scholar.google.co.uk/citations?user=UIM7nGwAAAAJ&amp;hl=en</t>
  </si>
  <si>
    <t>https://scholar.google.co.uk/citations?user=fpMB-WYAAAAJ&amp;hl=en&amp;oi=ao</t>
  </si>
  <si>
    <t>https://scholar.google.co.uk/citations?user=wS5aZWwAAAAJ&amp;hl=en&amp;oi=ao</t>
  </si>
  <si>
    <t>https://scholar.google.co.uk/citations?user=f28rFKUAAAAJ&amp;hl=en</t>
  </si>
  <si>
    <t>https://scholar.google.co.uk/citations?user=18exh0MAAAAJ&amp;hl=en&amp;oi=ao</t>
  </si>
  <si>
    <t>https://scholar.google.co.uk/citations?user=cA28Zs0AAAAJ&amp;hl=en</t>
  </si>
  <si>
    <t>https://scholar.google.co.uk/citations?user=4PqbHJoAAAAJ&amp;hl=en</t>
  </si>
  <si>
    <t>https://scholar.google.co.uk/citations?user=RWSgwYoAAAAJ&amp;hl=en&amp;oi=sra</t>
  </si>
  <si>
    <t>https://scholar.google.co.uk/citations?user=KFSsDRoAAAAJ&amp;hl=en</t>
  </si>
  <si>
    <t>https://scholar.google.co.uk/citations?user=Yjwve60AAAAJ&amp;hl=en</t>
  </si>
  <si>
    <t>https://scholar.google.co.uk/citations?user=t-FPWNgAAAAJ&amp;hl=en</t>
  </si>
  <si>
    <t>https://scholar.google.co.uk/citations?user=hXFOvYIAAAAJ&amp;hl=en</t>
  </si>
  <si>
    <t>https://scholar.google.co.uk/citations?user=grqiZjQAAAAJ&amp;hl=en</t>
  </si>
  <si>
    <t>https://scholar.google.co.uk/citations?user=g9yS74gAAAAJ&amp;hl=en&amp;oi=ao</t>
  </si>
  <si>
    <t>https://scholar.google.co.uk/citations?user=cjKmjvgAAAAJ&amp;hl=en</t>
  </si>
  <si>
    <t>https://scholar.google.co.uk/citations?user=d92eou8AAAAJ&amp;hl=en</t>
  </si>
  <si>
    <t>https://scholar.google.co.uk/citations?user=Sc2pBzYAAAAJ&amp;hl=en</t>
  </si>
  <si>
    <t>https://scholar.google.co.uk/citations?user=3L_3BTcAAAAJ&amp;hl=en&amp;oi=ao</t>
  </si>
  <si>
    <t>https://scholar.google.co.uk/citations?user=EMQBQoAAAAAJ&amp;hl=en</t>
  </si>
  <si>
    <t>https://scholar.google.co.uk/citations?user=oU0JgI4AAAAJ&amp;hl=en</t>
  </si>
  <si>
    <t>https://scholar.google.co.uk/citations?user=jXTPa_AAAAAJ&amp;hl=en</t>
  </si>
  <si>
    <t>https://scholar.google.co.uk/citations?user=wAhC4McAAAAJ&amp;hl=en&amp;oi=ao</t>
  </si>
  <si>
    <t>https://scholar.google.co.uk/citations?user=_x1UNBsAAAAJ&amp;hl=en</t>
  </si>
  <si>
    <t>https://scholar.google.co.uk/citations?user=SvnnEI8AAAAJ&amp;hl=en</t>
  </si>
  <si>
    <t>https://scholar.google.co.uk/citations?user=xQFN6xoAAAAJ&amp;hl=en&amp;oi=ao</t>
  </si>
  <si>
    <t>https://scholar.google.co.uk/citations?user=APFVYCYAAAAJ&amp;hl=en</t>
  </si>
  <si>
    <t>https://scholar.google.co.uk/citations?user=b2RThHcAAAAJ&amp;hl=en</t>
  </si>
  <si>
    <t>https://scholar.google.co.uk/citations?user=xPYhzBQAAAAJ&amp;hl=en&amp;oi=ao</t>
  </si>
  <si>
    <t>https://scholar.google.co.uk/citations?user=OB_O-x0AAAAJ&amp;hl=en&amp;oi=sra</t>
  </si>
  <si>
    <t>https://scholar.google.co.uk/citations?user=04rL02AAAAAJ&amp;hl=en</t>
  </si>
  <si>
    <t>https://scholar.google.co.uk/citations?user=cBZ9qkYAAAAJ&amp;hl=en&amp;oi=ao</t>
  </si>
  <si>
    <t>https://scholar.google.co.uk/citations?user=KRXEPKAAAAAJ&amp;hl=en&amp;oi=ao</t>
  </si>
  <si>
    <t>https://scholar.google.co.uk/citations?user=7JK9h1MAAAAJ&amp;hl=en&amp;oi=ao</t>
  </si>
  <si>
    <t>https://scholar.google.co.uk/citations?user=e1HMeSEAAAAJ&amp;hl=en</t>
  </si>
  <si>
    <t>https://scholar.google.co.uk/citations?user=FpryE5IAAAAJ&amp;hl=en&amp;oi=ao</t>
  </si>
  <si>
    <t>https://scholar.google.co.uk/citations?user=pL008LcAAAAJ&amp;hl=en</t>
  </si>
  <si>
    <t>https://scholar.google.co.uk/citations?user=fxQRrYEAAAAJ&amp;hl=en</t>
  </si>
  <si>
    <t>https://scholar.google.co.uk/citations?user=Px89gSoAAAAJ&amp;hl=en&amp;oi=ao</t>
  </si>
  <si>
    <t>https://scholar.google.co.uk/citations?user=OBwlK8cAAAAJ&amp;hl=en</t>
  </si>
  <si>
    <t>https://scholar.google.co.uk/citations?user=nLnKIikAAAAJ&amp;hl=en</t>
  </si>
  <si>
    <t>https://scholar.google.co.uk/citations?user=dm3LyggAAAAJ&amp;hl=en</t>
  </si>
  <si>
    <t>https://scholar.google.co.uk/citations?user=10RVXDQAAAAJ&amp;hl=en</t>
  </si>
  <si>
    <t>https://scholar.google.co.uk/citations?user=BqgxBV0AAAAJ&amp;hl=en&amp;oi=ao</t>
  </si>
  <si>
    <t>https://scholar.google.co.uk/citations?user=bRzhl0oAAAAJ&amp;hl=en</t>
  </si>
  <si>
    <t/>
  </si>
  <si>
    <t>B4:M(max)</t>
  </si>
  <si>
    <t>there is a person citation count named '{7}'
  has '{9}' as url
  has '{10}' as citation count
  has '{11}' as h-index
  has '{12}' as date checked</t>
  </si>
  <si>
    <t>20/02/2016</t>
  </si>
  <si>
    <t>28/11/2015</t>
  </si>
  <si>
    <t>24/11/2015</t>
  </si>
  <si>
    <t>03/12/2015</t>
  </si>
  <si>
    <t>04/12/2015</t>
  </si>
  <si>
    <t>29/11/2015</t>
  </si>
  <si>
    <t>05/02/2016</t>
  </si>
  <si>
    <t>11/02/2016</t>
  </si>
  <si>
    <t>08/12/2015</t>
  </si>
  <si>
    <t>22/02/2016</t>
  </si>
  <si>
    <t>22/01/2016</t>
  </si>
  <si>
    <t>18/02/2016</t>
  </si>
  <si>
    <t>15/02/2016</t>
  </si>
  <si>
    <t>27/11/2015</t>
  </si>
  <si>
    <t>30/11/2015</t>
  </si>
  <si>
    <t>13/02/2016</t>
  </si>
  <si>
    <t>BPP07P1</t>
  </si>
  <si>
    <t>P1: Theoretical Foundations for Analysis and Design of Wireless and Sensor Networks</t>
  </si>
  <si>
    <t>BPP07</t>
  </si>
  <si>
    <t>TA1</t>
  </si>
  <si>
    <t>BPP07P10</t>
  </si>
  <si>
    <t>P10: Mission Adaptive Collaboration</t>
  </si>
  <si>
    <t>TA4</t>
  </si>
  <si>
    <t>BPP07P11</t>
  </si>
  <si>
    <t>P11: Cultural Analysis</t>
  </si>
  <si>
    <t>BPP07P12</t>
  </si>
  <si>
    <t>P12: Semantic Integration and Collaborative Planning Infrastructure</t>
  </si>
  <si>
    <t>BPP07P2</t>
  </si>
  <si>
    <t>P2: Interoperability of Heterogeneous Wireless Networks and Systems</t>
  </si>
  <si>
    <t>BPP07P3</t>
  </si>
  <si>
    <t>P3: Biologically Inspired Self Organization in Networks</t>
  </si>
  <si>
    <t>BPP07P4</t>
  </si>
  <si>
    <t>P4: Policy based Security Management</t>
  </si>
  <si>
    <t>TA2</t>
  </si>
  <si>
    <t>BPP07P5</t>
  </si>
  <si>
    <t>P5: Energy Efficient Security Architectures and Infrastructures</t>
  </si>
  <si>
    <t>BPP07P6</t>
  </si>
  <si>
    <t>P6: Trust and Risk Management in Dynamic Coalition Environments</t>
  </si>
  <si>
    <t>BPP07P7</t>
  </si>
  <si>
    <t>P7: Quality of Information of Sensor Data</t>
  </si>
  <si>
    <t>TA3</t>
  </si>
  <si>
    <t>BPP07P8</t>
  </si>
  <si>
    <t>P8: Task-Oriented Deployment of Sensor Data Infrastructures</t>
  </si>
  <si>
    <t>BPP07P9</t>
  </si>
  <si>
    <t>P9: Complexity Management of the Sensor Data Infrastructure</t>
  </si>
  <si>
    <t>BPP09P1</t>
  </si>
  <si>
    <t>BPP09</t>
  </si>
  <si>
    <t>BPP09P10</t>
  </si>
  <si>
    <t>P10: Network-Enabled Problem Solving</t>
  </si>
  <si>
    <t>BPP09P12</t>
  </si>
  <si>
    <t>P12: Network-Enabled Shared Understanding</t>
  </si>
  <si>
    <t>BPP09P2</t>
  </si>
  <si>
    <t>BPP09P3</t>
  </si>
  <si>
    <t>P3: Modeling, Analysis and Design of Dynamic Self-organizing Wireless Networks</t>
  </si>
  <si>
    <t>BPP09P4</t>
  </si>
  <si>
    <t>P4: Policy Based Security Mechanisms for Coalition Environments</t>
  </si>
  <si>
    <t>BPP09P5</t>
  </si>
  <si>
    <t>P5: Efficient Security Techniques for Information Flows in Coalition Environments</t>
  </si>
  <si>
    <t>BPP09P6</t>
  </si>
  <si>
    <t>P6: Dynamic Trust and Risk in Coalition Environments</t>
  </si>
  <si>
    <t>BPP09P7</t>
  </si>
  <si>
    <t>P7: Quality of Information in Sensor Networks</t>
  </si>
  <si>
    <t>BPP09P8</t>
  </si>
  <si>
    <t>P8: Task orientated direction &amp; management of sensor networks</t>
  </si>
  <si>
    <t>BPP09P9</t>
  </si>
  <si>
    <t>P9: Agile Sensor Networks and Data Discovery</t>
  </si>
  <si>
    <t>BPP11P1</t>
  </si>
  <si>
    <t>P1: Hybrid Networks Performance and Metrics</t>
  </si>
  <si>
    <t>TA5</t>
  </si>
  <si>
    <t>BPP11P2</t>
  </si>
  <si>
    <t>BPP11P3</t>
  </si>
  <si>
    <t>P3: Security for Distributed Services</t>
  </si>
  <si>
    <t>BPP11P5</t>
  </si>
  <si>
    <t>P5: Service Management in Distributed Networks</t>
  </si>
  <si>
    <t>BPP11P6</t>
  </si>
  <si>
    <t>P6: Exploitation of distributed, uncertain and obfuscated information</t>
  </si>
  <si>
    <t>BPP13P1</t>
  </si>
  <si>
    <t>BPP13P2</t>
  </si>
  <si>
    <t>BPP13P3</t>
  </si>
  <si>
    <t>BPP13P5</t>
  </si>
  <si>
    <t>P5: Distributed Coalition Services</t>
  </si>
  <si>
    <t>BPP13P6</t>
  </si>
  <si>
    <t>P6: Collective Sensemaking Under Uncertainty</t>
  </si>
  <si>
    <t>FPP15P1</t>
  </si>
  <si>
    <t>FPP15P2</t>
  </si>
  <si>
    <t>FPP15P3</t>
  </si>
  <si>
    <t>FPP15P4</t>
  </si>
  <si>
    <t>FPP15P6</t>
  </si>
  <si>
    <t>IPP06P1</t>
  </si>
  <si>
    <t>IPP06</t>
  </si>
  <si>
    <t>IPP06P10</t>
  </si>
  <si>
    <t>IPP06P11</t>
  </si>
  <si>
    <t>P11: Command Process Transformation and Analysis</t>
  </si>
  <si>
    <t>IPP06P12</t>
  </si>
  <si>
    <t>P12: Shared Situation Awareness and the Semantic Battlespace Infosphere</t>
  </si>
  <si>
    <t>IPP06P2</t>
  </si>
  <si>
    <t>P2: Interoperability of Wireless Networks and Systems</t>
  </si>
  <si>
    <t>IPP06P3</t>
  </si>
  <si>
    <t>P3: Biologically Inspired Self Management of Networks</t>
  </si>
  <si>
    <t>IPP06P4</t>
  </si>
  <si>
    <t>IPP06P5</t>
  </si>
  <si>
    <t>IPP06P6</t>
  </si>
  <si>
    <t>Trust and Risk Management in Dynamic Coalition Environments</t>
  </si>
  <si>
    <t>IPP06P7</t>
  </si>
  <si>
    <t>P7: Quality of Information in Sensor Data</t>
  </si>
  <si>
    <t>IPP06P8</t>
  </si>
  <si>
    <t>P8: Task Oriented Deployment of Sensor Data Infrastructure</t>
  </si>
  <si>
    <t>IPP06P9</t>
  </si>
  <si>
    <t>P9: Complexity Management of Sensor Data Infrastructure</t>
  </si>
  <si>
    <t>P2: Security/Network Management and Control</t>
  </si>
  <si>
    <t>Network Theory</t>
  </si>
  <si>
    <t>Security across a System of Systems</t>
  </si>
  <si>
    <t>Sensor Information Processing and Delivery</t>
  </si>
  <si>
    <t>Distributed Coalition Planning and Decision Making (Distributed Network Enabled Cognition)</t>
  </si>
  <si>
    <t>Coalition Interoperable Secure and Hybrid Networks</t>
  </si>
  <si>
    <t>IPP06|BPP07|BPP09</t>
  </si>
  <si>
    <t>2007|2008</t>
  </si>
  <si>
    <t>2009|2010</t>
  </si>
  <si>
    <t xml:space="preserve">-- --------------------------------------------------------------------------
-- (C) Copyright IBM Corporation 2016
-- All Rights Reserved
-- --------------------------------------------------------------------------
-- This CE has been generated from SL_generator v1.8.xlsm
</t>
  </si>
  <si>
    <t>doc-1007</t>
  </si>
  <si>
    <t>SAT: Building New Trust Architecture for Vehicular Networks</t>
  </si>
  <si>
    <t>MobiArch 2008, Seattle WA, Aug. 2008</t>
  </si>
  <si>
    <t>Q11</t>
  </si>
  <si>
    <t>citation:doc-1007-01</t>
  </si>
  <si>
    <t>/ITA_static/attachments/1007/Position-paper-v3.pdf</t>
  </si>
  <si>
    <t>/ITA_static/images/papers/1007_paper.jpg</t>
  </si>
  <si>
    <t>doc-1034</t>
  </si>
  <si>
    <t>Who, When, Where; Timeslot Assignment to Mobile Clients</t>
  </si>
  <si>
    <t>Mobile Computing, IEEE Transactions on, 11(1), 73-85</t>
  </si>
  <si>
    <t>Q13</t>
  </si>
  <si>
    <t>citation:doc-1034-01</t>
  </si>
  <si>
    <t>/ITA_static/attachments/1034/mass09.pdf</t>
  </si>
  <si>
    <t>/ITA_static/images/papers/1034_paper.jpg</t>
  </si>
  <si>
    <t>doc-883</t>
  </si>
  <si>
    <t>doc-1058</t>
  </si>
  <si>
    <t>Self-Selecting Reliable Path Routing for Diverse Wireless Sensor Network Environments</t>
  </si>
  <si>
    <t>Proc. IEEE International Symposium on Computers and Communication, July 2009</t>
  </si>
  <si>
    <t>Q12</t>
  </si>
  <si>
    <t>citation:doc-1058-01</t>
  </si>
  <si>
    <t>/ITA_static/attachments/1058/CC_3544.pdf</t>
  </si>
  <si>
    <t>/ITA_static/images/papers/1058_paper.jpg</t>
  </si>
  <si>
    <t>doc-1069</t>
  </si>
  <si>
    <t>Energy Efficient Collision Aware Multipath Routing for Wireless Sensor Networks</t>
  </si>
  <si>
    <t>IEEE ICC 2009, Dresden, Germany, June 2009</t>
  </si>
  <si>
    <t>citation:doc-1069-01</t>
  </si>
  <si>
    <t>/ITA_static/attachments/1069/ECCA.pdf</t>
  </si>
  <si>
    <t>/ITA_static/images/papers/1069_paper.jpg</t>
  </si>
  <si>
    <t>doc-1070</t>
  </si>
  <si>
    <t>Interference Subtraction with Supplementary Cooperation in Wireless Cooperative Networks</t>
  </si>
  <si>
    <t>ICC 2009, June 2009</t>
  </si>
  <si>
    <t>citation:doc-1070-01</t>
  </si>
  <si>
    <t>/ITA_static/attachments/1070/throughput_sheng.pdf</t>
  </si>
  <si>
    <t>/ITA_static/images/papers/1070_paper.jpg</t>
  </si>
  <si>
    <t>doc-1009</t>
  </si>
  <si>
    <t>doc-1071</t>
  </si>
  <si>
    <t>Distributed and Power Efficient Routing in Wireless Cooperative Networks</t>
  </si>
  <si>
    <t>IEEE ICC 2009, June 2009</t>
  </si>
  <si>
    <t>citation:doc-1071-01</t>
  </si>
  <si>
    <t>/ITA_static/attachments/1071/power_opt_sheng.pdf</t>
  </si>
  <si>
    <t>/ITA_static/images/papers/1071_paper.jpg</t>
  </si>
  <si>
    <t>doc-1073</t>
  </si>
  <si>
    <t>Adaptive Response System for Distributed Denial-of-Service Attacks</t>
  </si>
  <si>
    <t>IM 2009 Dissertation Digests, June 2009.</t>
  </si>
  <si>
    <t>citation:doc-1073-01</t>
  </si>
  <si>
    <t>/ITA_static/attachments/1073/Dare_IM2009_Final_Camera_Ready.pdf</t>
  </si>
  <si>
    <t>/ITA_static/images/papers/1073_paper.jpg</t>
  </si>
  <si>
    <t>doc-1077</t>
  </si>
  <si>
    <t>Proactive Data Dissemination to Mission Sites</t>
  </si>
  <si>
    <t>Wireless Networks, 18(7), 749-762</t>
  </si>
  <si>
    <t>citation:doc-1077-01</t>
  </si>
  <si>
    <t>/ITA_static/attachments/1077/secon09.pdf</t>
  </si>
  <si>
    <t>/ITA_static/images/papers/1077_paper.jpg</t>
  </si>
  <si>
    <t>doc-1084</t>
  </si>
  <si>
    <t>Learning Operational Requirements from Goal Models</t>
  </si>
  <si>
    <t>ICSE 2009, May 2009.</t>
  </si>
  <si>
    <t>citation:doc-1084-01</t>
  </si>
  <si>
    <t>/ITA_static/attachments/1084/ICSE2009.pdf</t>
  </si>
  <si>
    <t>/ITA_static/images/papers/1084_paper.jpg</t>
  </si>
  <si>
    <t>doc-1095</t>
  </si>
  <si>
    <t>Realising Management and Composition of Self-Managed Cells in Pervasive Healthcare</t>
  </si>
  <si>
    <t>3rd International Conference on Pervasive Computing Technologies for Healthcare 2009.</t>
  </si>
  <si>
    <t>citation:doc-1095-01</t>
  </si>
  <si>
    <t>/ITA_static/attachments/1095/pervasivehealth-2009.pdf</t>
  </si>
  <si>
    <t>/ITA_static/images/papers/1095_paper.jpg</t>
  </si>
  <si>
    <t>doc-1100</t>
  </si>
  <si>
    <t>Quality of Information Aware Rate Control for Sensor Networks</t>
  </si>
  <si>
    <t>Workshop on Feedback Control Implementation and Design in Computing Systems &amp; Networks (FeBID 2009) at ACM/IEEE IPSN / CPS Week, April 2009</t>
  </si>
  <si>
    <t>citation:doc-1100-01</t>
  </si>
  <si>
    <t>/ITA_static/attachments/1100/QoIRC-febid09.pdf</t>
  </si>
  <si>
    <t>/ITA_static/images/papers/1100_paper.jpg</t>
  </si>
  <si>
    <t>doc-1102</t>
  </si>
  <si>
    <t>Routing of high-priority packets in wireless sensor networks</t>
  </si>
  <si>
    <t>In IEEE Second International Conference on Computer and Network Technology</t>
  </si>
  <si>
    <t>citation:doc-1102-01</t>
  </si>
  <si>
    <t>/ITA_static/attachments/1102/SPIE-14Feb09.pdf</t>
  </si>
  <si>
    <t>/ITA_static/images/papers/1102_paper.jpg</t>
  </si>
  <si>
    <t>doc-1112</t>
  </si>
  <si>
    <t>Hierarchical Identity Based Encryption with Polynomially Many Levels</t>
  </si>
  <si>
    <t>TCC 2009 - The 6th Theory of Cryptography Conference, Springer, LNCS, March 2009</t>
  </si>
  <si>
    <t>citation:doc-1112-01</t>
  </si>
  <si>
    <t>/ITA_static/attachments/1112/hibe.pdf</t>
  </si>
  <si>
    <t>/ITA_static/images/papers/1112_paper.jpg</t>
  </si>
  <si>
    <t>doc-1121</t>
  </si>
  <si>
    <t>Identifying Social Communities in Complex Communications for Network Efficiency</t>
  </si>
  <si>
    <t>Proceeding of The First International Conference on Complex Sciences: Theory and Applications (Complex 2009), Shanghai, February, 2009.</t>
  </si>
  <si>
    <t>citation:doc-1121-01</t>
  </si>
  <si>
    <t>/ITA_static/attachments/1121/complex.pdf</t>
  </si>
  <si>
    <t>/ITA_static/images/papers/1121_paper.jpg</t>
  </si>
  <si>
    <t>doc-1171</t>
  </si>
  <si>
    <t>FairCast: Fair Multi-Media Streaming in Ad Hoc Networks through Local Congestion Control</t>
  </si>
  <si>
    <t>MSWiM 2008, Vancouver, Oct., 2008</t>
  </si>
  <si>
    <t>citation:doc-1171-01</t>
  </si>
  <si>
    <t>/ITA_static/attachments/1171/p2-marfia.pdf</t>
  </si>
  <si>
    <t>/ITA_static/images/papers/1171_paper.jpg</t>
  </si>
  <si>
    <t>doc-1183</t>
  </si>
  <si>
    <t>Adaptive Random Re-Routing for Differentiated QoS in Sensor Networks</t>
  </si>
  <si>
    <t>Computer Journal, 53(7), 1052-1061</t>
  </si>
  <si>
    <t>Q9</t>
  </si>
  <si>
    <t>citation:doc-1183-01</t>
  </si>
  <si>
    <t>/ITA_static/attachments/1183/Gelenbe-Ngai-BCS08.pdf</t>
  </si>
  <si>
    <t>/ITA_static/images/papers/1183_paper.jpg</t>
  </si>
  <si>
    <t>doc-1195a</t>
  </si>
  <si>
    <t>On Low Dimensional Random Projections and Similarity Search</t>
  </si>
  <si>
    <t>Proceedings of ACM Seventeenth Conference on Information and Knowledge Management, Napa Valley, CA, USA, 2008.</t>
  </si>
  <si>
    <t>citation:doc-1195a-01</t>
  </si>
  <si>
    <t>/ITA_static/attachments/1195/cikm0681-lu.pdf</t>
  </si>
  <si>
    <t>/ITA_static/images/papers/1195_paper.jpg</t>
  </si>
  <si>
    <t>doc-1219a</t>
  </si>
  <si>
    <t>Utility-Based Adaptation in Mission-oriented Wireless Sensor Networks</t>
  </si>
  <si>
    <t>ACM Transactions on Sensor Networks (TOSN), 8(2), 17</t>
  </si>
  <si>
    <t>Q8</t>
  </si>
  <si>
    <t>citation:doc-1219a-01</t>
  </si>
  <si>
    <t>/ITA_static/attachments/1219/1569090379-submission.pdf</t>
  </si>
  <si>
    <t>/ITA_static/images/papers/1219_paper.jpg</t>
  </si>
  <si>
    <t>doc-1238</t>
  </si>
  <si>
    <t>Aggregate Message Authentication Codes</t>
  </si>
  <si>
    <t>Topics in Cryptology–CT-RSA 2008. Springer Berlin Heidelberg, 2008. 155-169.</t>
  </si>
  <si>
    <t>Q23</t>
  </si>
  <si>
    <t>citation:doc-1238-01</t>
  </si>
  <si>
    <t>/ITA_static/attachments/1238/aggregateMAC-final.pdf</t>
  </si>
  <si>
    <t>/ITA_static/images/papers/1238_paper.jpg</t>
  </si>
  <si>
    <t>doc-1256</t>
  </si>
  <si>
    <t>A New Privacy Enhanced Matchmaking Protocol</t>
  </si>
  <si>
    <t>IEICE Transactions on Communications, 96(8), 2049-2059</t>
  </si>
  <si>
    <t>Q7</t>
  </si>
  <si>
    <t>citation:doc-1256-01</t>
  </si>
  <si>
    <t>/ITA_static/attachments/1256/PrivacyEnhancedMM.pdf</t>
  </si>
  <si>
    <t>/ITA_static/images/papers/1256_paper.jpg</t>
  </si>
  <si>
    <t>doc-1282</t>
  </si>
  <si>
    <t>Gait Feature Subset Selection by Mutual Information</t>
  </si>
  <si>
    <t>Systems, Man and Cybernetics, Part A: Systems and Humans, IEEE Transactions on, 39(1), 36-46</t>
  </si>
  <si>
    <t>Q6</t>
  </si>
  <si>
    <t>citation:doc-1282-01</t>
  </si>
  <si>
    <t>/ITA_static/attachments/1282/GuoNixonBTACS.pdf</t>
  </si>
  <si>
    <t>/ITA_static/images/papers/1282_paper.jpg</t>
  </si>
  <si>
    <t>doc-1391a</t>
  </si>
  <si>
    <t>doc-1330</t>
  </si>
  <si>
    <t>A Reusable Commitment Management Service using Semantic Web Technology</t>
  </si>
  <si>
    <t>Knowledge-Based Systems, to appear, 2007</t>
  </si>
  <si>
    <t>citation:doc-1330-01</t>
  </si>
  <si>
    <t>/ITA_static/attachments/1330/sdarticle.pdf</t>
  </si>
  <si>
    <t>/ITA_static/images/papers/1330_paper.jpg</t>
  </si>
  <si>
    <t>doc-1341</t>
  </si>
  <si>
    <t>On the study of analogue network coding for multi-pair, bidirectional relay channels</t>
  </si>
  <si>
    <t>IEEE Trans. Wireless communication</t>
  </si>
  <si>
    <t>Q18</t>
  </si>
  <si>
    <t>citation:doc-1341-01</t>
  </si>
  <si>
    <t>/ITA_static/attachments/1341/Bidirectional%20Relaying%20Extension_revised_IEEE_letters_v3_trim_final_beta.pdf</t>
  </si>
  <si>
    <t>/ITA_static/images/papers/1341_paper.jpg</t>
  </si>
  <si>
    <t>doc-1342</t>
  </si>
  <si>
    <t>Physical Layer Network Coding and Precoding for the Two-Way Relay Channel in Cellular Systems</t>
  </si>
  <si>
    <t>IEEE Trans. Signal processing</t>
  </si>
  <si>
    <t>citation:doc-1342-01</t>
  </si>
  <si>
    <t>/ITA_static/attachments/1342/draft_mimo.pdf</t>
  </si>
  <si>
    <t>/ITA_static/images/papers/1342_paper.jpg</t>
  </si>
  <si>
    <t>doc-1343</t>
  </si>
  <si>
    <t>Cross-layer Routing Using Cooperative Transmission in Vehicular Ad-hoc Networks</t>
  </si>
  <si>
    <t>IEEE JSAC Special Issue</t>
  </si>
  <si>
    <t>citation:doc-1343-01</t>
  </si>
  <si>
    <t>/ITA_static/attachments/1343/routing_with_PHY_final.pdf</t>
  </si>
  <si>
    <t>/ITA_static/images/papers/1343_paper.jpg</t>
  </si>
  <si>
    <t>doc-1344</t>
  </si>
  <si>
    <t>Cooperative Transmission Protocols for Wireless Broadcast Channels</t>
  </si>
  <si>
    <t>citation:doc-1344-01</t>
  </si>
  <si>
    <t>/ITA_static/attachments/1344/cooperative_broadcast.pdf</t>
  </si>
  <si>
    <t>/ITA_static/images/papers/1344_paper.jpg</t>
  </si>
  <si>
    <t>doc-1346</t>
  </si>
  <si>
    <t>Entropy of Digraphs and Infinite Networks</t>
  </si>
  <si>
    <t>Towards an Information Theory of Complex Networks: Statistical Methods and Applications (M. Dehmer, F. Emmert-Streib, and A. Mehler, eds. Springer/Birkhouser)</t>
  </si>
  <si>
    <t>citation:doc-1346-01</t>
  </si>
  <si>
    <t>/ITA_static/attachments/1346/InfiniteDigraphs_new2_0.pdf</t>
  </si>
  <si>
    <t>/ITA_static/images/papers/1346_paper.jpg</t>
  </si>
  <si>
    <t>doc-1347</t>
  </si>
  <si>
    <t>A symmetry index for graphs</t>
  </si>
  <si>
    <t>Journl of Mathematical Biophysics</t>
  </si>
  <si>
    <t>citation:doc-1347-01</t>
  </si>
  <si>
    <t>/ITA_static/attachments/1347/mowshowitz_dehmer-rev_0.pdf</t>
  </si>
  <si>
    <t>/ITA_static/images/papers/1347_paper.jpg</t>
  </si>
  <si>
    <t>doc-1348</t>
  </si>
  <si>
    <t>Connections between Classical and Parametric Network Entropies</t>
  </si>
  <si>
    <t>PLoS ONE</t>
  </si>
  <si>
    <t>citation:doc-1348-01</t>
  </si>
  <si>
    <t>/ITA_static/attachments/1348/plos_dehmer-am2_fin.pdf</t>
  </si>
  <si>
    <t>/ITA_static/images/papers/1348_paper.jpg</t>
  </si>
  <si>
    <t>doc-1350</t>
  </si>
  <si>
    <t>Cost Effective Multi-Period Spraying for Routing in Delay Tolerant Networks</t>
  </si>
  <si>
    <t>IEEE/ACM Transactions on Networking (TON), 18(5), 1530-1543</t>
  </si>
  <si>
    <t>Q15</t>
  </si>
  <si>
    <t>citation:doc-1350-01</t>
  </si>
  <si>
    <t>/ITA_static/attachments/1350/ToN-417-2008.pdf</t>
  </si>
  <si>
    <t>/ITA_static/images/papers/1350_paper.jpg</t>
  </si>
  <si>
    <t>doc-1354</t>
  </si>
  <si>
    <t>A Taxonomy of Biologically Inspired Research in Computer Networking</t>
  </si>
  <si>
    <t>Computer Networks</t>
  </si>
  <si>
    <t>Q14</t>
  </si>
  <si>
    <t>citation:doc-1354-01</t>
  </si>
  <si>
    <t>/ITA_static/attachments/1354/biosurvey.pdf</t>
  </si>
  <si>
    <t>/ITA_static/images/papers/1354_paper.jpg</t>
  </si>
  <si>
    <t>doc-1355</t>
  </si>
  <si>
    <t>Resource Determination and Allocation in Sensor Networks: A Hybrid Approach</t>
  </si>
  <si>
    <t>The Computer Journal</t>
  </si>
  <si>
    <t>citation:doc-1355-01</t>
  </si>
  <si>
    <t>/ITA_static/attachments/1355/manuscript_0.pdf</t>
  </si>
  <si>
    <t>/ITA_static/images/papers/1355_paper.jpg</t>
  </si>
  <si>
    <t>doc-1357</t>
  </si>
  <si>
    <t>What Is a Good Plan? Cultural Variations in Expert Planners' Concepts of Plan Quality</t>
  </si>
  <si>
    <t>Journal of Cognitive Engineering and Decision Making</t>
  </si>
  <si>
    <t>citation:doc-1357-01</t>
  </si>
  <si>
    <t>/ITA_static/attachments/1357/rasmussen-jcedm09-v3p228-usukplanquality.pdf</t>
  </si>
  <si>
    <t>/ITA_static/images/papers/1357_paper.jpg</t>
  </si>
  <si>
    <t>doc-1358</t>
  </si>
  <si>
    <t>Bounds on the Throughput Gain of Network Coding in Unicast and Multicast Wireless Networks</t>
  </si>
  <si>
    <t>IEEE JSAC</t>
  </si>
  <si>
    <t>citation:doc-1358-01</t>
  </si>
  <si>
    <t>/ITA_static/attachments/1358/jsac-nc_0-Abstract.pdf</t>
  </si>
  <si>
    <t>/ITA_static/images/papers/1358_paper.jpg</t>
  </si>
  <si>
    <t>doc-1359</t>
  </si>
  <si>
    <t>Asymptotic Connectivity Properties of Cooperative Wireless Ad Hoc Networks</t>
  </si>
  <si>
    <t>citation:doc-1359-01</t>
  </si>
  <si>
    <t>/ITA_static/attachments/1359/coop-conn-Abstract.pdf</t>
  </si>
  <si>
    <t>/ITA_static/images/papers/1359_paper.jpg</t>
  </si>
  <si>
    <t>doc-1361a</t>
  </si>
  <si>
    <t>Cognitive and Self-Healing Routing for Sensor Networks</t>
  </si>
  <si>
    <t>Computational Management Science, DOI: 10.1007/s10287-009-0102-y</t>
  </si>
  <si>
    <t>Q5</t>
  </si>
  <si>
    <t>citation:doc-1361a-01</t>
  </si>
  <si>
    <t>/ITA_static/attachments/1361/cpn-shr-merged.pdf</t>
  </si>
  <si>
    <t>/ITA_static/images/papers/1361_paper.jpg</t>
  </si>
  <si>
    <t>doc-1361c</t>
  </si>
  <si>
    <t>doc-1362</t>
  </si>
  <si>
    <t>MANET QoS Support without Reservations</t>
  </si>
  <si>
    <t>Wiley Journal on Security and Communication Networks</t>
  </si>
  <si>
    <t>citation:doc-1362-01</t>
  </si>
  <si>
    <t>/ITA_static/attachments/1362/ProbeCast_journal.pdf</t>
  </si>
  <si>
    <t>/ITA_static/images/papers/1362_paper.jpg</t>
  </si>
  <si>
    <t>doc-1363</t>
  </si>
  <si>
    <t>Temperature Driven Time Synchronization</t>
  </si>
  <si>
    <t>IEEE Embedded Systems Letters, July 2009</t>
  </si>
  <si>
    <t>citation:doc-1363-01</t>
  </si>
  <si>
    <t>/ITA_static/attachments/1363/esl2009-1.pdf</t>
  </si>
  <si>
    <t>/ITA_static/images/papers/1363_paper.jpg</t>
  </si>
  <si>
    <t>doc-1364a</t>
  </si>
  <si>
    <t>On the Development of an Internetwork-centric Defense for Scanning Worms</t>
  </si>
  <si>
    <t>Computers &amp; Security (2009) doi:10.1016/j.cose.2009.07.003</t>
  </si>
  <si>
    <t>citation:doc-1364a-01</t>
  </si>
  <si>
    <t>/ITA_static/attachments/1364/reputation.pdf</t>
  </si>
  <si>
    <t>/ITA_static/images/papers/1364_paper.jpg</t>
  </si>
  <si>
    <t>doc-1325</t>
  </si>
  <si>
    <t>doc-1365</t>
  </si>
  <si>
    <t>Understanding the Quality of Monitoring for Network Management</t>
  </si>
  <si>
    <t>the Computer Journal of Oxford University. April 2009</t>
  </si>
  <si>
    <t>citation:doc-1365-01</t>
  </si>
  <si>
    <t>/ITA_static/attachments/1365/QoM-CJ08-ITA-SI.pdf</t>
  </si>
  <si>
    <t>/ITA_static/images/papers/1365_paper.jpg</t>
  </si>
  <si>
    <t>doc-1367</t>
  </si>
  <si>
    <t>Agent Support for Policy-driven Collaborative Mission Planning</t>
  </si>
  <si>
    <t>The Computer Journal, June 24 2009, doi: 10.1093/comjnl/bxp061</t>
  </si>
  <si>
    <t>citation:doc-1367-01</t>
  </si>
  <si>
    <t>/ITA_static/attachments/1367/Sycara_TheComputerJournal2009.pdf</t>
  </si>
  <si>
    <t>/ITA_static/images/papers/1367_paper.jpg</t>
  </si>
  <si>
    <t>doc-1368</t>
  </si>
  <si>
    <t>Dynamic Service Execution in Sensor Networks</t>
  </si>
  <si>
    <t>Computer Journal, 2009. The Computer Journal Advance Access published online on May 28, 2009</t>
  </si>
  <si>
    <t>citation:doc-1368-01</t>
  </si>
  <si>
    <t>/ITA_static/attachments/1368/compj.pdf</t>
  </si>
  <si>
    <t>/ITA_static/images/papers/1368_paper.jpg</t>
  </si>
  <si>
    <t>doc-1369</t>
  </si>
  <si>
    <t>Analyzing Team Decision-Making in Tactical Scenarios</t>
  </si>
  <si>
    <t>The Computer Journal- 2009</t>
  </si>
  <si>
    <t>citation:doc-1369-01</t>
  </si>
  <si>
    <t>/ITA_static/attachments/1369/computerjournal2008-GITA.pdf</t>
  </si>
  <si>
    <t>/ITA_static/images/papers/1369_paper.jpg</t>
  </si>
  <si>
    <t>doc-1370</t>
  </si>
  <si>
    <t>Probabilistic Approaches to Estimating the Quality of Information in Military Sensor Networks</t>
  </si>
  <si>
    <t>British Computer Society: The Computer Journal (in press)</t>
  </si>
  <si>
    <t>citation:doc-1370-01</t>
  </si>
  <si>
    <t>/ITA_static/attachments/1370/GilliesThornleyBisdikian2009.pdf</t>
  </si>
  <si>
    <t>/ITA_static/images/papers/1370_paper.jpg</t>
  </si>
  <si>
    <t>doc-1374</t>
  </si>
  <si>
    <t>CONTOUR: An Efficient Algorithm for Discovering Discriminating Subsequences</t>
  </si>
  <si>
    <t>Data Mining and Knowledge Discovery Journal, Vol 18(1), February 2009.</t>
  </si>
  <si>
    <t>citation:doc-1374-01</t>
  </si>
  <si>
    <t>/ITA_static/attachments/1374/contour.pdf</t>
  </si>
  <si>
    <t>/ITA_static/images/papers/1374_paper.jpg</t>
  </si>
  <si>
    <t>doc-1375</t>
  </si>
  <si>
    <t>Efficient Peer-to-peer File Sharing using Network Coding in MANET</t>
  </si>
  <si>
    <t>Journal of Communications and Networks (JCN), Special Issue on Network Coding, Volume 10, Issue 4, pp. 422-429, Dec. 2008.</t>
  </si>
  <si>
    <t>citation:doc-1375-01</t>
  </si>
  <si>
    <t>/ITA_static/attachments/1375/CodeTorrentJCN.pdf</t>
  </si>
  <si>
    <t>/ITA_static/images/papers/1375_paper.jpg</t>
  </si>
  <si>
    <t>doc-1376</t>
  </si>
  <si>
    <t>Normative Conflict Resolution in Multi-Agent Systems</t>
  </si>
  <si>
    <t>Autonomous Agents and Multi-Agent Systems, DOI 10.1007/s10458-008-9070-9, ISSN 1387-2532 (Print) 1573-7454 (Online)</t>
  </si>
  <si>
    <t>Q10</t>
  </si>
  <si>
    <t>citation:doc-1376-01</t>
  </si>
  <si>
    <t>/ITA_static/attachments/1376/Vasconcelos-etal-AAMAS-Journal2008.pdf</t>
  </si>
  <si>
    <t>/ITA_static/images/papers/1376_paper.jpg</t>
  </si>
  <si>
    <t>doc-1378</t>
  </si>
  <si>
    <t>On the Study of Network Coded AF Transmission Protocol for Wireless Multiple Access Channels</t>
  </si>
  <si>
    <t>Wireless Communications, IEEE Transactions on, 7(11), 4568-4574</t>
  </si>
  <si>
    <t>citation:doc-1378-01</t>
  </si>
  <si>
    <t>/ITA_static/attachments/1378/draft_AF_network%20coding%20accepted%20for%20TWC.pdf</t>
  </si>
  <si>
    <t>/ITA_static/images/papers/1378_paper.jpg</t>
  </si>
  <si>
    <t>doc-x0033</t>
  </si>
  <si>
    <t>doc-1381a</t>
  </si>
  <si>
    <t>Distributed beamforming and power allocation for cooperative networks</t>
  </si>
  <si>
    <t>Wireless Communications, IEEE Transactions on, 7(5), 1817-1822</t>
  </si>
  <si>
    <t>citation:doc-1381a-01</t>
  </si>
  <si>
    <t>/ITA_static/attachments/1381/Beamforming_TWC_0.pdf</t>
  </si>
  <si>
    <t>/ITA_static/images/papers/1381_paper.jpg</t>
  </si>
  <si>
    <t>doc-1382a</t>
  </si>
  <si>
    <t>Bio-inspired Multi-Agent Data Harvesting in a Proactive Urban Monitoring Environment</t>
  </si>
  <si>
    <t>Special Issue on "Bio-Inspired Computing and Communication in Wireless Ad Hoc and Sensor Networks" Elsevier Ad Hoc Networks Journal</t>
  </si>
  <si>
    <t>citation:doc-1382a-01</t>
  </si>
  <si>
    <t>/ITA_static/attachments/1382/LMG07_1.pdf</t>
  </si>
  <si>
    <t>/ITA_static/images/papers/1382_paper.jpg</t>
  </si>
  <si>
    <t>doc-1383</t>
  </si>
  <si>
    <t>E-ODMRP:Enhanced ODMRP with Motion Adaptive Refresh</t>
  </si>
  <si>
    <t>Journal of Parallel and Distributed Computing</t>
  </si>
  <si>
    <t>citation:doc-1383-01</t>
  </si>
  <si>
    <t>/ITA_static/attachments/1383/E-ODMRP_JPDC_0.pdf</t>
  </si>
  <si>
    <t>/ITA_static/images/papers/1383_paper.jpg</t>
  </si>
  <si>
    <t>doc-1384a</t>
  </si>
  <si>
    <t>A Circulatory System Approach for Wireless Sensor Networks</t>
  </si>
  <si>
    <t>Ad-Hoc Networks, July 2008</t>
  </si>
  <si>
    <t>citation:doc-1384a-01</t>
  </si>
  <si>
    <t>/ITA_static/attachments/1384/manet-jrn-rev2.pdf</t>
  </si>
  <si>
    <t>/ITA_static/images/papers/1384_paper.jpg</t>
  </si>
  <si>
    <t>doc-1384c</t>
  </si>
  <si>
    <t>doc-1386</t>
  </si>
  <si>
    <t>Mitigating Performance Degradation in Congested Sensor Networks</t>
  </si>
  <si>
    <t>IEEE Transactions on Mobile Computing, 7(6):682-697, 2008</t>
  </si>
  <si>
    <t>citation:doc-1386-01</t>
  </si>
  <si>
    <t>/ITA_static/attachments/1386/tmc.pdf</t>
  </si>
  <si>
    <t>/ITA_static/images/papers/1386_paper.jpg</t>
  </si>
  <si>
    <t>doc-1390</t>
  </si>
  <si>
    <t>Self-Selecting Reliable Paths for Wireless Sensor Network Routing</t>
  </si>
  <si>
    <t>Computer Communication Journal, April 2008</t>
  </si>
  <si>
    <t>citation:doc-1390-01</t>
  </si>
  <si>
    <t>/ITA_static/attachments/1390/Self-selecting.pdf</t>
  </si>
  <si>
    <t>/ITA_static/images/papers/1390_paper.jpg</t>
  </si>
  <si>
    <t>IEEE Transactions on Systems, Man, and Cybernetics April 2008</t>
  </si>
  <si>
    <t>citation:doc-1391a-01</t>
  </si>
  <si>
    <t>/ITA_static/attachments/1391/guo%20ieee%20tsmc.pdf</t>
  </si>
  <si>
    <t>/ITA_static/images/papers/1391_paper.jpg</t>
  </si>
  <si>
    <t>doc-1392b</t>
  </si>
  <si>
    <t>DARE: A System for Distributed Abductive Reasoning</t>
  </si>
  <si>
    <t>Autonomous Agents and Multi-Agent Systems, 16(3), 271-297</t>
  </si>
  <si>
    <t>citation:doc-1392b-01</t>
  </si>
  <si>
    <t>/ITA_static/attachments/1392/main_1_0.pdf</t>
  </si>
  <si>
    <t>/ITA_static/images/papers/1392_paper.jpg</t>
  </si>
  <si>
    <t>doc-1394</t>
  </si>
  <si>
    <t>Sequence Alignment for Masquerade Detection</t>
  </si>
  <si>
    <t>Computational Statistics &amp; Data Analysis 52.8 (2008): 4116-4131.</t>
  </si>
  <si>
    <t>citation:doc-1394-01</t>
  </si>
  <si>
    <t>/ITA_static/attachments/1394/001_csda.08.pdf</t>
  </si>
  <si>
    <t>/ITA_static/images/papers/1394_paper.jpg</t>
  </si>
  <si>
    <t>doc-1395a</t>
  </si>
  <si>
    <t>Computing with Time: From Neural Networks to Wireless Networks</t>
  </si>
  <si>
    <t>Computer Journal, vol.51, 2008</t>
  </si>
  <si>
    <t>citation:doc-1395a-01</t>
  </si>
  <si>
    <t>/ITA_static/attachments/1395/cj2007submitted.pdf</t>
  </si>
  <si>
    <t>/ITA_static/images/papers/1395_paper.jpg</t>
  </si>
  <si>
    <t>Best paper in volume 51 award</t>
  </si>
  <si>
    <t>doc-1397</t>
  </si>
  <si>
    <t>Naming Games in Two-Dimensional and Small-World-Connected Random Geometric Networks</t>
  </si>
  <si>
    <t>Physical Reviews E, vol. 77, 2008</t>
  </si>
  <si>
    <t>citation:doc-1397-01</t>
  </si>
  <si>
    <t>/ITA_static/attachments/1397/pre.07_0.pdf</t>
  </si>
  <si>
    <t>/ITA_static/images/papers/1397_paper.jpg</t>
  </si>
  <si>
    <t>doc-1398a</t>
  </si>
  <si>
    <t>Web 3.0: Chicken Farms on the Semantic Web</t>
  </si>
  <si>
    <t>Computer, 41(1), 106-108 (2008)</t>
  </si>
  <si>
    <t>citation:doc-1398a-01</t>
  </si>
  <si>
    <t>/ITA_static/attachments/1398/hendler_web_3.pdf</t>
  </si>
  <si>
    <t>/ITA_static/images/papers/1398_paper.jpg</t>
  </si>
  <si>
    <t>doc-1400</t>
  </si>
  <si>
    <t>The International Technology Alliance in Network and Information Sciences</t>
  </si>
  <si>
    <t>IEEE Intelligent Systems, Vol. 22, No. 5, September/October 2007</t>
  </si>
  <si>
    <t>citation:doc-1400-01</t>
  </si>
  <si>
    <t>/ITA_static/attachments/1400/preece_ieee_globalIS_07_0.pdf</t>
  </si>
  <si>
    <t>/ITA_static/images/papers/1400_paper.jpg</t>
  </si>
  <si>
    <t>doc-1401</t>
  </si>
  <si>
    <t>A diffusion model for packet travel time in a random multi-hop medium</t>
  </si>
  <si>
    <t>ACM Transactions on Sensor Networks, 2(3), June 2007</t>
  </si>
  <si>
    <t>citation:doc-1401-01</t>
  </si>
  <si>
    <t>/ITA_static/attachments/1401/a10-gelenbe_1.pdf</t>
  </si>
  <si>
    <t>/ITA_static/images/papers/1401_paper.jpg</t>
  </si>
  <si>
    <t>doc-1403</t>
  </si>
  <si>
    <t>In-Network Outlier Detection in Wireless Sensor Networks</t>
  </si>
  <si>
    <t>IEEE Transactions on Data and Knowledge and Engineering</t>
  </si>
  <si>
    <t>citation:doc-1403-01</t>
  </si>
  <si>
    <t>/ITA_static/attachments/1403/ieee-tkde2007submitted.pdf</t>
  </si>
  <si>
    <t>/ITA_static/images/papers/1403_paper.jpg</t>
  </si>
  <si>
    <t>doc-1531</t>
  </si>
  <si>
    <t>On the combination of cooperative diversity and network coding for wireless uplink transmissions</t>
  </si>
  <si>
    <t>Vehicular Technology, IEEE Transactions on, 60(4), 1590-1601.</t>
  </si>
  <si>
    <t>citation:doc-1531-01</t>
  </si>
  <si>
    <t>/ITA_static/attachments/1531/draft_mac_TCOM_submitted.pdf</t>
  </si>
  <si>
    <t>/ITA_static/images/papers/1531_paper.jpg</t>
  </si>
  <si>
    <t>doc-1578e</t>
  </si>
  <si>
    <t>On the Study of Network Coding with Diversity</t>
  </si>
  <si>
    <t>IEEE Trans. on Wireless Communications</t>
  </si>
  <si>
    <t>citation:doc-1578e-01</t>
  </si>
  <si>
    <t>/ITA_static/attachments/1578/Journal_version_network_coding_0.pdf</t>
  </si>
  <si>
    <t>/ITA_static/images/papers/1578_paper.jpg</t>
  </si>
  <si>
    <t>doc-1682</t>
  </si>
  <si>
    <t>Impact of In-Network Aggregation on Target Tracking Quality Under Network Delays</t>
  </si>
  <si>
    <t>Selected Areas in Communications, IEEE Journal on 31.4 (2013): 808-818.</t>
  </si>
  <si>
    <t>Q27</t>
  </si>
  <si>
    <t>citation:doc-1682-01</t>
  </si>
  <si>
    <t>/ITA_static/attachments/1682/Wei_JSAC2013.pdf</t>
  </si>
  <si>
    <t>/ITA_static/images/papers/1682_paper.jpg</t>
  </si>
  <si>
    <t>doc-1749</t>
  </si>
  <si>
    <t>doc-1836</t>
  </si>
  <si>
    <t>Learning Strategies for Task Delegation in Norm-Governed Environments</t>
  </si>
  <si>
    <t>JAAMAS</t>
  </si>
  <si>
    <t>citation:doc-1836-01</t>
  </si>
  <si>
    <t>/ITA_static/attachments/1836/jaamas4.pdf</t>
  </si>
  <si>
    <t>/ITA_static/images/papers/1836_paper.jpg</t>
  </si>
  <si>
    <t>doc-1840</t>
  </si>
  <si>
    <t>OWL-POLAR: A Framework for Semantic Policy Representation and Reasoning</t>
  </si>
  <si>
    <t>JWS</t>
  </si>
  <si>
    <t>Q22</t>
  </si>
  <si>
    <t>citation:doc-1840-01</t>
  </si>
  <si>
    <t>/ITA_static/attachments/1840/OWLPolar-JWS-final.pdf</t>
  </si>
  <si>
    <t>/ITA_static/images/papers/1840_paper.jpg</t>
  </si>
  <si>
    <t>doc-1873</t>
  </si>
  <si>
    <t>On the Application of Cooperative Transmission to Secrecy Communications</t>
  </si>
  <si>
    <t>IEEE Journal on Selected Areas in Communications: Special Issue on Cooperative Networking: Challenges and Applications</t>
  </si>
  <si>
    <t>citation:doc-1873-01</t>
  </si>
  <si>
    <t>/ITA_static/attachments/1873/draft_double_column.pdf</t>
  </si>
  <si>
    <t>/ITA_static/images/papers/1873_paper.jpg</t>
  </si>
  <si>
    <t>doc-1880</t>
  </si>
  <si>
    <t>The Web-Extended Mind</t>
  </si>
  <si>
    <t>Metaphilosophy Journal</t>
  </si>
  <si>
    <t>Q24</t>
  </si>
  <si>
    <t>citation:doc-1880-01</t>
  </si>
  <si>
    <t>/ITA_static/attachments/1880/The%20Web-Extended%20Mindv6.pdf</t>
  </si>
  <si>
    <t>/ITA_static/images/papers/1880_paper.jpg</t>
  </si>
  <si>
    <t>doc-1890</t>
  </si>
  <si>
    <t>On the Quality and Value of Information in Sensor Networks</t>
  </si>
  <si>
    <t>ACM Transactions on Sensor Networks (TOSN) 9.4 (2013): 48.</t>
  </si>
  <si>
    <t>citation:doc-1890-01</t>
  </si>
  <si>
    <t>/ITA_static/attachments/1890/qoiTutorial_TOSN_FINAL.pdf</t>
  </si>
  <si>
    <t>/ITA_static/images/papers/1890_paper.jpg</t>
  </si>
  <si>
    <t>doc-1542</t>
  </si>
  <si>
    <t>doc-1900</t>
  </si>
  <si>
    <t>Dynamic Enforcement of Knowledge-based Security Policies</t>
  </si>
  <si>
    <t>JCS</t>
  </si>
  <si>
    <t>citation:doc-1900-01</t>
  </si>
  <si>
    <t>/ITA_static/attachments/1900/final_0.pdf</t>
  </si>
  <si>
    <t>/ITA_static/images/papers/1900_paper.jpg</t>
  </si>
  <si>
    <t>doc-1668b</t>
  </si>
  <si>
    <t>doc-1908</t>
  </si>
  <si>
    <t>Enforcing Secure and Privacy-Preserving Information Brokering</t>
  </si>
  <si>
    <t>Information Forensics and Security, IEEE Transactions on 8.6 (2013): 888-900.</t>
  </si>
  <si>
    <t>citation:doc-1908-01</t>
  </si>
  <si>
    <t>/ITA_static/attachments/1908/privacy-info-broker-21Feb2012.pdf</t>
  </si>
  <si>
    <t>/ITA_static/images/papers/1908_paper.jpg</t>
  </si>
  <si>
    <t>doc-1910</t>
  </si>
  <si>
    <t>Entropy and the Complexity of graphs revisited</t>
  </si>
  <si>
    <t>Entropy 2012, 14(3), 559-570</t>
  </si>
  <si>
    <t>citation:doc-1910-01</t>
  </si>
  <si>
    <t>/ITA_static/attachments/1910/Entropy-14732-original.pdf</t>
  </si>
  <si>
    <t>/ITA_static/images/papers/1910_paper.jpg</t>
  </si>
  <si>
    <t>doc-1923</t>
  </si>
  <si>
    <t>On Managing Quality of Experience of Multiple Video Streams in Wireless Networks</t>
  </si>
  <si>
    <t>Mobile Computing, IEEE Transactions on, 14(3), 619-631</t>
  </si>
  <si>
    <t>citation:doc-1923-01</t>
  </si>
  <si>
    <t>/ITA_static/attachments/1923/1569486767_anand_ibm.pdf</t>
  </si>
  <si>
    <t>/ITA_static/images/papers/1923_paper.jpg</t>
  </si>
  <si>
    <t>doc-1996</t>
  </si>
  <si>
    <t>Energy-Efficient Location Services for Mobile Ad Hoc Networks</t>
  </si>
  <si>
    <t>Ad Hoc Networks 11.1 (2013): 273-287.</t>
  </si>
  <si>
    <t>Q25</t>
  </si>
  <si>
    <t>citation:doc-1996-01</t>
  </si>
  <si>
    <t>/ITA_static/attachments/1996/adn.12.pdf</t>
  </si>
  <si>
    <t>/ITA_static/images/papers/1996_paper.jpg</t>
  </si>
  <si>
    <t>doc-972</t>
  </si>
  <si>
    <t>doc-2001</t>
  </si>
  <si>
    <t>Collective Sensemaking and Military Coalitions</t>
  </si>
  <si>
    <t>IEEE Intelligent Systems</t>
  </si>
  <si>
    <t>Q26</t>
  </si>
  <si>
    <t>citation:doc-2001-01</t>
  </si>
  <si>
    <t>/ITA_static/attachments/2001/IEEE_IS_Collective%20Sensemakingv5.pdf</t>
  </si>
  <si>
    <t>/ITA_static/images/papers/2001_paper.jpg</t>
  </si>
  <si>
    <t>doc-2006</t>
  </si>
  <si>
    <t>Agilely Assigning Sensing Assets to Mission Tasks in a Coalition Context</t>
  </si>
  <si>
    <t>citation:doc-2006-01</t>
  </si>
  <si>
    <t>/ITA_static/attachments/2006/2006.pdf</t>
  </si>
  <si>
    <t>/ITA_static/images/papers/2006_paper.jpg</t>
  </si>
  <si>
    <t>doc-2029</t>
  </si>
  <si>
    <t>Exploiting Friendship Relations for Efficient Routing in Mobile Social Networks</t>
  </si>
  <si>
    <t>IEEE Trans. Parallel and Distributed Systemes</t>
  </si>
  <si>
    <t>citation:doc-2029-01</t>
  </si>
  <si>
    <t>/ITA_static/attachments/2029/tpds.12_0.pdf</t>
  </si>
  <si>
    <t>/ITA_static/images/papers/2029_paper.jpg</t>
  </si>
  <si>
    <t>doc-2030</t>
  </si>
  <si>
    <t>Market Mechanisms for Resource Allocation in Pervasive Sensor Applications</t>
  </si>
  <si>
    <t>Pervasive and Mobile Computing</t>
  </si>
  <si>
    <t>citation:doc-2030-01</t>
  </si>
  <si>
    <t>/ITA_static/attachments/2030/pmc.12.pdf</t>
  </si>
  <si>
    <t>/ITA_static/images/papers/2030_paper.jpg</t>
  </si>
  <si>
    <t>doc-2050</t>
  </si>
  <si>
    <t>On the Complexity of the BKW Algorithm on LWE</t>
  </si>
  <si>
    <t>Design Codes Cryptography</t>
  </si>
  <si>
    <t>Q29</t>
  </si>
  <si>
    <t>citation:doc-2050-01</t>
  </si>
  <si>
    <t>/ITA_static/attachments/2050/bkw_on_lwe.pdf</t>
  </si>
  <si>
    <t>/ITA_static/images/papers/2050_paper.jpg</t>
  </si>
  <si>
    <t>doc-2058</t>
  </si>
  <si>
    <t>Efficient Algorithms for Neighbor Discovery in Wireless Networks</t>
  </si>
  <si>
    <t>to appear IEEE/ACM Transactions on Networking</t>
  </si>
  <si>
    <t>citation:doc-2058-01</t>
  </si>
  <si>
    <t>/ITA_static/attachments/2058/ToN-final_0.pdf</t>
  </si>
  <si>
    <t>/ITA_static/images/papers/2058_paper.jpg</t>
  </si>
  <si>
    <t>doc-2126</t>
  </si>
  <si>
    <t>Improving Coalition Planning by Making Plans Alive</t>
  </si>
  <si>
    <t>citation:doc-2126-01</t>
  </si>
  <si>
    <t>/ITA_static/attachments/2126/ISSI-2012-04-0047_Revision_Final.pdf</t>
  </si>
  <si>
    <t>/ITA_static/images/papers/2126_paper.jpg</t>
  </si>
  <si>
    <t>doc-2139</t>
  </si>
  <si>
    <t>Enforcing Secure and Privacy-Preserving Information Brokering in Distributed Information Sharing</t>
  </si>
  <si>
    <t>citation:doc-2139-01</t>
  </si>
  <si>
    <t>/ITA_static/attachments/2139/tifs-double-broker-li-liu.pdf</t>
  </si>
  <si>
    <t>/ITA_static/images/papers/2139_paper.jpg</t>
  </si>
  <si>
    <t>doc-2170</t>
  </si>
  <si>
    <t>A Hybrid Reasoning Mechanism for Effective Sensor Selection for Tasks</t>
  </si>
  <si>
    <t>Engineering Applications of Artificial Intelligence 26.2 (2013): 873-887.</t>
  </si>
  <si>
    <t>citation:doc-2170-01</t>
  </si>
  <si>
    <t>/ITA_static/attachments/2170/2012.12.eaai_.v5.pdf</t>
  </si>
  <si>
    <t>/ITA_static/images/papers/2170_paper.jpg</t>
  </si>
  <si>
    <t>doc-2176</t>
  </si>
  <si>
    <t>Towards Practical ABox Abduction in Large Description Logic Ontologies</t>
  </si>
  <si>
    <t>International Journal of Semantic Web and Information Systems</t>
  </si>
  <si>
    <t>citation:doc-2176-01</t>
  </si>
  <si>
    <t>/ITA_static/attachments/2176/abduction-all.pdf</t>
  </si>
  <si>
    <t>/ITA_static/images/papers/2176_paper.jpg</t>
  </si>
  <si>
    <t>doc-2181</t>
  </si>
  <si>
    <t>Energy Efficiency of Cooperative Jamming Strategies in Secure Wireless Networks</t>
  </si>
  <si>
    <t>IEEE Transactions on Wireless Communications</t>
  </si>
  <si>
    <t>citation:doc-2181-01</t>
  </si>
  <si>
    <t>/ITA_static/attachments/2181/TWireless_mostafa.pdf</t>
  </si>
  <si>
    <t>/ITA_static/images/papers/2181_paper.jpg</t>
  </si>
  <si>
    <t>doc-2182</t>
  </si>
  <si>
    <t>Signal-Flow-Based Analysis of Wireless Security Protocols</t>
  </si>
  <si>
    <t>Information and Computation: Special Issue on Information Security as a Resource</t>
  </si>
  <si>
    <t>citation:doc-2182-01</t>
  </si>
  <si>
    <t>/ITA_static/attachments/2182/IandCsubmitted.pdf</t>
  </si>
  <si>
    <t>/ITA_static/images/papers/2182_paper.jpg</t>
  </si>
  <si>
    <t>doc-2183</t>
  </si>
  <si>
    <t>Broadcast Analysis for Extended Cooperative Wireless Networks</t>
  </si>
  <si>
    <t>IEEE Transactions on Information Theory</t>
  </si>
  <si>
    <t>citation:doc-2183-01</t>
  </si>
  <si>
    <t>/ITA_static/attachments/2183/connectivity_it_v3-2.pdf</t>
  </si>
  <si>
    <t>/ITA_static/images/papers/2183_paper.jpg</t>
  </si>
  <si>
    <t>doc-2242</t>
  </si>
  <si>
    <t>Prognostic Normative Reasoning</t>
  </si>
  <si>
    <t>Engineering Applications of Artificial Intelligence</t>
  </si>
  <si>
    <t>citation:doc-2242-01</t>
  </si>
  <si>
    <t>/ITA_static/attachments/2242/eaai-antipa-pol-main_0.pdf</t>
  </si>
  <si>
    <t>/ITA_static/images/papers/2242_paper.jpg</t>
  </si>
  <si>
    <t>doc-2248</t>
  </si>
  <si>
    <t>Outsider-Anonymous Broadcast Encryption with Sublinear Ciphertexts</t>
  </si>
  <si>
    <t>Public Key Cryptography–PKC 2012. Springer Berlin Heidelberg, 2012. 225-242.</t>
  </si>
  <si>
    <t>citation:doc-2248-01</t>
  </si>
  <si>
    <t>/ITA_static/attachments/2248/FaPe12-JoC.pdf</t>
  </si>
  <si>
    <t>/ITA_static/images/papers/2248_paper.jpg</t>
  </si>
  <si>
    <t>doc-1941</t>
  </si>
  <si>
    <t>doc-2249</t>
  </si>
  <si>
    <t>Limits of Reliable Communication with Low Probability of Detection on AWGN Channels</t>
  </si>
  <si>
    <t>IEEE Journal on Selected Areas in Communications: Special Issue on Signal Processing Techniques for Wireless Physical Layer Security</t>
  </si>
  <si>
    <t>citation:doc-2249-01</t>
  </si>
  <si>
    <t>/ITA_static/attachments/2249/boulat_jsac.pdf</t>
  </si>
  <si>
    <t>/ITA_static/images/papers/2249_paper.jpg</t>
  </si>
  <si>
    <t>doc-2284</t>
  </si>
  <si>
    <t>Asymptotic Optimality of Equal Power Allocation for Linear Estimation of WSS Random Processes</t>
  </si>
  <si>
    <t>IEEE Wireless Communicatoin Letters</t>
  </si>
  <si>
    <t>citation:doc-2284-01</t>
  </si>
  <si>
    <t>/ITA_static/attachments/2284/Bash_wcl2012-0908_doublecolumn.pdf</t>
  </si>
  <si>
    <t>/ITA_static/images/papers/2284_paper.jpg</t>
  </si>
  <si>
    <t>doc-2295</t>
  </si>
  <si>
    <t>The discrimination power of structural superindices</t>
  </si>
  <si>
    <t>PloS one 8.7 (2013): e70551.</t>
  </si>
  <si>
    <t>citation:doc-2295-01</t>
  </si>
  <si>
    <t>/ITA_static/attachments/2295/dehmer-am1.pdf</t>
  </si>
  <si>
    <t>/ITA_static/images/papers/2295_paper.jpg</t>
  </si>
  <si>
    <t>doc-2325</t>
  </si>
  <si>
    <t>Constructing Limited Scale-Free Topologies Over Peer-to-Peer Networks</t>
  </si>
  <si>
    <t>IEEE Trans. Parallel and Distributed Systems</t>
  </si>
  <si>
    <t>Q28</t>
  </si>
  <si>
    <t>citation:doc-2325-01</t>
  </si>
  <si>
    <t>/ITA_static/attachments/2325/tpds2013.pdf</t>
  </si>
  <si>
    <t>/ITA_static/images/papers/2325_paper.jpg</t>
  </si>
  <si>
    <t>doc-2357</t>
  </si>
  <si>
    <t>An Efficient Heuristic Approach to Detecting Graph Isomorphism Based on Combinations of Highly Discriminating Invariants</t>
  </si>
  <si>
    <t>Advances in Computational Mathematics 2013</t>
  </si>
  <si>
    <t>citation:doc-2357-01</t>
  </si>
  <si>
    <t>/ITA_static/attachments/2357/dehmer_0.pdf</t>
  </si>
  <si>
    <t>/ITA_static/images/papers/2357_paper.jpg</t>
  </si>
  <si>
    <t>doc-2358</t>
  </si>
  <si>
    <t>Is Information-Centric Multi-Tree Routing Feasible?</t>
  </si>
  <si>
    <t>ACM SIGCOMM Computer Communication Review (Vol. 43, No. 4, pp. 3-8). ACM</t>
  </si>
  <si>
    <t>citation:doc-2358-01</t>
  </si>
  <si>
    <t>/ITA_static/attachments/2358/main_19.pdf</t>
  </si>
  <si>
    <t>/ITA_static/images/papers/2358_paper.jpg</t>
  </si>
  <si>
    <t>doc-2367</t>
  </si>
  <si>
    <t>A Declarative Approach to Distributed Computing: Specification, Execution and Analysis</t>
  </si>
  <si>
    <t>Theory and Practice of Logic Programming 13.4-5 (2013): 815-830.</t>
  </si>
  <si>
    <t>citation:doc-2367-01</t>
  </si>
  <si>
    <t>/ITA_static/attachments/2367/iclp13.pdf</t>
  </si>
  <si>
    <t>/ITA_static/images/papers/2367_paper.jpg</t>
  </si>
  <si>
    <t>doc-2369</t>
  </si>
  <si>
    <t>Rewards, Costs and Flexibility in Dynamic Resource Allocation: A Stochastic Optimal Control Approach</t>
  </si>
  <si>
    <t>ACM SIGMETRICS Performance Evaluation Review, 41(3), 61-63</t>
  </si>
  <si>
    <t>citation:doc-2369-01</t>
  </si>
  <si>
    <t>/ITA_static/attachments/2369/SOC_MAMA_ITA.pdf</t>
  </si>
  <si>
    <t>/ITA_static/images/papers/2369_paper.jpg</t>
  </si>
  <si>
    <t>doc-2370</t>
  </si>
  <si>
    <t>Stochastic Optimal Control for a Class of General Dynamic Resource Allocation Problems</t>
  </si>
  <si>
    <t>Performance Evaluation Review</t>
  </si>
  <si>
    <t>citation:doc-2370-01</t>
  </si>
  <si>
    <t>/ITA_static/attachments/2370/SOC_ITA_0.pdf</t>
  </si>
  <si>
    <t>/ITA_static/images/papers/2370_paper.jpg</t>
  </si>
  <si>
    <t>doc-2496</t>
  </si>
  <si>
    <t>Inference Management, Trust and Obfuscation Principles for Quality of Information in Emerging Pervasive Environments</t>
  </si>
  <si>
    <t>Pervasive and Mobile Computing (Vol. 11, pp. 168-187, 2014)</t>
  </si>
  <si>
    <t>citation:doc-2496-01</t>
  </si>
  <si>
    <t>/ITA_static/attachments/2496/trustObfuscation_PMC.pdf</t>
  </si>
  <si>
    <t>/ITA_static/images/papers/2496_paper.jpg</t>
  </si>
  <si>
    <t>doc-2502a</t>
  </si>
  <si>
    <t>Authenticated Data Structures, Generically</t>
  </si>
  <si>
    <t>ACM SIGPLAN Notices (Vol. 49, No. 1, pp. 411-423). ACM</t>
  </si>
  <si>
    <t>citation:doc-2502a-01</t>
  </si>
  <si>
    <t>/ITA_static/attachments/2502/gpads.pdf</t>
  </si>
  <si>
    <t>/ITA_static/images/papers/2502_paper.jpg</t>
  </si>
  <si>
    <t>doc-2502b</t>
  </si>
  <si>
    <t>doc-2559</t>
  </si>
  <si>
    <t>Subjective Logic Operators in Trust Assessment: an Empirical Study</t>
  </si>
  <si>
    <t>Information Systems Frontiers Journal</t>
  </si>
  <si>
    <t>Q32</t>
  </si>
  <si>
    <t>citation:doc-2559-01</t>
  </si>
  <si>
    <t>/ITA_static/attachments/2559/Cerutti-etal-CR.pdf</t>
  </si>
  <si>
    <t>/ITA_static/images/papers/2559_paper.jpg</t>
  </si>
  <si>
    <t>doc-2560a</t>
  </si>
  <si>
    <t>Reasoning about the Impacts of Information Sharing</t>
  </si>
  <si>
    <t>Information Systems Frontiers 17.4 (2015): 725-742.</t>
  </si>
  <si>
    <t>citation:doc-2560a-01</t>
  </si>
  <si>
    <t>/ITA_static/attachments/2560/BTCO-trust-risk_0.pdf</t>
  </si>
  <si>
    <t>/ITA_static/images/papers/2560_paper.jpg</t>
  </si>
  <si>
    <t>doc-2625</t>
  </si>
  <si>
    <t>Cross-cloud MapReduce: A Result Integrity Check Framework on Hybrid Clouds</t>
  </si>
  <si>
    <t>Intl Journal of Cloud Computing (IJCC)</t>
  </si>
  <si>
    <t>Q31</t>
  </si>
  <si>
    <t>citation:doc-2625-01</t>
  </si>
  <si>
    <t>/ITA_static/attachments/2625/IJCC-CCMR-5416atCloud2013.pdf</t>
  </si>
  <si>
    <t>/ITA_static/images/papers/2625_paper.jpg</t>
  </si>
  <si>
    <t>citation:doc-2630-01</t>
  </si>
  <si>
    <t>/ITA_static/attachments/2630/p75-preece.pdf</t>
  </si>
  <si>
    <t>/ITA_static/images/papers/2630_paper.jpg</t>
  </si>
  <si>
    <t>doc-2639</t>
  </si>
  <si>
    <t>Adaptive Algorithms for Diagnosing Large-Scale Failures in Computer Networks</t>
  </si>
  <si>
    <t>IEEE Transactions on Parallel and Distributed Systems</t>
  </si>
  <si>
    <t>citation:doc-2639-01</t>
  </si>
  <si>
    <t>/ITA_static/attachments/2639/tpds_main_minor.pdf</t>
  </si>
  <si>
    <t>/ITA_static/images/papers/2639_paper.jpg</t>
  </si>
  <si>
    <t>doc-1902</t>
  </si>
  <si>
    <t>doc-2717</t>
  </si>
  <si>
    <t>Multi-source Multipath HTTP (mHTTP): A Proposal</t>
  </si>
  <si>
    <t>ACM SIGMETRICS Performance Evaluation Review, 42(1), 583-584</t>
  </si>
  <si>
    <t>citation:doc-2717-01</t>
  </si>
  <si>
    <t>/ITA_static/attachments/2717/1310.2748.pdf</t>
  </si>
  <si>
    <t>/ITA_static/images/papers/2717_paper.jpg</t>
  </si>
  <si>
    <t>doc-2723</t>
  </si>
  <si>
    <t>Towards Relevancy Aware Service Oriented Systems in WSNs</t>
  </si>
  <si>
    <t>Services Computing, IEEE Transactions on (Vol 7, Issue 4, 2014)</t>
  </si>
  <si>
    <t>Q33</t>
  </si>
  <si>
    <t>citation:doc-2723-01</t>
  </si>
  <si>
    <t>/ITA_static/attachments/2723/TSC-2014-03-0061.R2-main-v5.pdf</t>
  </si>
  <si>
    <t>/ITA_static/images/papers/2723_paper.jpg</t>
  </si>
  <si>
    <t>doc-2764b</t>
  </si>
  <si>
    <t>Reasoning with Streamed Uncertain Information from Unreliale Resources</t>
  </si>
  <si>
    <t>Expert Systems with Applications 42.22 (2015): 8381-8392.</t>
  </si>
  <si>
    <t>Q34</t>
  </si>
  <si>
    <t>citation:doc-2764b-01</t>
  </si>
  <si>
    <t>/ITA_static/attachments/2764/fusion_journal.pdf</t>
  </si>
  <si>
    <t>/ITA_static/images/papers/2764_paper.jpg</t>
  </si>
  <si>
    <t>doc-2765b</t>
  </si>
  <si>
    <t>A review paper on Preserving Privacy in Mobile Environments</t>
  </si>
  <si>
    <t>Journal of Network and Computer Applications 53 (2015): 74-90.</t>
  </si>
  <si>
    <t>citation:doc-2765b-01</t>
  </si>
  <si>
    <t>/ITA_static/attachments/2765/A%20review%20paper%20on%20preserving%20privacy.pdf</t>
  </si>
  <si>
    <t>/ITA_static/images/papers/2765_paper.jpg</t>
  </si>
  <si>
    <t>doc-2843</t>
  </si>
  <si>
    <t>Enforcement of Autonomous Authorizations in Collaborative Distributed Query Evaluation</t>
  </si>
  <si>
    <t>IEEE Transactions on Data and Knowledge Engineering</t>
  </si>
  <si>
    <t>citation:doc-2843-01</t>
  </si>
  <si>
    <t>/ITA_static/attachments/2843/tkde_Secure_final_version.pdf</t>
  </si>
  <si>
    <t>/ITA_static/images/papers/2843_paper.jpg</t>
  </si>
  <si>
    <t>doc-2905</t>
  </si>
  <si>
    <t>Online Workload Placement with Provable Performance Guarantees in Cloud Environments</t>
  </si>
  <si>
    <t>Q35</t>
  </si>
  <si>
    <t>citation:doc-2905-01</t>
  </si>
  <si>
    <t>doc-2914</t>
  </si>
  <si>
    <t>Declarative Framework for Specification, Simulation and Analysis of Distributed Applications</t>
  </si>
  <si>
    <t>IEEE Transactions on Knowledge and Data Engineering</t>
  </si>
  <si>
    <t>citation:doc-2914-01</t>
  </si>
  <si>
    <t>/ITA_static/attachments/2914/main_44.pdf</t>
  </si>
  <si>
    <t>/ITA_static/images/papers/2914_paper.jpg</t>
  </si>
  <si>
    <t>doc-2916</t>
  </si>
  <si>
    <t>Partial Observable Update for Subjective Logic and Its Application for Trust Estimation</t>
  </si>
  <si>
    <t>Information Fusion</t>
  </si>
  <si>
    <t>citation:doc-2916-01</t>
  </si>
  <si>
    <t>/ITA_static/attachments/2916/fusionJournal-rev2.pdf</t>
  </si>
  <si>
    <t>/ITA_static/images/papers/2916_paper.jpg</t>
  </si>
  <si>
    <t>doc-x0006</t>
  </si>
  <si>
    <t>Dynamic Service Migration and Workload Scheduling in Edge-Clouds</t>
  </si>
  <si>
    <t>Elsevier Journal of Performance Evaluation, Vol 91 Issue C, pages 205-228, September 2015</t>
  </si>
  <si>
    <t>citation:doc-x0006-01</t>
  </si>
  <si>
    <t>/ITA_static/attachments/x0006/RahulEtal15AFM_long.pdf</t>
  </si>
  <si>
    <t>/ITA_static/images/papers/x0006_paper.jpg</t>
  </si>
  <si>
    <t>doc-x0009</t>
  </si>
  <si>
    <t>Network Capability in Localizing Node Failures via End-to-end Path Measurements</t>
  </si>
  <si>
    <t>IEEE/ACM Transactions on Networking, May 2015, revised Dec 2015</t>
  </si>
  <si>
    <t>citation:doc-x0009-01</t>
  </si>
  <si>
    <t>/ITA_static/attachments/x0009/1509.06333.pdf</t>
  </si>
  <si>
    <t>/ITA_static/images/papers/x0009_paper.jpg</t>
  </si>
  <si>
    <t>We investigate the capability of localizing node failures in communication networks from binary states (normal/failed) of end-to-end paths. Given a set of nodes of interest, uniquely localizing failures within this set requires that different observable path states associate with different node failure events. However, this condition is difficult to test on large network s due to the need to enumerate all possible node failures. Our first contribution is a set of sufficient/necessary conditions for identifying a bounded number of failures within an arbitrar y node set that can be tested in polynomial time. In addition to network topology and locations of monitors, our conditions also incorporate constraints imposed by the probing mechanism used. We consider three probing mechanisms that differ according to whether measurement paths are (i) arbitrarily controllable, (ii) controllable but cycle-free, or (iii) uncontrollable (determined by the default routing protocol). Our second contribution i s to quantify the capability of failure localization through (1) the maximum number of failures (anywhere in the network) such that failures within a given node set can be uniquely localized, and (2) the largest node set within which failure s can be uniquely localized under a given bound on the total number of failures. Both measures in (1–2) can be converted into functions of a per-node property, which can be computed efficiently based on the above sufficient/necessary conditions. We demonstrate how measures (1–2) proposed for quantifying failure localization capability can be used to evaluate the impact o f various parameters, including topology, number of monitors, and probing mechanisms.</t>
  </si>
  <si>
    <t>doc-x0010</t>
  </si>
  <si>
    <t>Inferring Link Metrics from End-to-End Path Measurements: Identifiability and Monitor Placement</t>
  </si>
  <si>
    <t>IEEE/ACM Transactions on Networking, 22(4), 1351-1368</t>
  </si>
  <si>
    <t>citation:doc-x0010-01</t>
  </si>
  <si>
    <t>/ITA_static/attachments/x0010/x0010.pdf</t>
  </si>
  <si>
    <t>/ITA_static/images/papers/x0010_paper.jpg</t>
  </si>
  <si>
    <t>doc-x0022</t>
  </si>
  <si>
    <t>Aggregating Crowdsourced Quantitative Claims: Additive and Multiplicative Models</t>
  </si>
  <si>
    <t>IEEE Trans. on Knowledge and Data Engineering</t>
  </si>
  <si>
    <t>citation:doc-x0022-01</t>
  </si>
  <si>
    <t>/ITA_static/attachments/x0022/main_qtf_v2.pdf</t>
  </si>
  <si>
    <t>/ITA_static/images/papers/x0022_paper.jpg</t>
  </si>
  <si>
    <t>doc-x0023</t>
  </si>
  <si>
    <t>A new paradigm in International Collaboration: The US-UK International Technology Alliance in Network and Information Sciences</t>
  </si>
  <si>
    <t>RUSI Defence Systems</t>
  </si>
  <si>
    <t>citation:doc-x0023-01</t>
  </si>
  <si>
    <t>/ITA_static/attachments/x0023/RUSI_A_New_Paradigm_in_International_Collaboration.pdf</t>
  </si>
  <si>
    <t>/ITA_static/images/papers/x0023_paper.jpg</t>
  </si>
  <si>
    <t>doc-x0024</t>
  </si>
  <si>
    <t>You Can't Get There From Here: Sensor Scheduling with Refocusing Delays</t>
  </si>
  <si>
    <t>Wireless Networks, vol. 21, no. 8, pp. 1683-1698, Jul 2015</t>
  </si>
  <si>
    <t>citation:doc-x0024-01</t>
  </si>
  <si>
    <t>/ITA_static/attachments/x0024/Winet2015-Alayev.pdf</t>
  </si>
  <si>
    <t>/ITA_static/images/papers/x0024_paper.jpg</t>
  </si>
  <si>
    <t>doc-937</t>
  </si>
  <si>
    <t>doc-x0029</t>
  </si>
  <si>
    <t>Knowledge Management for Coalition Information Sharing at the Network Edge</t>
  </si>
  <si>
    <t>IEEE intelligent systems, 28(1), 26-33</t>
  </si>
  <si>
    <t>citation:doc-x0029-01</t>
  </si>
  <si>
    <t>/ITA_static/images/papers/not_available.jpg</t>
  </si>
  <si>
    <t>doc-x0032</t>
  </si>
  <si>
    <t>Sensor-mission assignment in constrained environments</t>
  </si>
  <si>
    <t>Parallel and Distributed Systems, IEEE Transactions on, 21(11), 1692-1705</t>
  </si>
  <si>
    <t>citation:doc-x0032-01</t>
  </si>
  <si>
    <t>/ITA_static/attachments/x0032/x0032.pdf</t>
  </si>
  <si>
    <t>/ITA_static/images/papers/x0032_paper.jpg</t>
  </si>
  <si>
    <t>Wireless Communications, IEEE Transactions on 8.1 (2009): 118-123</t>
  </si>
  <si>
    <t>citation:doc-x0033-01</t>
  </si>
  <si>
    <t>/ITA_static/attachments/x0033/cma_af.pdf</t>
  </si>
  <si>
    <t>/ITA_static/images/papers/x0033_paper.jpg</t>
  </si>
  <si>
    <t>doc-x0041</t>
  </si>
  <si>
    <t>Efficient solutions framework for optimal multitask resource assignments for data fusion in wireless sensor networks</t>
  </si>
  <si>
    <t>ACM Transactions on Sensor Networks (TOSN), 2014.</t>
  </si>
  <si>
    <t>citation:doc-x0041-01</t>
  </si>
  <si>
    <t>doc-x0075</t>
  </si>
  <si>
    <t>Utility-based Bandwidth Adaptation in Mission-Oriented Wireless Sensor Networks</t>
  </si>
  <si>
    <t>ACM Transactions on Sensor Networks, vol. 8, no. 2, New York, NY, USA, 03-Mar-2012.</t>
  </si>
  <si>
    <t>citation:doc-x0075-01</t>
  </si>
  <si>
    <t>/ITA_static/attachments/x0075/x0075.pdf</t>
  </si>
  <si>
    <t>/ITA_static/images/papers/x0075_paper.jpg</t>
  </si>
  <si>
    <t>doc-x0197</t>
  </si>
  <si>
    <t>4GM@ 4GW: Implementing 4G in the Military Mobile Ad-Hoc Network Environment</t>
  </si>
  <si>
    <t>IJCSNS, 7(4), 70.</t>
  </si>
  <si>
    <t>citation:doc-x0197-01</t>
  </si>
  <si>
    <t>/ITA_static/attachments/x0197/x0197.pdf</t>
  </si>
  <si>
    <t>/ITA_static/images/papers/x0197_paper.jpg</t>
  </si>
  <si>
    <t>doc-x0198</t>
  </si>
  <si>
    <t>A cluster based approach toward sensor localization and K-coverage problems</t>
  </si>
  <si>
    <t>Ubiquitous Computing and Communication Journal, 2(4), 15-23</t>
  </si>
  <si>
    <t>citation:doc-x0198-01</t>
  </si>
  <si>
    <t>/ITA_static/attachments/x0198/x0198.pdf</t>
  </si>
  <si>
    <t>/ITA_static/images/papers/x0198_paper.jpg</t>
  </si>
  <si>
    <t>doc-x0199</t>
  </si>
  <si>
    <t>A guide to trust in mobile ad hoc networks</t>
  </si>
  <si>
    <t>Security and Communication Networks, 3(6), 503-516</t>
  </si>
  <si>
    <t>citation:doc-x0199-01</t>
  </si>
  <si>
    <t>/ITA_static/attachments/x0199/x0199.pdf</t>
  </si>
  <si>
    <t>/ITA_static/images/papers/x0199_paper.jpg</t>
  </si>
  <si>
    <t>doc-x0200</t>
  </si>
  <si>
    <t>A survey of uncertain data algorithms and applications</t>
  </si>
  <si>
    <t>IEEE Transactions on, 21(5), 609-623</t>
  </si>
  <si>
    <t>citation:doc-x0200-01</t>
  </si>
  <si>
    <t>/ITA_static/attachments/x0200/x0200.pdf</t>
  </si>
  <si>
    <t>/ITA_static/images/papers/x0200_paper.jpg</t>
  </si>
  <si>
    <t>doc-x0201</t>
  </si>
  <si>
    <t>ASR: anonymous and secure reporting of traffic forwarding activity in mobile ad hoc networks</t>
  </si>
  <si>
    <t>Wireless Networks, 15(4), 525-539</t>
  </si>
  <si>
    <t>citation:doc-x0201-01</t>
  </si>
  <si>
    <t>/ITA_static/attachments/x0201/x0201.pdf</t>
  </si>
  <si>
    <t>/ITA_static/images/papers/x0201_paper.jpg</t>
  </si>
  <si>
    <t>doc-x0202</t>
  </si>
  <si>
    <t>Authenticated broadcast with a partially compromised public-key infrastructure</t>
  </si>
  <si>
    <t>Information and Computation, 234, 17-25</t>
  </si>
  <si>
    <t>citation:doc-x0202-01</t>
  </si>
  <si>
    <t>/ITA_static/attachments/x0202/x0202.pdf</t>
  </si>
  <si>
    <t>/ITA_static/images/papers/x0202_paper.jpg</t>
  </si>
  <si>
    <t>doc-x0112</t>
  </si>
  <si>
    <t>doc-x0203</t>
  </si>
  <si>
    <t>Computing with time: from neural networks to sensor networks</t>
  </si>
  <si>
    <t>The Computer Journal, 51(4), 511-522</t>
  </si>
  <si>
    <t>citation:doc-x0203-01</t>
  </si>
  <si>
    <t>/ITA_static/attachments/x0203/x0203.pdf</t>
  </si>
  <si>
    <t>/ITA_static/images/papers/x0203_paper.jpg</t>
  </si>
  <si>
    <t>doc-x0204</t>
  </si>
  <si>
    <t>Constrained-path labellings on graphs of bounded clique-width</t>
  </si>
  <si>
    <t>Theory of Computing Systems, 47(2), 531-567</t>
  </si>
  <si>
    <t>citation:doc-x0204-01</t>
  </si>
  <si>
    <t>/ITA_static/attachments/x0204/x0204.pdf</t>
  </si>
  <si>
    <t>/ITA_static/images/papers/x0204_paper.jpg</t>
  </si>
  <si>
    <t>doc-x0205</t>
  </si>
  <si>
    <t>CORA: Collaborative Opportunistic Recovery Algorithm for loss controlled, delay bounded ad hoc multicast</t>
  </si>
  <si>
    <t>Computer Communications, 31(15), 3672-3682</t>
  </si>
  <si>
    <t>citation:doc-x0205-01</t>
  </si>
  <si>
    <t>/ITA_static/attachments/x0205/x0205.pdf</t>
  </si>
  <si>
    <t>/ITA_static/images/papers/x0205_paper.jpg</t>
  </si>
  <si>
    <t>doc-x0206</t>
  </si>
  <si>
    <t>Dissemination and harvesting of urban data using vehicular sensing platforms</t>
  </si>
  <si>
    <t>Vehicular Technology, IEEE Transactions on, 58(2), 882-901</t>
  </si>
  <si>
    <t>citation:doc-x0206-01</t>
  </si>
  <si>
    <t>/ITA_static/attachments/x0206/x0206.pdf</t>
  </si>
  <si>
    <t>/ITA_static/images/papers/x0206_paper.jpg</t>
  </si>
  <si>
    <t>doc-x0207</t>
  </si>
  <si>
    <t>Distributed energy-efficient target tracking with binary sensor networks</t>
  </si>
  <si>
    <t>ACM Transactions on Sensor Networks (TOSN), 6(4), 32</t>
  </si>
  <si>
    <t>citation:doc-x0207-01</t>
  </si>
  <si>
    <t>/ITA_static/attachments/x0207/x0207.pdf</t>
  </si>
  <si>
    <t>/ITA_static/images/papers/x0207_paper.jpg</t>
  </si>
  <si>
    <t>doc-x0209</t>
  </si>
  <si>
    <t>Exploiting manufacturing variations for compensating environment-induced clock drift in time synchronization</t>
  </si>
  <si>
    <t>ACM SIGMETRICS Performance Evaluation Review, 36(1), 97-108</t>
  </si>
  <si>
    <t>citation:doc-x0209-01</t>
  </si>
  <si>
    <t>/ITA_static/attachments/x0209/x0209.pdf</t>
  </si>
  <si>
    <t>/ITA_static/images/papers/x0209_paper.jpg</t>
  </si>
  <si>
    <t>doc-x0210</t>
  </si>
  <si>
    <t>FleaNet: A virtual market place on vehicular networks</t>
  </si>
  <si>
    <t>Vehicular Technology, IEEE Transactions on, 59(1), 344-355.</t>
  </si>
  <si>
    <t>citation:doc-x0210-01</t>
  </si>
  <si>
    <t>/ITA_static/attachments/x0210/x0210.pdf</t>
  </si>
  <si>
    <t>/ITA_static/images/papers/x0210_paper.jpg</t>
  </si>
  <si>
    <t>doc-x0211</t>
  </si>
  <si>
    <t>GeoDTN+ Nav: geographic DTN routing with navigator prediction for urban vehicular environments</t>
  </si>
  <si>
    <t>Mobile Networks and Applications, 15(1), 61-82</t>
  </si>
  <si>
    <t>citation:doc-x0211-01</t>
  </si>
  <si>
    <t>/ITA_static/attachments/x0211/x0211.pdf</t>
  </si>
  <si>
    <t>/ITA_static/images/papers/x0211_paper.jpg</t>
  </si>
  <si>
    <t>doc-x0212</t>
  </si>
  <si>
    <t>Identity crisis: on the problem of namespace design for ID-PKC and MANETs</t>
  </si>
  <si>
    <t>Security and Communication Networks, 3(6), 535-545</t>
  </si>
  <si>
    <t>citation:doc-x0212-01</t>
  </si>
  <si>
    <t>/ITA_static/attachments/x0212/x0212.pdf</t>
  </si>
  <si>
    <t>/ITA_static/images/papers/x0212_paper.jpg</t>
  </si>
  <si>
    <t>doc-1584</t>
  </si>
  <si>
    <t>doc-x0213</t>
  </si>
  <si>
    <t>Impact of network coding on system delay for multisource-multidestination scenarios</t>
  </si>
  <si>
    <t>Vehicular Technology, IEEE Transactions on, 59(2), 831-841</t>
  </si>
  <si>
    <t>citation:doc-x0213-01</t>
  </si>
  <si>
    <t>/ITA_static/attachments/x0213/x0213.pdf</t>
  </si>
  <si>
    <t>/ITA_static/images/papers/x0213_paper.jpg</t>
  </si>
  <si>
    <t>doc-x0214</t>
  </si>
  <si>
    <t>Introduction to the Special Issue on Advances in Sensing, Information Processing and Decision Making for Coalition Operations within the US/UK</t>
  </si>
  <si>
    <t>The Computer Journal, 53(5)</t>
  </si>
  <si>
    <t>citation:doc-x0214-01</t>
  </si>
  <si>
    <t>doc-x0215</t>
  </si>
  <si>
    <t>More is more: The benefits of dense sensor deployment.</t>
  </si>
  <si>
    <t>ACM Transactions on Sensor Networks (TOSN) 8, no. 3 (2012): 22</t>
  </si>
  <si>
    <t>citation:doc-x0215-01</t>
  </si>
  <si>
    <t>/ITA_static/attachments/x0215/x0215.pdf</t>
  </si>
  <si>
    <t>/ITA_static/images/papers/x0215_paper.jpg</t>
  </si>
  <si>
    <t>doc-x1031</t>
  </si>
  <si>
    <t>doc-x1030</t>
  </si>
  <si>
    <t>doc-x0216</t>
  </si>
  <si>
    <t>On classification and segmentation of massive audio data streams</t>
  </si>
  <si>
    <t>Knowledge and information systems, 20(2), 137-156</t>
  </si>
  <si>
    <t>citation:doc-x0216-01</t>
  </si>
  <si>
    <t>doc-x0217</t>
  </si>
  <si>
    <t>On the interaction of clocks, power, and synchronization in duty-cycled embedded sensor nodes</t>
  </si>
  <si>
    <t>ACM Transactions on Sensor Networks (TOSN), 7(3), 24</t>
  </si>
  <si>
    <t>citation:doc-x0217-01</t>
  </si>
  <si>
    <t>/ITA_static/attachments/x0217/x0217.pdf</t>
  </si>
  <si>
    <t>/ITA_static/images/papers/x0217_paper.jpg</t>
  </si>
  <si>
    <t>doc-x0220</t>
  </si>
  <si>
    <t>P2P content distribution to mobile bluetooth users</t>
  </si>
  <si>
    <t>Vehicular Technology, IEEE Transactions on, 59(1), 356-367</t>
  </si>
  <si>
    <t>citation:doc-x0220-01</t>
  </si>
  <si>
    <t>/ITA_static/attachments/x0220/x0220.pdf</t>
  </si>
  <si>
    <t>/ITA_static/images/papers/x0220_paper.jpg</t>
  </si>
  <si>
    <t>doc-x0221</t>
  </si>
  <si>
    <t>Secure incentives for commercial ad dissemination in vehicular networks</t>
  </si>
  <si>
    <t>Vehicular Technology, IEEE Transactions on, 61(6), 2715-2728</t>
  </si>
  <si>
    <t>citation:doc-x0221-01</t>
  </si>
  <si>
    <t>/ITA_static/attachments/x0221/x0221.pdf</t>
  </si>
  <si>
    <t>/ITA_static/images/papers/x0221_paper.jpg</t>
  </si>
  <si>
    <t>doc-x0174</t>
  </si>
  <si>
    <t>doc-x0222</t>
  </si>
  <si>
    <t>Secure time synchronization in sensor networks</t>
  </si>
  <si>
    <t>ACM Transactions on Information and System Security (TISSEC), 11(4), 23</t>
  </si>
  <si>
    <t>citation:doc-x0222-01</t>
  </si>
  <si>
    <t>/ITA_static/attachments/x0222/x0222.pdf</t>
  </si>
  <si>
    <t>/ITA_static/images/papers/x0222_paper.jpg</t>
  </si>
  <si>
    <t>doc-x0224</t>
  </si>
  <si>
    <t>Sensor-mission assignment in wireless sensor networks</t>
  </si>
  <si>
    <t>ACM Transactions on Sensor Networks (TOSN), 6(4), 36</t>
  </si>
  <si>
    <t>citation:doc-x0224-01</t>
  </si>
  <si>
    <t>/ITA_static/attachments/x0224/x0224.pdf</t>
  </si>
  <si>
    <t>/ITA_static/images/papers/x0224_paper.jpg</t>
  </si>
  <si>
    <t>doc-x0225</t>
  </si>
  <si>
    <t>Temperature compensated time synchronization</t>
  </si>
  <si>
    <t>Embedded Systems Letters, IEEE, 1(2), 37-41</t>
  </si>
  <si>
    <t>citation:doc-x0225-01</t>
  </si>
  <si>
    <t>/ITA_static/attachments/x0225/x0225.pdf</t>
  </si>
  <si>
    <t>/ITA_static/images/papers/x0225_paper.jpg</t>
  </si>
  <si>
    <t>doc-x0226</t>
  </si>
  <si>
    <t>The Extended Mind and Network-Enabled Cognition</t>
  </si>
  <si>
    <t>citation:doc-x0226-01</t>
  </si>
  <si>
    <t>/ITA_static/attachments/x0226/x0226.pdf</t>
  </si>
  <si>
    <t>/ITA_static/images/papers/x0226_paper.jpg</t>
  </si>
  <si>
    <t>doc-x0227</t>
  </si>
  <si>
    <t>Time-critical underwater sensor diffusion with no proactive exchanges and negligible reactive floods</t>
  </si>
  <si>
    <t>Ad Hoc Networks, 5(6), 943-958</t>
  </si>
  <si>
    <t>citation:doc-x0227-01</t>
  </si>
  <si>
    <t>/ITA_static/attachments/x0227/x0227.pdf</t>
  </si>
  <si>
    <t>/ITA_static/images/papers/x0227_paper.jpg</t>
  </si>
  <si>
    <t>doc-x0228</t>
  </si>
  <si>
    <t>Transmit power estimation using spatially diverse measurements under wireless fading</t>
  </si>
  <si>
    <t>Networking, IEEE/ACM Transactions on, 18(4), 1171-1180</t>
  </si>
  <si>
    <t>citation:doc-x0228-01</t>
  </si>
  <si>
    <t>/ITA_static/attachments/x0228/x0228.pdf</t>
  </si>
  <si>
    <t>/ITA_static/images/papers/x0228_paper.jpg</t>
  </si>
  <si>
    <t>doc-x0229</t>
  </si>
  <si>
    <t>Two-Level ZigBee-4G Design for Secure and Efficient Communications in the Resources Constrained Military Environment</t>
  </si>
  <si>
    <t>IJCSNS, 7(10), 14</t>
  </si>
  <si>
    <t>citation:doc-x0229-01</t>
  </si>
  <si>
    <t>/ITA_static/attachments/x0229/x0229.pdf</t>
  </si>
  <si>
    <t>/ITA_static/images/papers/x0229_paper.jpg</t>
  </si>
  <si>
    <t>doc-x0318</t>
  </si>
  <si>
    <t>A Generic Admission-Control Methodology for Packet Networks</t>
  </si>
  <si>
    <t>Wireless Communications, IEEE Transactions on, 13(2), 604-617</t>
  </si>
  <si>
    <t>citation:doc-x0318-01</t>
  </si>
  <si>
    <t>/ITA_static/attachments/x0318/x0318.pdf</t>
  </si>
  <si>
    <t>/ITA_static/images/papers/x0318_paper.jpg</t>
  </si>
  <si>
    <t>doc-x0321</t>
  </si>
  <si>
    <t>A history of graph entropy measures</t>
  </si>
  <si>
    <t>Information Sciences, 181(1), 57-78.</t>
  </si>
  <si>
    <t>citation:doc-x0321-01</t>
  </si>
  <si>
    <t>doc-x0325</t>
  </si>
  <si>
    <t>A Markovian Model for Coarse Timescale Channel Variation in Wireless Networks</t>
  </si>
  <si>
    <t>IEEE Transactions on Vehicular Technology, Volume:PP, Issue:99</t>
  </si>
  <si>
    <t>citation:doc-x0325-01</t>
  </si>
  <si>
    <t>/ITA_static/attachments/x0325/x0325.pdf</t>
  </si>
  <si>
    <t>/ITA_static/images/papers/x0325_paper.jpg</t>
  </si>
  <si>
    <t>doc-x0332</t>
  </si>
  <si>
    <t>A non-convex distributed optimization framework and its application to wireless ad-hoc networks</t>
  </si>
  <si>
    <t>Wireless Communications, IEEE Transactions on, 12(9), 4286-4296.</t>
  </si>
  <si>
    <t>citation:doc-x0332-01</t>
  </si>
  <si>
    <t>/ITA_static/attachments/x0332/x0332.pdf</t>
  </si>
  <si>
    <t>/ITA_static/images/papers/x0332_paper.jpg</t>
  </si>
  <si>
    <t>doc-x0347</t>
  </si>
  <si>
    <t>Adaptive in-network processing for bandwidth and energy constrained mission-oriented multihop wireless networks</t>
  </si>
  <si>
    <t>Mobile Computing, IEEE Transactions on, 11(9), 1484-1498.</t>
  </si>
  <si>
    <t>citation:doc-x0347-01</t>
  </si>
  <si>
    <t>doc-x0348</t>
  </si>
  <si>
    <t>Adaptive packet prioritisation for large wireless sensor networks</t>
  </si>
  <si>
    <t>Telecommunication Systems, 48(1-2), 125-150.</t>
  </si>
  <si>
    <t>citation:doc-x0348-01</t>
  </si>
  <si>
    <t>doc-x0382</t>
  </si>
  <si>
    <t>Anomaly detection in information streams without prior domain knowledge</t>
  </si>
  <si>
    <t>IBM Journal of Research and Development, 55(5), 11-1.</t>
  </si>
  <si>
    <t>citation:doc-x0382-01</t>
  </si>
  <si>
    <t>/ITA_static/attachments/x0382/x0382.pdf</t>
  </si>
  <si>
    <t>/ITA_static/images/papers/x0382_paper.jpg</t>
  </si>
  <si>
    <t>doc-x0395</t>
  </si>
  <si>
    <t>Artificial noise generation from cooperative relays for everlasting secrecy in two-hop wireless networks</t>
  </si>
  <si>
    <t>Selected Areas in Communications, IEEE Journal on, 29(10), 2067-2076.</t>
  </si>
  <si>
    <t>citation:doc-x0395-01</t>
  </si>
  <si>
    <t>/ITA_static/attachments/x0395/x0395.pdf</t>
  </si>
  <si>
    <t>/ITA_static/images/papers/x0395_paper.jpg</t>
  </si>
  <si>
    <t>doc-x0417</t>
  </si>
  <si>
    <t>Bounds on the moduli of polynomial zeros</t>
  </si>
  <si>
    <t>Applied Mathematics and Computation, 218(8), 4128-4137</t>
  </si>
  <si>
    <t>citation:doc-x0417-01</t>
  </si>
  <si>
    <t>/ITA_static/attachments/x0417/x0417.pdf</t>
  </si>
  <si>
    <t>/ITA_static/images/papers/x0417_paper.jpg</t>
  </si>
  <si>
    <t>doc-x0420</t>
  </si>
  <si>
    <t>Broadcasting Info-Pages to Sensors: Efficiency vs. Energy Conservation</t>
  </si>
  <si>
    <t>Wireless Networks, 17(6), 1529-1542</t>
  </si>
  <si>
    <t>citation:doc-x0420-01</t>
  </si>
  <si>
    <t>doc-1220a</t>
  </si>
  <si>
    <t>doc-x0431</t>
  </si>
  <si>
    <t>Cognitive and self-selective routing for sensor networks</t>
  </si>
  <si>
    <t>Computational Management Science, 8(3), 237-258</t>
  </si>
  <si>
    <t>citation:doc-x0431-01</t>
  </si>
  <si>
    <t>/ITA_static/attachments/x0431/x0431.pdf</t>
  </si>
  <si>
    <t>/ITA_static/images/papers/x0431_paper.jpg</t>
  </si>
  <si>
    <t>doc-x0436</t>
  </si>
  <si>
    <t>ComboCoding: Combined Intra/Inter-Flow Network Coding for TCP over Multihop Lossy Wireless Networks</t>
  </si>
  <si>
    <t>Journal of Advanced Research, 2(3), 241-252</t>
  </si>
  <si>
    <t>citation:doc-x0436-01</t>
  </si>
  <si>
    <t>/ITA_static/attachments/x0436/x0436.pdf</t>
  </si>
  <si>
    <t>/ITA_static/images/papers/x0436_paper.jpg</t>
  </si>
  <si>
    <t>doc-x0448</t>
  </si>
  <si>
    <t>Control-theoretic utility maximization in multihop wireless networks under mission dynamics</t>
  </si>
  <si>
    <t>IEEE/ACM Transactions on Networking (TON), 20(4), 1082-1095</t>
  </si>
  <si>
    <t>citation:doc-x0448-01</t>
  </si>
  <si>
    <t>doc-x0460</t>
  </si>
  <si>
    <t>Cooperative sensor anomaly detection using global information</t>
  </si>
  <si>
    <t>Tsinghua Science and Technology, 18(3), 209-219.</t>
  </si>
  <si>
    <t>citation:doc-x0460-01</t>
  </si>
  <si>
    <t>/ITA_static/attachments/x0460/x0460.pdf</t>
  </si>
  <si>
    <t>/ITA_static/images/papers/x0460_paper.jpg</t>
  </si>
  <si>
    <t>doc-x0461</t>
  </si>
  <si>
    <t>Cooperative wireless networks: from radio to network protocol designs</t>
  </si>
  <si>
    <t>Communications Magazine, IEEE, 49(5), 64-69</t>
  </si>
  <si>
    <t>citation:doc-x0461-01</t>
  </si>
  <si>
    <t>doc-x0501</t>
  </si>
  <si>
    <t>Distributed stochastic cross-layer optimization for multi-hop wireless networks with cooperative communications</t>
  </si>
  <si>
    <t>Mobile Computing, IEEE Transactions on, 13(10), 2269-2282.</t>
  </si>
  <si>
    <t>citation:doc-x0501-01</t>
  </si>
  <si>
    <t>/ITA_static/attachments/x0501/x0501.pdf</t>
  </si>
  <si>
    <t>/ITA_static/images/papers/x0501_paper.jpg</t>
  </si>
  <si>
    <t>doc-x0535</t>
  </si>
  <si>
    <t>Evaluating temporal robustness of mobile networks</t>
  </si>
  <si>
    <t>Mobile Computing, IEEE Transactions on, 12(1), 105-117.</t>
  </si>
  <si>
    <t>citation:doc-x0535-01</t>
  </si>
  <si>
    <t>/ITA_static/attachments/x0535/x0535.pdf</t>
  </si>
  <si>
    <t>/ITA_static/images/papers/x0535_paper.jpg</t>
  </si>
  <si>
    <t>doc-x0559</t>
  </si>
  <si>
    <t>Federating Policy-Driven Autonomous Systems: Interaction Specification and Management Patterns</t>
  </si>
  <si>
    <t>Journal of Network and Systems Management, 23(3), 753-793.</t>
  </si>
  <si>
    <t>citation:doc-x0559-01</t>
  </si>
  <si>
    <t>doc-x0568</t>
  </si>
  <si>
    <t>Frequency quorum rendezvous for fast and resilient key establishment under jamming attack</t>
  </si>
  <si>
    <t>ACM SIGMOBILE Mobile Computing and Communications Review, 14(4), 1-3</t>
  </si>
  <si>
    <t>citation:doc-x0568-01</t>
  </si>
  <si>
    <t>/ITA_static/attachments/x0568/x0568.pdf</t>
  </si>
  <si>
    <t>/ITA_static/images/papers/x0568_paper.jpg</t>
  </si>
  <si>
    <t>doc-917</t>
  </si>
  <si>
    <t>doc-x0574</t>
  </si>
  <si>
    <t>Generalized graph entropies</t>
  </si>
  <si>
    <t>Complexity, 17(2), 45-50.</t>
  </si>
  <si>
    <t>citation:doc-x0574-01</t>
  </si>
  <si>
    <t>/ITA_static/attachments/x0574/x0574.pdf</t>
  </si>
  <si>
    <t>/ITA_static/images/papers/x0574_paper.jpg</t>
  </si>
  <si>
    <t>doc-x0575</t>
  </si>
  <si>
    <t>Generalized Sequential Slotted Amplify and Forward Strategy in Cooperative Communications</t>
  </si>
  <si>
    <t>Information Theory, IEEE Transactions on, 57(4), 1968-1974.</t>
  </si>
  <si>
    <t>citation:doc-x0575-01</t>
  </si>
  <si>
    <t>/ITA_static/attachments/x0575/x0575.pdf</t>
  </si>
  <si>
    <t>/ITA_static/images/papers/x0575_paper.jpg</t>
  </si>
  <si>
    <t>doc-x0606</t>
  </si>
  <si>
    <t>Impact of imperfect channel state information on bi-directional communications with relay selection</t>
  </si>
  <si>
    <t>Signal Processing, IEEE Transactions on, 59(11), 5657-5662</t>
  </si>
  <si>
    <t>citation:doc-x0606-01</t>
  </si>
  <si>
    <t>/ITA_static/attachments/x0606/x0606.pdf</t>
  </si>
  <si>
    <t>/ITA_static/images/papers/x0606_paper.jpg</t>
  </si>
  <si>
    <t>doc-x0609</t>
  </si>
  <si>
    <t>Improving acoustic vehicle classification by information fusion</t>
  </si>
  <si>
    <t>Pattern Analysis and Applications, 15(1), 29-43</t>
  </si>
  <si>
    <t>citation:doc-x0609-01</t>
  </si>
  <si>
    <t>/ITA_static/attachments/x0609/x0609.pdf</t>
  </si>
  <si>
    <t>/ITA_static/images/papers/x0609_paper.jpg</t>
  </si>
  <si>
    <t>doc-x0635</t>
  </si>
  <si>
    <t>Joint beamforming and power management for nonregenerative MIMO two-way relaying channels</t>
  </si>
  <si>
    <t>Vehicular Technology, IEEE Transactions on, 60(9), 4374-4383</t>
  </si>
  <si>
    <t>citation:doc-x0635-01</t>
  </si>
  <si>
    <t>/ITA_static/attachments/x0635/x0635.pdf</t>
  </si>
  <si>
    <t>/ITA_static/images/papers/x0635_paper.jpg</t>
  </si>
  <si>
    <t>doc-x0647</t>
  </si>
  <si>
    <t>Limitations of generating a secret key using wireless fading under active adversary</t>
  </si>
  <si>
    <t>IEEE/ACM Transactions on Networking (TON), 20(5), 1440-1451</t>
  </si>
  <si>
    <t>citation:doc-x0647-01</t>
  </si>
  <si>
    <t>doc-x0648</t>
  </si>
  <si>
    <t>Linear precoded cooperative transmission protocol for wireless broadcast channels</t>
  </si>
  <si>
    <t>Vehicular Technology, IEEE Transactions on, 60(7), 3509-3515</t>
  </si>
  <si>
    <t>citation:doc-x0648-01</t>
  </si>
  <si>
    <t>/ITA_static/attachments/x0648/x0648.pdf</t>
  </si>
  <si>
    <t>/ITA_static/images/papers/x0648_paper.jpg</t>
  </si>
  <si>
    <t>doc-x0664</t>
  </si>
  <si>
    <t>Masquerade mimicry attack detection: A randomised approach</t>
  </si>
  <si>
    <t>computers &amp; security, 30(5), 297-310</t>
  </si>
  <si>
    <t>citation:doc-x0664-01</t>
  </si>
  <si>
    <t>/ITA_static/attachments/x0664/x0664.pdf</t>
  </si>
  <si>
    <t>/ITA_static/images/papers/x0664_paper.jpg</t>
  </si>
  <si>
    <t>doc-x0678</t>
  </si>
  <si>
    <t>Minimum congestion mapping in a cloud</t>
  </si>
  <si>
    <t>SIAM Journal on Computing, 44(3), 819-843</t>
  </si>
  <si>
    <t>citation:doc-x0678-01</t>
  </si>
  <si>
    <t>/ITA_static/attachments/x0678/x0678.pdf</t>
  </si>
  <si>
    <t>/ITA_static/images/papers/x0678_paper.jpg</t>
  </si>
  <si>
    <t>doc-x0677</t>
  </si>
  <si>
    <t>doc-x0709</t>
  </si>
  <si>
    <t>MUSE: asset risk scoring in enterprise network with mutually reinforced reputation propagation</t>
  </si>
  <si>
    <t>EURASIP Journal on Information Security, 2014(1), 1-9.</t>
  </si>
  <si>
    <t>citation:doc-x0709-01</t>
  </si>
  <si>
    <t>/ITA_static/attachments/x0709/x0709.pdf</t>
  </si>
  <si>
    <t>/ITA_static/images/papers/x0709_paper.jpg</t>
  </si>
  <si>
    <t>doc-2660</t>
  </si>
  <si>
    <t>doc-x0736</t>
  </si>
  <si>
    <t>On the design of network coding for multiple two-way relaying channels</t>
  </si>
  <si>
    <t>Wireless Communications, IEEE Transactions on, 10(6), 1820-1832.</t>
  </si>
  <si>
    <t>citation:doc-x0736-01</t>
  </si>
  <si>
    <t>/ITA_static/attachments/x0736/x0736.pdf</t>
  </si>
  <si>
    <t>/ITA_static/images/papers/x0736_paper.jpg</t>
  </si>
  <si>
    <t>doc-x0743</t>
  </si>
  <si>
    <t>On-demand discovery of software service dependencies in MANETs</t>
  </si>
  <si>
    <t>Network and Service Management, IEEE Transactions on, 12(2), 278-292.</t>
  </si>
  <si>
    <t>citation:doc-x0743-01</t>
  </si>
  <si>
    <t>/ITA_static/attachments/x0743/x0743.pdf</t>
  </si>
  <si>
    <t>/ITA_static/images/papers/x0743_paper.jpg</t>
  </si>
  <si>
    <t>doc-x0744</t>
  </si>
  <si>
    <t>Opportunistic relaying for secrecy communications: Cooperative jamming vs. relay chatting</t>
  </si>
  <si>
    <t>IEEE Transactions on Wireless Communications, 10(6), 1725-1729.</t>
  </si>
  <si>
    <t>citation:doc-x0744-01</t>
  </si>
  <si>
    <t>/ITA_static/attachments/x0744/x0744.pdf</t>
  </si>
  <si>
    <t>/ITA_static/images/papers/x0744_paper.jpg</t>
  </si>
  <si>
    <t>doc-x0751</t>
  </si>
  <si>
    <t>Optimization-based resource allocation in communication networks</t>
  </si>
  <si>
    <t>Computer Networks, 66, 32-45.</t>
  </si>
  <si>
    <t>citation:doc-x0751-01</t>
  </si>
  <si>
    <t>doc-x0756</t>
  </si>
  <si>
    <t>Parallel and Streaming Truth Discovery in Large-Scale Quantitative Crowdsourcing</t>
  </si>
  <si>
    <t>citation:doc-x0756-01</t>
  </si>
  <si>
    <t>/ITA_static/attachments/x0756/x0756.pdf</t>
  </si>
  <si>
    <t>/ITA_static/images/papers/x0756_paper.jpg</t>
  </si>
  <si>
    <t>doc-x0781</t>
  </si>
  <si>
    <t>Privacy-Preserving Information Brokering in Distributed Information Sharing.(2013)</t>
  </si>
  <si>
    <t>IEEE Transactions on Information Forensics and Security, 8(6), 888-900.</t>
  </si>
  <si>
    <t>citation:doc-x0781-01</t>
  </si>
  <si>
    <t>/ITA_static/attachments/x0781/x0781.pdf</t>
  </si>
  <si>
    <t>/ITA_static/images/papers/x0781_paper.jpg</t>
  </si>
  <si>
    <t>doc-x0814</t>
  </si>
  <si>
    <t>Reasoning support for flexible task resourcing</t>
  </si>
  <si>
    <t>Expert Systems With Applications, 39(2), 1998-2010</t>
  </si>
  <si>
    <t>citation:doc-x0814-01</t>
  </si>
  <si>
    <t>/ITA_static/attachments/x0814/x0814.pdf</t>
  </si>
  <si>
    <t>/ITA_static/images/papers/x0814_paper.jpg</t>
  </si>
  <si>
    <t>doc-x0845</t>
  </si>
  <si>
    <t>Robust dynamic service composition in sensor networks</t>
  </si>
  <si>
    <t>Services Computing, IEEE Transactions on, 6(4), 560-572</t>
  </si>
  <si>
    <t>citation:doc-x0845-01</t>
  </si>
  <si>
    <t>/ITA_static/attachments/x0845/x0845.pdf</t>
  </si>
  <si>
    <t>/ITA_static/images/papers/x0845_paper.jpg</t>
  </si>
  <si>
    <t>doc-x0899</t>
  </si>
  <si>
    <t>Stage: Stereotypical trust assessment through graph extraction</t>
  </si>
  <si>
    <t>Computational Intelligence</t>
  </si>
  <si>
    <t>citation:doc-x0899-01</t>
  </si>
  <si>
    <t>doc-x0900</t>
  </si>
  <si>
    <t>Stereotypical trust and bias in dynamic multiagent systems</t>
  </si>
  <si>
    <t>ACM Transactions on Intelligent Systems and Technology (TIST)</t>
  </si>
  <si>
    <t>citation:doc-x0900-01</t>
  </si>
  <si>
    <t>/ITA_static/attachments/x0900/x0900.pdf</t>
  </si>
  <si>
    <t>/ITA_static/images/papers/x0900_paper.jpg</t>
  </si>
  <si>
    <t>doc-x0901</t>
  </si>
  <si>
    <t>Stochastic optimal control for a general class of dynamic resource allocation problems</t>
  </si>
  <si>
    <t>ACM SIGMETRICS Performance Evaluation Review</t>
  </si>
  <si>
    <t>citation:doc-x0901-01</t>
  </si>
  <si>
    <t>/ITA_static/attachments/x0901/x0901.pdf</t>
  </si>
  <si>
    <t>/ITA_static/images/papers/x0901_paper.jpg</t>
  </si>
  <si>
    <t>doc-x0909</t>
  </si>
  <si>
    <t>Supporting Trust Assessment and Decision Making in Coalitions</t>
  </si>
  <si>
    <t>Intelligent Systems, IEEE,29(4), 18-24</t>
  </si>
  <si>
    <t>citation:doc-x0909-01</t>
  </si>
  <si>
    <t>/ITA_static/attachments/x0909/x0909.pdf</t>
  </si>
  <si>
    <t>/ITA_static/images/papers/x0909_paper.jpg</t>
  </si>
  <si>
    <t>doc-x0938</t>
  </si>
  <si>
    <t>Throughput maximization in mobile WSN scheduling with power control and rate selection</t>
  </si>
  <si>
    <t>Wireless Communications, IEEE Transactions on, 13(7), 4066-4079</t>
  </si>
  <si>
    <t>citation:doc-x0938-01</t>
  </si>
  <si>
    <t>/ITA_static/attachments/x0938/x0938.pdf</t>
  </si>
  <si>
    <t>/ITA_static/images/papers/x0938_paper.jpg</t>
  </si>
  <si>
    <t>doc-x0973</t>
  </si>
  <si>
    <t>Understanding processing overheads of network coding-based content distribution in VANETs</t>
  </si>
  <si>
    <t>Parallel and Distributed Systems, IEEE Transactions on, 24(11), 2304-2318</t>
  </si>
  <si>
    <t>citation:doc-x0973-01</t>
  </si>
  <si>
    <t>/ITA_static/attachments/x0973/x0973.pdf</t>
  </si>
  <si>
    <t>/ITA_static/images/papers/x0973_paper.jpg</t>
  </si>
  <si>
    <t>doc-x0999</t>
  </si>
  <si>
    <t>Why Amazon's Ratings Might Mislead You: The Story of Herding Effects</t>
  </si>
  <si>
    <t>Big Data, 2(4), 196-204</t>
  </si>
  <si>
    <t>citation:doc-x0999-01</t>
  </si>
  <si>
    <t>/ITA_static/attachments/x0999/x0999.pdf</t>
  </si>
  <si>
    <t>/ITA_static/images/papers/x0999_paper.jpg</t>
  </si>
  <si>
    <t>doc-x1025</t>
  </si>
  <si>
    <t>General Graph Data De-anonymization: From Mobility Traces to Social Networks</t>
  </si>
  <si>
    <t>ACM Transactions on Information Systems Security (TIS- SEC), 2016</t>
  </si>
  <si>
    <t>citation:doc-x1025-01</t>
  </si>
  <si>
    <t>doc-x1026</t>
  </si>
  <si>
    <t>Structural Data De-anonymization: Theory and Practice</t>
  </si>
  <si>
    <t>ACM Transactions of Networking (ToN), 2016</t>
  </si>
  <si>
    <t>citation:doc-x1026-01</t>
  </si>
  <si>
    <t>doc-x1029</t>
  </si>
  <si>
    <t>Self-organizing systems based on morphogenesis principles</t>
  </si>
  <si>
    <t>IBM Journal of Research and Development, 55(5), 12-1</t>
  </si>
  <si>
    <t>citation:doc-x1029-01</t>
  </si>
  <si>
    <t>doc-x1037</t>
  </si>
  <si>
    <t>Activity recognition for dynamic multi-agent teams</t>
  </si>
  <si>
    <t>ACM Transactions on Intelligent Systems and Technology (TIST), 3(1), 18</t>
  </si>
  <si>
    <t>citation:doc-x1037-01</t>
  </si>
  <si>
    <t>doc-x1038</t>
  </si>
  <si>
    <t>Creating physically embodied agents using realistic human motion models</t>
  </si>
  <si>
    <t>Journal on Simulation and Gaming, special Issue on AI techniques, Vol. 39, No. 1, pp. 64-82</t>
  </si>
  <si>
    <t>citation:doc-x1038-01</t>
  </si>
  <si>
    <t>doc-x1039</t>
  </si>
  <si>
    <t>A generic framework for automated multi-attribute negotiation</t>
  </si>
  <si>
    <t>Group Decision and Negotiation, doi10.1007/s10726-008-9119-9, ISSN 0926-2644 (Print), Vol 18, No. 2, pp. 169-187</t>
  </si>
  <si>
    <t>citation:doc-x1039-01</t>
  </si>
  <si>
    <t>doc-x1044</t>
  </si>
  <si>
    <t>netCSI: A Generic Fault Diagnosis Algorithm for Large-Scale Failures in Computer Networks</t>
  </si>
  <si>
    <t>IEEE Trans. Dependable &amp; Secure Computing, 2015</t>
  </si>
  <si>
    <t>citation:doc-x1044-01</t>
  </si>
  <si>
    <t>doc-1753</t>
  </si>
  <si>
    <t>doc-x2004</t>
  </si>
  <si>
    <t>Predicate encryption supporting disjunctions, polynomial equations, and inner products</t>
  </si>
  <si>
    <t>Journal of cryptology, 26(2), 191-224.</t>
  </si>
  <si>
    <t>citation:doc-x2004-01</t>
  </si>
  <si>
    <t>doc-x0779</t>
  </si>
  <si>
    <t>Quarter dates</t>
  </si>
  <si>
    <t>Q1</t>
  </si>
  <si>
    <t>Q2</t>
  </si>
  <si>
    <t>Q3</t>
  </si>
  <si>
    <t>Q4</t>
  </si>
  <si>
    <t>Q16</t>
  </si>
  <si>
    <t>Q17</t>
  </si>
  <si>
    <t>Q19</t>
  </si>
  <si>
    <t>Q20</t>
  </si>
  <si>
    <t>Q21</t>
  </si>
  <si>
    <t>Q30</t>
  </si>
  <si>
    <t>Q36</t>
  </si>
  <si>
    <t>Q37</t>
  </si>
  <si>
    <t>Q38</t>
  </si>
  <si>
    <t>Q39</t>
  </si>
  <si>
    <t>Q40</t>
  </si>
  <si>
    <t>Aug-2006</t>
  </si>
  <si>
    <t>Nov-2006</t>
  </si>
  <si>
    <t>2010</t>
  </si>
  <si>
    <t>2014</t>
  </si>
  <si>
    <t>2007</t>
  </si>
  <si>
    <t>2009</t>
  </si>
  <si>
    <t>2008</t>
  </si>
  <si>
    <t>2011</t>
  </si>
  <si>
    <t>2012</t>
  </si>
  <si>
    <t>2016</t>
  </si>
  <si>
    <t>2015</t>
  </si>
  <si>
    <t>citation:doc-1000-01</t>
  </si>
  <si>
    <t>https://scholar.google.co.uk/scholar?q=%22Scaling+properties+of+delay+tolerant+networks+with+correlated+motion+patterns%22&amp;btnG=&amp;hl=en&amp;as_sdt=0%2C5</t>
  </si>
  <si>
    <t>citation:doc-1001-01</t>
  </si>
  <si>
    <t>https://scholar.google.co.uk/scholar?q=%22Temporal+Distance+Metrics+for+Social+Network+Analysis%22&amp;btnG=&amp;hl=en&amp;as_sdt=0%2C5</t>
  </si>
  <si>
    <t>citation:doc-1002-01</t>
  </si>
  <si>
    <t>https://scholar.google.co.uk/scholar?q=%22Expressive+Policy+Analysis+with+Laws+of+System+Change%22&amp;btnG=&amp;hl=en&amp;as_sdt=0%2C5</t>
  </si>
  <si>
    <t>citation:doc-1004-01</t>
  </si>
  <si>
    <t>https://scholar.google.co.uk/scholar?q=%22Toward+efficient+quality+of+information+estimation+in+simultaneous+acoustic+tracking+and+classification+of+multiple+targets%22&amp;btnG=&amp;hl=en&amp;as_sdt=0%2C5</t>
  </si>
  <si>
    <t>citation:doc-1005-01</t>
  </si>
  <si>
    <t>https://scholar.google.co.uk/scholar?q=%22A+Stochastic+Geometry+Approach+to+Transmission+Capacity+in+Wireless+Cooperative+Networks%22&amp;btnG=&amp;hl=en&amp;as_sdt=0%2C5</t>
  </si>
  <si>
    <t>citation:doc-1006a-01</t>
  </si>
  <si>
    <t>https://scholar.google.co.uk/scholar?q=%22Enhancing+Congestion+Control+with+Adaptive+Per-Node+Airtime+Allocation+for+Wireless+Sensor+Networks%22&amp;btnG=&amp;hl=en&amp;as_sdt=0%2C5</t>
  </si>
  <si>
    <t>https://scholar.google.co.uk/scholar?q=%22SAT%3A+Building+New+Trust+Architecture+for+Vehicular+Networks%22&amp;btnG=&amp;hl=en&amp;as_sdt=0%2C5</t>
  </si>
  <si>
    <t>citation:doc-1008-01</t>
  </si>
  <si>
    <t>https://scholar.google.co.uk/scholar?q=%22Transmission+Delay+Analysis+with+Finite+Coding+Length+in+Wireless+Cooperative+Networks%22&amp;btnG=&amp;hl=en&amp;as_sdt=0%2C5</t>
  </si>
  <si>
    <t>citation:doc-1011-01</t>
  </si>
  <si>
    <t>https://scholar.google.co.uk/scholar?q="Neighbor Discovery in Wireless Networks and the Coupon Collector's Problem"&amp;btnG=&amp;hl=en&amp;as_sdt=0,5</t>
  </si>
  <si>
    <t>citation:doc-1012a-01</t>
  </si>
  <si>
    <t>citation:doc-1013-01</t>
  </si>
  <si>
    <t>https://scholar.google.co.uk/scholar?q="A Study on Transmission Delay with Finite Coding Length in Wireless Cooperative Networks"&amp;btnG=&amp;hl=en&amp;as_sdt=0,5</t>
  </si>
  <si>
    <t>citation:doc-1014-01</t>
  </si>
  <si>
    <t>https://scholar.google.co.uk/scholar?q="On the Application of Network Coding with Diversity to Opportunistic Scheduling"&amp;btnG=&amp;hl=en&amp;as_sdt=0,5</t>
  </si>
  <si>
    <t>citation:doc-1015a-01</t>
  </si>
  <si>
    <t>citation:doc-1016-01</t>
  </si>
  <si>
    <t>https://scholar.google.co.uk/scholar?q="Enabling Inter-domain DTN Communications by Networked Static Gateways"&amp;btnG=&amp;hl=en&amp;as_sdt=0,5</t>
  </si>
  <si>
    <t>citation:doc-1017-01</t>
  </si>
  <si>
    <t>https://scholar.google.co.uk/scholar?q="Topology-aware Inter-domain Routing for Heterogeneous MANETs"&amp;btnG=&amp;hl=en&amp;as_sdt=0,5</t>
  </si>
  <si>
    <t>citation:doc-1018a-01</t>
  </si>
  <si>
    <t>citation:doc-1019a-01</t>
  </si>
  <si>
    <t>https://scholar.google.co.uk/scholar?q="Adaptive Forwarding Rate Control for Network Coding in the Tactical MANET"&amp;btnG=&amp;hl=en&amp;as_sdt=0,5</t>
  </si>
  <si>
    <t>citation:doc-1020-01</t>
  </si>
  <si>
    <t>https://scholar.google.co.uk/scholar?q="Self-Organizing Processes of Collective Behavior in Computer Networks"&amp;btnG=&amp;hl=en&amp;as_sdt=0,5</t>
  </si>
  <si>
    <t>citation:doc-1022a-01</t>
  </si>
  <si>
    <t>https://scholar.google.co.uk/scholar?q="Security Policy Refinement using Data Integration: A Position Paper"&amp;btnG=&amp;hl=en&amp;as_sdt=0,5</t>
  </si>
  <si>
    <t>citation:doc-1023-01</t>
  </si>
  <si>
    <t>https://scholar.google.co.uk/scholar?q="Efficient Evaluation of History-based Policies"&amp;btnG=&amp;hl=en&amp;as_sdt=0,5</t>
  </si>
  <si>
    <t>citation:doc-1024-01</t>
  </si>
  <si>
    <t>https://scholar.google.co.uk/scholar?q="Realising Management and Composition of  Self-Managed Cells in Body Area Networks"&amp;btnG=&amp;hl=en&amp;as_sdt=0,5</t>
  </si>
  <si>
    <t>citation:doc-1025-01</t>
  </si>
  <si>
    <t>https://scholar.google.co.uk/scholar?q="Energy-efficient key distribution and revocation in tactical networks with asymmetric links"&amp;btnG=&amp;hl=en&amp;as_sdt=0,5</t>
  </si>
  <si>
    <t>citation:doc-1026-01</t>
  </si>
  <si>
    <t>https://scholar.google.co.uk/scholar?q=%22Attacking Cryptographic Schemes Based on Perturbation Polynomials%22&amp;btnG=&amp;hl=en&amp;as_sdt=0%2C5</t>
  </si>
  <si>
    <t>citation:doc-1028-01</t>
  </si>
  <si>
    <t>https://scholar.google.co.uk/scholar?q="A Metadata Algebra for Sharing Tactical Information"&amp;btnG=&amp;hl=en&amp;as_sdt=0,5</t>
  </si>
  <si>
    <t>citation:doc-1029b-01</t>
  </si>
  <si>
    <t>https://scholar.google.co.uk/scholar?q="Broadcast Encryption with Multiple Trust Centers and Dynamic Coalitions"&amp;btnG=&amp;hl=en&amp;as_sdt=0,5</t>
  </si>
  <si>
    <t>citation:doc-1030-01</t>
  </si>
  <si>
    <t>https://scholar.google.co.uk/scholar?q="Revocation Mechanisms for Hybrid Group Communication with Asymmetric Links"&amp;btnG=&amp;hl=en&amp;as_sdt=0,5</t>
  </si>
  <si>
    <t>citation:doc-1031-01</t>
  </si>
  <si>
    <t>https://scholar.google.co.uk/scholar?q="Bootstrapping Coalition MANETs: Physical-Layer Security under Active Adversary"&amp;btnG=&amp;hl=en&amp;as_sdt=0,5</t>
  </si>
  <si>
    <t>citation:doc-1032-01</t>
  </si>
  <si>
    <t>https://scholar.google.co.uk/scholar?q="A Judgement Mechanism for Key Revocation"&amp;btnG=&amp;hl=en&amp;as_sdt=0,5</t>
  </si>
  <si>
    <t>citation:doc-1033-01</t>
  </si>
  <si>
    <t>https://scholar.google.co.uk/scholar?q="A Judgment Mechanism for Key Revocation"&amp;btnG=&amp;hl=en&amp;as_sdt=0,5</t>
  </si>
  <si>
    <t>https://scholar.google.co.uk/scholar?q="Who, When, Where; Timeslot Assignment to Mobile Clients"&amp;btnG=&amp;hl=en&amp;as_sdt=0,5</t>
  </si>
  <si>
    <t>citation:doc-1035-01</t>
  </si>
  <si>
    <t>https://scholar.google.co.uk/scholar?q="Knowledge-Driven Agile Sensor-Mission Assignment"&amp;btnG=&amp;hl=en&amp;as_sdt=0,5</t>
  </si>
  <si>
    <t>citation:doc-1037-01</t>
  </si>
  <si>
    <t>https://scholar.google.co.uk/scholar?q="Impact of Social Networks in Delay Tolerant Routing"&amp;btnG=&amp;hl=en&amp;as_sdt=0,5</t>
  </si>
  <si>
    <t>citation:doc-1038-01</t>
  </si>
  <si>
    <t>https://scholar.google.co.uk/scholar?q="Distributed Target Tracking with Directional Binary Sensor Networks"&amp;btnG=&amp;hl=en&amp;as_sdt=0,5</t>
  </si>
  <si>
    <t>citation:doc-1039a-01</t>
  </si>
  <si>
    <t>https://scholar.google.co.uk/scholar?q="A Participation Incentive Market Mechanism for Allocating Heterogeneous Network Services"&amp;btnG=&amp;hl=en&amp;as_sdt=0,5</t>
  </si>
  <si>
    <t>citation:doc-1040-01</t>
  </si>
  <si>
    <t>citation:doc-1042a-01</t>
  </si>
  <si>
    <t>citation:doc-1043a-01</t>
  </si>
  <si>
    <t>https://scholar.google.co.uk/scholar?q="Argumentation-based agent support for learning policies in a coalition mission"&amp;btnG=&amp;hl=en&amp;as_sdt=0,5</t>
  </si>
  <si>
    <t>citation:doc-1044a-01</t>
  </si>
  <si>
    <t>https://scholar.google.co.uk/scholar?q="Towards the Implementation of Multi-Agent Planning Dialogues"&amp;btnG=&amp;hl=en&amp;as_sdt=0,5</t>
  </si>
  <si>
    <t>citation:doc-1045a-01</t>
  </si>
  <si>
    <t>citation:doc-1046a-01</t>
  </si>
  <si>
    <t>https://scholar.google.co.uk/scholar?q="Evidence-Based Plan Monitoring for Human Teams in Uncertain Environments"&amp;btnG=&amp;hl=en&amp;as_sdt=0,5</t>
  </si>
  <si>
    <t>citation:doc-1047a-01</t>
  </si>
  <si>
    <t>https://scholar.google.co.uk/scholar?q="Discovering Context Changes in Team Behaviour"&amp;btnG=&amp;hl=en&amp;as_sdt=0,5</t>
  </si>
  <si>
    <t>citation:doc-1048a-01</t>
  </si>
  <si>
    <t>https://scholar.google.co.uk/scholar?q="Modeling simulated military mission context"&amp;btnG=&amp;hl=en&amp;as_sdt=0,5</t>
  </si>
  <si>
    <t>citation:doc-1049a-01</t>
  </si>
  <si>
    <t>https://scholar.google.co.uk/scholar?q="Network-Enabled Collaborative Problem-Solving"&amp;btnG=&amp;hl=en&amp;as_sdt=0,5</t>
  </si>
  <si>
    <t>citation:doc-1050a-01</t>
  </si>
  <si>
    <t>citation:doc-1051-01</t>
  </si>
  <si>
    <t>citation:doc-1052-01</t>
  </si>
  <si>
    <t>https://scholar.google.co.uk/scholar?q="Visualising Rationale in the CPM"&amp;btnG=&amp;hl=en&amp;as_sdt=0,5</t>
  </si>
  <si>
    <t>citation:doc-1053-01</t>
  </si>
  <si>
    <t>https://scholar.google.co.uk/scholar?q="Layered Controlled Natural Languages"&amp;btnG=&amp;hl=en&amp;as_sdt=0,5</t>
  </si>
  <si>
    <t>citation:doc-1054-01</t>
  </si>
  <si>
    <t>https://scholar.google.co.uk/scholar?q="Towards an Understanding of Shared Understanding in Military Coalition Contexts"&amp;btnG=&amp;hl=en&amp;as_sdt=0,5</t>
  </si>
  <si>
    <t>citation:doc-1055-01</t>
  </si>
  <si>
    <t>citation:doc-1056-01</t>
  </si>
  <si>
    <t>https://scholar.google.co.uk/scholar?q="Rule Modeling Using Semantic MediaWiki"&amp;btnG=&amp;hl=en&amp;as_sdt=0,5</t>
  </si>
  <si>
    <t>https://scholar.google.co.uk/scholar?q="Self-Selecting Reliable Path Routing for Diverse Wireless Sensor Network Environments"&amp;btnG=&amp;hl=en&amp;as_sdt=0,5</t>
  </si>
  <si>
    <t>citation:doc-1060-01</t>
  </si>
  <si>
    <t>https://scholar.google.co.uk/scholar?q="Building key-private, public-key encryption schemes"&amp;btnG=&amp;hl=en&amp;as_sdt=0,5</t>
  </si>
  <si>
    <t>citation:doc-1061-01</t>
  </si>
  <si>
    <t>https://scholar.google.co.uk/scholar?q=%22A+Dynamic+Infrastructure+for+Interconnecting+Disparate+ISR%2FISTAR+Assets+%28the+ITA+Sensor+Fabric%29%22&amp;btnG=&amp;hl=en&amp;as_sdt=0%2C5</t>
  </si>
  <si>
    <t>citation:doc-1062-01</t>
  </si>
  <si>
    <t>https://scholar.google.co.uk/scholar?q="Verification of Policy-Based Self-Managed Cell Interactions Using Alloy"&amp;btnG=&amp;hl=en&amp;as_sdt=0,5</t>
  </si>
  <si>
    <t>citation:doc-1063-01</t>
  </si>
  <si>
    <t>https://scholar.google.co.uk/scholar?q=%22Acoustic+Vehicle+Classification+by+Fusing+with+Semantic+Annotation%22&amp;btnG=&amp;hl=en&amp;as_sdt=0%2C5</t>
  </si>
  <si>
    <t>citation:doc-1064-01</t>
  </si>
  <si>
    <t>https://scholar.google.co.uk/scholar?q=%22Technologies+for+Federation+and+Interoperation+of+Coalition+Networks%22&amp;btnG=&amp;hl=en&amp;as_sdt=0%2C5</t>
  </si>
  <si>
    <t>citation:doc-1065-01</t>
  </si>
  <si>
    <t>https://scholar.google.co.uk/scholar?q="Multi-Scale Temporal Segmentation and Outlier Detection in Sensor Networks"&amp;btnG=&amp;hl=en&amp;as_sdt=0,5</t>
  </si>
  <si>
    <t>citation:doc-1066-01</t>
  </si>
  <si>
    <t>https://scholar.google.co.uk/scholar?q="A Scale-Invariant Local Descriptor for Event Recognition in 1D Sensor Signals"&amp;btnG=&amp;hl=en&amp;as_sdt=0,5</t>
  </si>
  <si>
    <t>citation:doc-1068-01</t>
  </si>
  <si>
    <t>https://scholar.google.co.uk/scholar?q="Enhanced Situation Awareness in Collaborative Planning Through Context-Aware Mashup"&amp;btnG=&amp;hl=en&amp;as_sdt=0,5</t>
  </si>
  <si>
    <t>https://scholar.google.co.uk/scholar?q="Energy Efficient Collision Aware Multipath Routing for Wireless Sensor Networks"&amp;btnG=&amp;hl=en&amp;as_sdt=0,5</t>
  </si>
  <si>
    <t>https://scholar.google.co.uk/scholar?q="Interference Subtraction with Supplementary Cooperation in Wireless Cooperative Networks"&amp;btnG=&amp;hl=en&amp;as_sdt=0,5</t>
  </si>
  <si>
    <t>https://scholar.google.co.uk/scholar?q="Distributed and Power Efficient Routing in Wireless Cooperative Networks"&amp;btnG=&amp;hl=en&amp;as_sdt=0,5</t>
  </si>
  <si>
    <t>citation:doc-1072a-01</t>
  </si>
  <si>
    <t>https://scholar.google.co.uk/scholar?q="Using Argumentation Logic for Firewall Configuration Management"&amp;btnG=&amp;hl=en&amp;as_sdt=0,5</t>
  </si>
  <si>
    <t>https://scholar.google.co.uk/scholar?q="Adaptive Response System for Distributed Denial-of-Service Attacks"&amp;btnG=&amp;hl=en&amp;as_sdt=0,5</t>
  </si>
  <si>
    <t>citation:doc-1074-01</t>
  </si>
  <si>
    <t>https://scholar.google.co.uk/scholar?q="A Controlled Natural Language Interface for Semantic Media Wiki Using the Rabbit Language"&amp;btnG=&amp;hl=en&amp;as_sdt=0,5</t>
  </si>
  <si>
    <t>citation:doc-1075-01</t>
  </si>
  <si>
    <t>https://scholar.google.co.uk/scholar?q="A Decision Support System for Secure Information Sharing"&amp;btnG=&amp;hl=en&amp;as_sdt=0,5</t>
  </si>
  <si>
    <t>https://scholar.google.co.uk/scholar?q="Proactive Data Dissemination to Mission Sites"&amp;btnG=&amp;hl=en&amp;as_sdt=0,5</t>
  </si>
  <si>
    <t>citation:doc-1078-01</t>
  </si>
  <si>
    <t>https://scholar.google.co.uk/scholar?q="Flexible Resource Assignment in Sensor Networks: A Hybrid Reasoning Approach"&amp;btnG=&amp;hl=en&amp;as_sdt=0,5</t>
  </si>
  <si>
    <t>citation:doc-1079-01</t>
  </si>
  <si>
    <t>https://scholar.google.co.uk/scholar?q="Cheap or Flexible Sensor Coverage"&amp;btnG=&amp;hl=en&amp;as_sdt=0,5</t>
  </si>
  <si>
    <t>citation:doc-1080-01</t>
  </si>
  <si>
    <t>https://scholar.google.co.uk/scholar?q="Detection and Localization Sensor Assignment With Exact and Fuzzy Locations"&amp;btnG=&amp;hl=en&amp;as_sdt=0,5</t>
  </si>
  <si>
    <t>citation:doc-1083-01</t>
  </si>
  <si>
    <t>https://scholar.google.co.uk/scholar?q="Control-theoretic Optimization of Utility over Mission Lifetimes in Multi-hop Wireless Networks"&amp;btnG=&amp;hl=en&amp;as_sdt=0,5</t>
  </si>
  <si>
    <t>https://scholar.google.co.uk/scholar?q="Learning Operational Requirements from Goal Models"&amp;btnG=&amp;hl=en&amp;as_sdt=0,5</t>
  </si>
  <si>
    <t>citation:doc-1085-01</t>
  </si>
  <si>
    <t>https://scholar.google.co.uk/scholar?q="Automated Aiding Strategies for Decentralized Planning with Interdependent Policies"&amp;btnG=&amp;hl=en&amp;as_sdt=0,5</t>
  </si>
  <si>
    <t>citation:doc-1086-01</t>
  </si>
  <si>
    <t>https://scholar.google.co.uk/scholar?q="Agent Support for Human Team Collaboration in Uncertain Environments"&amp;btnG=&amp;hl=en&amp;as_sdt=0,5</t>
  </si>
  <si>
    <t>citation:doc-1091-01</t>
  </si>
  <si>
    <t>https://scholar.google.co.uk/scholar?q="Policy-driven Planning in Coalitions - a Case Study"&amp;btnG=&amp;hl=en&amp;as_sdt=0,5</t>
  </si>
  <si>
    <t>citation:doc-1092-01</t>
  </si>
  <si>
    <t>https://scholar.google.co.uk/scholar?q="Selection of Sensors For Missions Using Semantic-Aware Cooperative Agents"&amp;btnG=&amp;hl=en&amp;as_sdt=0,5</t>
  </si>
  <si>
    <t>citation:doc-1093-01</t>
  </si>
  <si>
    <t>https://scholar.google.co.uk/scholar?q="Multi-agent Planning with Confidentiality"&amp;btnG=&amp;hl=en&amp;as_sdt=0,5</t>
  </si>
  <si>
    <t>citation:doc-1094-01</t>
  </si>
  <si>
    <t>https://scholar.google.co.uk/scholar?q="Agent-based Sensor-Mission Assignment for Tasks Sharing Assets"&amp;btnG=&amp;hl=en&amp;as_sdt=0,5</t>
  </si>
  <si>
    <t>https://scholar.google.co.uk/scholar?q="Realising Management and Composition of Self-Managed Cells in Pervasive Healthcare"&amp;btnG=&amp;hl=en&amp;as_sdt=0,5</t>
  </si>
  <si>
    <t>citation:doc-1097-01</t>
  </si>
  <si>
    <t>https://scholar.google.co.uk/scholar?q="Event Recognition in Sensor Networks by Means of Grammatical Inference"&amp;btnG=&amp;hl=en&amp;as_sdt=0,5</t>
  </si>
  <si>
    <t>citation:doc-1099-01</t>
  </si>
  <si>
    <t>https://scholar.google.co.uk/scholar?q="Exact Analysis of Latency of Stateless Opportunistic Forwarding"&amp;btnG=&amp;hl=en&amp;as_sdt=0,5</t>
  </si>
  <si>
    <t>https://scholar.google.co.uk/scholar?q=%22Toward+quality+of+information+aware+rate+control+for+sensor+networks%22&amp;btnG=&amp;hl=en&amp;as_sdt=0%2C5</t>
  </si>
  <si>
    <t>citation:doc-1101-01</t>
  </si>
  <si>
    <t>https://scholar.google.co.uk/scholar?q="Generating Reliable Quality of Information (QoI) Metrics for Target Tracking"&amp;btnG=&amp;hl=en&amp;as_sdt=0,5</t>
  </si>
  <si>
    <t>https://scholar.google.co.uk/scholar?q="Routing of high-priority packets in wireless sensor networks"&amp;btnG=&amp;hl=en&amp;as_sdt=0,5</t>
  </si>
  <si>
    <t>citation:doc-1103-01</t>
  </si>
  <si>
    <t>https://scholar.google.co.uk/scholar?q="On Efficient Query Processing of Stream Counts on the Cell Processor"&amp;btnG=&amp;hl=en&amp;as_sdt=0,5</t>
  </si>
  <si>
    <t>citation:doc-1104-01</t>
  </si>
  <si>
    <t>https://scholar.google.co.uk/scholar?q="A Framework for Clustering Massive-Domain Data Streams"&amp;btnG=&amp;hl=en&amp;as_sdt=0,5</t>
  </si>
  <si>
    <t>citation:doc-1105a-01</t>
  </si>
  <si>
    <t>https://scholar.google.co.uk/scholar?q="A stochastic process algebraic abstraction of detection evidence fusion in tactical sensor networks"&amp;btnG=&amp;hl=en&amp;as_sdt=0,5</t>
  </si>
  <si>
    <t>citation:doc-1106-01</t>
  </si>
  <si>
    <t>https://scholar.google.co.uk/scholar?q="Sensor Assignment to Missions in a Coalition Context: The SAM Tool"&amp;btnG=&amp;hl=en&amp;as_sdt=0,5</t>
  </si>
  <si>
    <t>citation:doc-1107-01</t>
  </si>
  <si>
    <t>https://scholar.google.co.uk/scholar?q="The ITA Sensor Fabric"&amp;btnG=&amp;hl=en&amp;as_sdt=0,5</t>
  </si>
  <si>
    <t>citation:doc-1108a-01</t>
  </si>
  <si>
    <t>https://scholar.google.co.uk/scholar?q="Auction-Based Congestion Management for Target Tracking in Wireless Sensor Networks"&amp;btnG=&amp;hl=en&amp;as_sdt=0,5</t>
  </si>
  <si>
    <t>citation:doc-1109-01</t>
  </si>
  <si>
    <t>https://scholar.google.co.uk/scholar?q="Robust and Efficient Communication Overlays for Trust Authority Computations"&amp;btnG=&amp;hl=en&amp;as_sdt=0,5</t>
  </si>
  <si>
    <t>citation:doc-1110b-01</t>
  </si>
  <si>
    <t>https://scholar.google.co.uk/scholar?q=%22Expressive Policy Analysis with Enhanced System Dynamicity%22&amp;btnG=&amp;hl=en&amp;as_sdt=0%2C5</t>
  </si>
  <si>
    <t>citation:doc-1110d-01</t>
  </si>
  <si>
    <t>https://scholar.google.co.uk/scholar?q=%22Expressive+Policy+Analysis+with+Enhanced+System+Dynamicity%22&amp;btnG=&amp;hl=en&amp;as_sdt=0%2C5</t>
  </si>
  <si>
    <t>citation:doc-1111-01</t>
  </si>
  <si>
    <t>https://scholar.google.co.uk/scholar?q="Compact Signatures for Network Coding"&amp;btnG=&amp;hl=en&amp;as_sdt=0,5</t>
  </si>
  <si>
    <t>https://scholar.google.co.uk/scholar?q="Hierarchical Identity Based Encryption with Polynomially Many Levels"&amp;btnG=&amp;hl=en&amp;as_sdt=0,5</t>
  </si>
  <si>
    <t>citation:doc-1113-01</t>
  </si>
  <si>
    <t>https://scholar.google.co.uk/scholar?q="Cognitive Extension and the Web"&amp;btnG=&amp;hl=en&amp;as_sdt=0,5</t>
  </si>
  <si>
    <t>citation:doc-1114-01</t>
  </si>
  <si>
    <t>https://scholar.google.co.uk/scholar?q="Shared Understanding within Military Coalitions: A Definition and Review of Research Challenges"&amp;btnG=&amp;hl=en&amp;as_sdt=0,5</t>
  </si>
  <si>
    <t>citation:doc-1115-01</t>
  </si>
  <si>
    <t>https://scholar.google.co.uk/scholar?q="Using a Structured Plan Representation to Support Multi-level Planning"&amp;btnG=&amp;hl=en&amp;as_sdt=0,5</t>
  </si>
  <si>
    <t>citation:doc-1116a-01</t>
  </si>
  <si>
    <t>citation:doc-1119-01</t>
  </si>
  <si>
    <t>https://scholar.google.co.uk/scholar?q="Contract Formation Through Preemptive Normative Conflict Resolution"&amp;btnG=&amp;hl=en&amp;as_sdt=0,5</t>
  </si>
  <si>
    <t>https://scholar.google.co.uk/scholar?q="Identifying Social Communities in Complex Communications for Network Efficiency"&amp;btnG=&amp;hl=en&amp;as_sdt=0,5</t>
  </si>
  <si>
    <t>citation:doc-1122-01</t>
  </si>
  <si>
    <t>https://scholar.google.co.uk/scholar?q="CodeCast: Network Coding Based Multicast in MANETs"&amp;btnG=&amp;hl=en&amp;as_sdt=0,5</t>
  </si>
  <si>
    <t>citation:doc-1123-01</t>
  </si>
  <si>
    <t>https://scholar.google.co.uk/scholar?q="Sharing airtime with Shair avoids wasting time and money"&amp;btnG=&amp;hl=en&amp;as_sdt=0,5</t>
  </si>
  <si>
    <t>citation:doc-1124-01</t>
  </si>
  <si>
    <t>https://scholar.google.co.uk/scholar?q="Inter-Domain Routing for Heterogeneous MANETs"&amp;btnG=&amp;hl=en&amp;as_sdt=0,5</t>
  </si>
  <si>
    <t>citation:doc-1125-01</t>
  </si>
  <si>
    <t>https://scholar.google.co.uk/scholar?q="Robust MANET Routing using Adaptive Path Redundancy and Coding"&amp;btnG=&amp;hl=en&amp;as_sdt=0,5</t>
  </si>
  <si>
    <t>citation:doc-1126a-01</t>
  </si>
  <si>
    <t>https://scholar.google.co.uk/scholar?q="On the Mapping between Logical and Physical Topologies"&amp;btnG=&amp;hl=en&amp;as_sdt=0,5</t>
  </si>
  <si>
    <t>citation:doc-1127a-01</t>
  </si>
  <si>
    <t>https://scholar.google.co.uk/scholar?q="Empirical Evaluation of Hybrid Opportunistic Networks"&amp;btnG=&amp;hl=en&amp;as_sdt=0,5</t>
  </si>
  <si>
    <t>citation:doc-1128-01</t>
  </si>
  <si>
    <t>https://scholar.google.co.uk/scholar?q="Control-Theoretic, Mission-Driven, Optimization Techniques for Wireless Sensor Networks"&amp;btnG=&amp;hl=en&amp;as_sdt=0,5</t>
  </si>
  <si>
    <t>citation:doc-1129a-01</t>
  </si>
  <si>
    <t>https://scholar.google.co.uk/scholar?q="Player Collaboration in Virtual Environments using Hierarchical Task Network Planning"&amp;btnG=&amp;hl=en&amp;as_sdt=0,5</t>
  </si>
  <si>
    <t>citation:doc-1131a-01</t>
  </si>
  <si>
    <t>https://scholar.google.co.uk/scholar?q="A Proposal for Trust Management in Coalition Environments"&amp;btnG=&amp;hl=en&amp;as_sdt=0,5</t>
  </si>
  <si>
    <t>citation:doc-1133-01</t>
  </si>
  <si>
    <t>https://scholar.google.co.uk/scholar?q="Security Policy Automation from Specification to Device Configuration"&amp;btnG=&amp;hl=en&amp;as_sdt=0,5</t>
  </si>
  <si>
    <t>citation:doc-1134a-01</t>
  </si>
  <si>
    <t>https://scholar.google.co.uk/scholar?q="A Metadata Calculus for Securing Information Flows"&amp;btnG=&amp;hl=en&amp;as_sdt=0,5</t>
  </si>
  <si>
    <t>citation:doc-1135-01</t>
  </si>
  <si>
    <t>https://scholar.google.co.uk/scholar?q="The True Cost of Accurate Time"&amp;btnG=&amp;hl=en&amp;as_sdt=0,5</t>
  </si>
  <si>
    <t>citation:doc-1136-01</t>
  </si>
  <si>
    <t>https://scholar.google.co.uk/scholar?q="Inter-Domain Path Authentication in Tactical MANETs"&amp;btnG=&amp;hl=en&amp;as_sdt=0,5</t>
  </si>
  <si>
    <t>citation:doc-1137-01</t>
  </si>
  <si>
    <t>https://scholar.google.co.uk/scholar?q="Toward Identifying Process Models in Ad Hoc and Distributed Teams"&amp;btnG=&amp;hl=en&amp;as_sdt=0,5</t>
  </si>
  <si>
    <t>citation:doc-1138-01</t>
  </si>
  <si>
    <t>https://scholar.google.co.uk/scholar?q="Angle-of-Arrival Assisted Radio Interferometry (ARI) Target Localization"&amp;btnG=&amp;hl=en&amp;as_sdt=0,5</t>
  </si>
  <si>
    <t>citation:doc-1139-01</t>
  </si>
  <si>
    <t>https://scholar.google.co.uk/scholar?q="Detecting Transient Signals with Incomplete Observations"&amp;btnG=&amp;hl=en&amp;as_sdt=0,5</t>
  </si>
  <si>
    <t>citation:doc-1141-01</t>
  </si>
  <si>
    <t>https://scholar.google.co.uk/scholar?q="A New Form of Network Coded Cooperative Transmission for Multiple Access Channels"&amp;btnG=&amp;hl=en&amp;as_sdt=0,5</t>
  </si>
  <si>
    <t>citation:doc-1143a-01</t>
  </si>
  <si>
    <t>https://scholar.google.co.uk/scholar?q="Blind Estimation of Transmit-Power for Multiple Wireless Sources"&amp;btnG=&amp;hl=en&amp;as_sdt=0,5</t>
  </si>
  <si>
    <t>citation:doc-1144a-01</t>
  </si>
  <si>
    <t>https://scholar.google.co.uk/scholar?q="Securing Information Flows: A Quantitative Risk Analysis Approach"&amp;btnG=&amp;hl=en&amp;as_sdt=0,5</t>
  </si>
  <si>
    <t>citation:doc-1145a-01</t>
  </si>
  <si>
    <t>https://scholar.google.co.uk/scholar?q="Connectivity Augmentation in Tactical Mobile Ad hoc Networks"&amp;btnG=&amp;hl=en&amp;as_sdt=0,5</t>
  </si>
  <si>
    <t>citation:doc-1146-01</t>
  </si>
  <si>
    <t>https://scholar.google.co.uk/scholar?q="Tiered Architecture for On-Line Detection, Isolation and Repair of Faults in Wireless Sensor Networks"&amp;btnG=&amp;hl=en&amp;as_sdt=0,5</t>
  </si>
  <si>
    <t>citation:doc-1147a-01</t>
  </si>
  <si>
    <t>https://scholar.google.co.uk/scholar?q="Assigning Sensors to Competing Missions"&amp;btnG=&amp;hl=en&amp;as_sdt=0,5</t>
  </si>
  <si>
    <t>citation:doc-1148-01</t>
  </si>
  <si>
    <t>https://scholar.google.co.uk/scholar?q="Time Dependent Message Spraying for Routing in Intermittently Connected Networks"&amp;btnG=&amp;hl=en&amp;as_sdt=0,5</t>
  </si>
  <si>
    <t>citation:doc-1149-01</t>
  </si>
  <si>
    <t>https://scholar.google.co.uk/scholar?q="Distributed Target Tracking with Imperfect Binary Sensor Networks"&amp;btnG=&amp;hl=en&amp;as_sdt=0,5</t>
  </si>
  <si>
    <t>citation:doc-1150a-01</t>
  </si>
  <si>
    <t>https://scholar.google.co.uk/scholar?q="Flexible and Secure Communications in an Identity-Based Coalition Environment"&amp;btnG=&amp;hl=en&amp;as_sdt=0,5</t>
  </si>
  <si>
    <t>citation:doc-1151-01</t>
  </si>
  <si>
    <t>https://scholar.google.co.uk/scholar?q="Multi-target Tracking and Identification by a Vector of Sensors"&amp;btnG=&amp;hl=en&amp;as_sdt=0,5</t>
  </si>
  <si>
    <t>citation:doc-1152a-01</t>
  </si>
  <si>
    <t>https://scholar.google.co.uk/scholar?q="Balancing Cost-Quality Tradeoff in Cooperative Ad Hoc Sensor Networks"&amp;btnG=&amp;hl=en&amp;as_sdt=0,5</t>
  </si>
  <si>
    <t>citation:doc-1153-01</t>
  </si>
  <si>
    <t>https://scholar.google.co.uk/scholar?q="Reasoning and Resource Allocation for Sensor-Mission Assignment in a Coalition Context"&amp;btnG=&amp;hl=en&amp;as_sdt=0,5</t>
  </si>
  <si>
    <t>citation:doc-1154-01</t>
  </si>
  <si>
    <t>https://scholar.google.co.uk/scholar?q="A Computational Framework for Quality of Information Analysis for Detection-oriented Sensor Networks"&amp;btnG=&amp;hl=en&amp;as_sdt=0,5</t>
  </si>
  <si>
    <t>citation:doc-1155-01</t>
  </si>
  <si>
    <t>https://scholar.google.co.uk/scholar?q="Direction Assisted Geographic Routing for Mobile Ad Hoc Networks"&amp;btnG=&amp;hl=en&amp;as_sdt=0,5</t>
  </si>
  <si>
    <t>citation:doc-1156-01</t>
  </si>
  <si>
    <t>https://scholar.google.co.uk/scholar?q="Collaborative And Context-Aware Planning"&amp;btnG=&amp;hl=en&amp;as_sdt=0,5</t>
  </si>
  <si>
    <t>citation:doc-1157-01</t>
  </si>
  <si>
    <t>https://scholar.google.co.uk/scholar?q="On the performance of random linear network coding in relay networks"&amp;btnG=&amp;hl=en&amp;as_sdt=0,5</t>
  </si>
  <si>
    <t>citation:doc-1159-01</t>
  </si>
  <si>
    <t>https://scholar.google.co.uk/scholar?q="Bio-inspired Multi-Agent Collaboration for Urban Monitoring Applications"&amp;btnG=&amp;hl=en&amp;as_sdt=0,5</t>
  </si>
  <si>
    <t>citation:doc-1160a-01</t>
  </si>
  <si>
    <t>https://scholar.google.co.uk/scholar?q="Strongly-Resilient and Non-Interactive Hierarchical Key-Agreement in MANETs"&amp;btnG=&amp;hl=en&amp;as_sdt=0,5</t>
  </si>
  <si>
    <t>citation:doc-1163a-01</t>
  </si>
  <si>
    <t>https://scholar.google.co.uk/scholar?q="Trust Management For Secure Information Flows"&amp;btnG=&amp;hl=en&amp;as_sdt=0,5</t>
  </si>
  <si>
    <t>citation:doc-1164-01</t>
  </si>
  <si>
    <t>https://scholar.google.co.uk/scholar?q="Scalable Topology Discovery and Link State Detection using Routing Events"&amp;btnG=&amp;hl=en&amp;as_sdt=0,5</t>
  </si>
  <si>
    <t>citation:doc-1165-01</t>
  </si>
  <si>
    <t>https://scholar.google.co.uk/scholar?q="Quality of Information: an Empirical Approach"&amp;btnG=&amp;hl=en&amp;as_sdt=0,5</t>
  </si>
  <si>
    <t>citation:doc-1166a-01</t>
  </si>
  <si>
    <t>https://scholar.google.co.uk/scholar?q="ProbeCast: Ad Hoc Multicast Admission Control via Probing"&amp;btnG=&amp;hl=en&amp;as_sdt=0,5</t>
  </si>
  <si>
    <t>citation:doc-1167a-01</t>
  </si>
  <si>
    <t>https://scholar.google.co.uk/scholar?q=%22Relaycast: Scalable Multicast Routing in Delay Tolerant Networks%22&amp;btnG=&amp;hl=en&amp;as_sdt=0%2C5</t>
  </si>
  <si>
    <t>citation:doc-1170-01</t>
  </si>
  <si>
    <t>https://scholar.google.co.uk/scholar?q="Utility-Based Joint Sensor Selection and Congestion Control for Task-Oriented WSNs"&amp;btnG=&amp;hl=en&amp;as_sdt=0,5</t>
  </si>
  <si>
    <t>https://scholar.google.co.uk/scholar?q="FairCast: Fair Multi-Media Streaming in Ad Hoc Networks through Local Congestion Control"&amp;btnG=&amp;hl=en&amp;as_sdt=0,5</t>
  </si>
  <si>
    <t>citation:doc-1172a-01</t>
  </si>
  <si>
    <t>https://scholar.google.co.uk/scholar?q="Distributed Network Utility Optimization in Wireless Sensor Networks Using Power Control"&amp;btnG=&amp;hl=en&amp;as_sdt=0,5</t>
  </si>
  <si>
    <t>citation:doc-1173-01</t>
  </si>
  <si>
    <t>https://scholar.google.co.uk/scholar?q="A Multidimensional Approach to Studying Cultural Differences and Coping Strategies in a Multinational Coalition Environment"&amp;btnG=&amp;hl=en&amp;as_sdt=0,5</t>
  </si>
  <si>
    <t>citation:doc-1174-01</t>
  </si>
  <si>
    <t>https://scholar.google.co.uk/scholar?q="Social sensemaking in multinational groups: a common ground approach"&amp;btnG=&amp;hl=en&amp;as_sdt=0,5</t>
  </si>
  <si>
    <t>citation:doc-1175-01</t>
  </si>
  <si>
    <t>https://scholar.google.co.uk/scholar?q="A System Architecture for Filtering and Disseminating Data in Sensors Networks"&amp;btnG=&amp;hl=en&amp;as_sdt=0,5</t>
  </si>
  <si>
    <t>citation:doc-1176a-01</t>
  </si>
  <si>
    <t>https://scholar.google.co.uk/scholar?q="A knapsack approach to sensor-mission assignment with uncertain demands"&amp;btnG=&amp;hl=en&amp;as_sdt=0,5</t>
  </si>
  <si>
    <t>citation:doc-1177-01</t>
  </si>
  <si>
    <t>https://scholar.google.co.uk/scholar?q="Addressing Practical Challenges in Utility Optimization of Mobile Wireless Sensor Networks"&amp;btnG=&amp;hl=en&amp;as_sdt=0,5</t>
  </si>
  <si>
    <t>citation:doc-1178-01</t>
  </si>
  <si>
    <t>https://scholar.google.co.uk/scholar?q="Quality-Driven Congestion Control for Target Tracking in Wireless Sensor Networks"&amp;btnG=&amp;hl=en&amp;as_sdt=0,5</t>
  </si>
  <si>
    <t>citation:doc-1179-01</t>
  </si>
  <si>
    <t>https://scholar.google.co.uk/scholar?q="Security And Anonymity Of Identity-Based Encryption With Multiple Trusted Authorities"&amp;btnG=&amp;hl=en&amp;as_sdt=0,5</t>
  </si>
  <si>
    <t>citation:doc-1180-01</t>
  </si>
  <si>
    <t>https://scholar.google.co.uk/scholar?q="An Ontology-Centric Approach to Sensor-Mission Assignment"&amp;btnG=&amp;hl=en&amp;as_sdt=0,5</t>
  </si>
  <si>
    <t>citation:doc-1181a-01</t>
  </si>
  <si>
    <t>https://scholar.google.co.uk/scholar?q="ROFL: Routing as the Firewall Layer"&amp;btnG=&amp;hl=en&amp;as_sdt=0,5</t>
  </si>
  <si>
    <t>citation:doc-1182-01</t>
  </si>
  <si>
    <t>https://scholar.google.co.uk/scholar?q="Opportunistic Forwarding in Wireless Networks with Duty Cycling"&amp;btnG=&amp;hl=en&amp;as_sdt=0,5</t>
  </si>
  <si>
    <t>https://scholar.google.co.uk/scholar?q="Adaptive Random Re-Routing for Differentiated QoS in Sensor Networks"&amp;btnG=&amp;hl=en&amp;as_sdt=0,5</t>
  </si>
  <si>
    <t>citation:doc-1184-01</t>
  </si>
  <si>
    <t>https://scholar.google.co.uk/scholar?q="Relays, Base Stations, and Meshes : Enhancing Mobile Networks with Infrastructure"&amp;btnG=&amp;hl=en&amp;as_sdt=0,5</t>
  </si>
  <si>
    <t>citation:doc-1185a-01</t>
  </si>
  <si>
    <t>https://scholar.google.co.uk/scholar?q="Cross-Layer Routing Optimization for Wireless Networks with Cooperative Diversity"&amp;btnG=&amp;hl=en&amp;as_sdt=0,5</t>
  </si>
  <si>
    <t>citation:doc-1186-01</t>
  </si>
  <si>
    <t>https://scholar.google.co.uk/scholar?q="Adaptive QoS Routing for Significant Events in Wireless Sensor Networks"&amp;btnG=&amp;hl=en&amp;as_sdt=0,5</t>
  </si>
  <si>
    <t>citation:doc-1188a-01</t>
  </si>
  <si>
    <t>https://scholar.google.co.uk/scholar?q="Securing Information Flows: A Metadata Framework"&amp;btnG=&amp;hl=en&amp;as_sdt=0,5</t>
  </si>
  <si>
    <t>citation:doc-1189a-01</t>
  </si>
  <si>
    <t>https://scholar.google.co.uk/scholar?q="Enhancing Energy Efficiency for Data Fusion in Sensor Networks with a Detection Mission"&amp;btnG=&amp;hl=en&amp;as_sdt=0,5</t>
  </si>
  <si>
    <t>citation:doc-1190a-01</t>
  </si>
  <si>
    <t>https://scholar.google.co.uk/scholar?q="Adaptive Sampling for Transient Signal Detection in the Presence of Missing Samples"&amp;btnG=&amp;hl=en&amp;as_sdt=0,5</t>
  </si>
  <si>
    <t>citation:doc-1192a-01</t>
  </si>
  <si>
    <t>https://scholar.google.co.uk/scholar?q="Command Dialogues"&amp;btnG=&amp;hl=en&amp;as_sdt=0,5</t>
  </si>
  <si>
    <t>citation:doc-1193a-01</t>
  </si>
  <si>
    <t>https://scholar.google.co.uk/scholar?q="Inter-Domain Routing for Mobile Ad Hoc Networks"&amp;btnG=&amp;hl=en&amp;as_sdt=0,5</t>
  </si>
  <si>
    <t>citation:doc-1194-01</t>
  </si>
  <si>
    <t>https://scholar.google.co.uk/scholar?q="Low-Power High-Accuracy Timing Systems for Efficient Duty Cycling"&amp;btnG=&amp;hl=en&amp;as_sdt=0,5</t>
  </si>
  <si>
    <t>https://scholar.google.co.uk/scholar?q="On Low Dimensional Random Projections and Similarity Search"&amp;btnG=&amp;hl=en&amp;as_sdt=0,5</t>
  </si>
  <si>
    <t>citation:doc-1196a-01</t>
  </si>
  <si>
    <t>https://scholar.google.co.uk/scholar?q="Latency of Opportunistic Forwarding in Finite Regular Wireless Networks"&amp;btnG=&amp;hl=en&amp;as_sdt=0,5</t>
  </si>
  <si>
    <t>citation:doc-1197-01</t>
  </si>
  <si>
    <t>https://scholar.google.co.uk/scholar?q="Phase Transitions of Opportunistic Communication"&amp;btnG=&amp;hl=en&amp;as_sdt=0,5</t>
  </si>
  <si>
    <t>citation:doc-1198-01</t>
  </si>
  <si>
    <t>https://scholar.google.co.uk/scholar?q="Predictability of Human Mobility and Its Impact on Forwarding"&amp;btnG=&amp;hl=en&amp;as_sdt=0,5</t>
  </si>
  <si>
    <t>citation:doc-1199a-01</t>
  </si>
  <si>
    <t>https://scholar.google.co.uk/scholar?q="MLS Security Policy Evolution with Genetic Programming"&amp;btnG=&amp;hl=en&amp;as_sdt=0,5</t>
  </si>
  <si>
    <t>citation:doc-1201-01</t>
  </si>
  <si>
    <t>https://scholar.google.co.uk/scholar?q="A Role-based Infrastructure for the Management of Dynamic Communities"&amp;btnG=&amp;hl=en&amp;as_sdt=0,5</t>
  </si>
  <si>
    <t>citation:doc-1202-01</t>
  </si>
  <si>
    <t>https://scholar.google.co.uk/scholar?q="A Middleware Framework for Market-Based Actuator Coordination in Sensor and Actuator Networks"&amp;btnG=&amp;hl=en&amp;as_sdt=0,5</t>
  </si>
  <si>
    <t>citation:doc-1203a-01</t>
  </si>
  <si>
    <t>https://scholar.google.co.uk/scholar?hl=en&amp;q=%22Acoustic+Information+Fusion+for+Ground+Vehicle+Classification%22&amp;btnG=&amp;as_sdt=1%2C5&amp;as_sdtp=</t>
  </si>
  <si>
    <t>citation:doc-1205-01</t>
  </si>
  <si>
    <t>https://scholar.google.co.uk/scholar?q="Assault and PEPA"&amp;btnG=&amp;hl=en&amp;as_sdt=0,5</t>
  </si>
  <si>
    <t>citation:doc-1206-01</t>
  </si>
  <si>
    <t>https://scholar.google.co.uk/scholar?q="GeoDTN Nav: A Hybrid Geographic and DTN Routing with Navigation Assistance in Urban Vehicular Network"&amp;btnG=&amp;hl=en&amp;as_sdt=0,5</t>
  </si>
  <si>
    <t>citation:doc-1207-01</t>
  </si>
  <si>
    <t>https://scholar.google.co.uk/scholar?q="Near-Optimal Co-ordinated Coding in Wireless Multihop Networks"&amp;btnG=&amp;hl=en&amp;as_sdt=0,5</t>
  </si>
  <si>
    <t>citation:doc-1209-01</t>
  </si>
  <si>
    <t>https://scholar.google.co.uk/scholar?q="Enabling Accurate Node Control in Randomized Duty Cycling Networks"&amp;btnG=&amp;hl=en&amp;as_sdt=0,5</t>
  </si>
  <si>
    <t>citation:doc-1210-01</t>
  </si>
  <si>
    <t>https://scholar.google.co.uk/scholar?q="Compact forbidden-set routing on planar graphs"&amp;btnG=&amp;hl=en&amp;as_sdt=0,5</t>
  </si>
  <si>
    <t>citation:doc-1211a-01</t>
  </si>
  <si>
    <t>https://scholar.google.co.uk/scholar?q="Policy Evolution using Genetic Programming: A comparison of three approaches"&amp;btnG=&amp;hl=en&amp;as_sdt=0,5</t>
  </si>
  <si>
    <t>citation:doc-1212-01</t>
  </si>
  <si>
    <t>https://scholar.google.co.uk/scholar?q="An Algebra for Integration and Analysis of Ponder2 Policies"&amp;btnG=&amp;hl=en&amp;as_sdt=0,5</t>
  </si>
  <si>
    <t>citation:doc-1213a-01</t>
  </si>
  <si>
    <t>https://scholar.google.co.uk/scholar?q="Hypothesis Pruning and Ranking for Large Plan Recognition Problems"&amp;btnG=&amp;hl=en&amp;as_sdt=0,5</t>
  </si>
  <si>
    <t>citation:doc-1215-01</t>
  </si>
  <si>
    <t>https://scholar.google.co.uk/scholar?q="Maximizing Utility of Sensor Mission Assignment with Uncertain Demands"&amp;btnG=&amp;hl=en&amp;as_sdt=0,5</t>
  </si>
  <si>
    <t>citation:doc-1216-01</t>
  </si>
  <si>
    <t>https://scholar.google.co.uk/scholar?q="Content Distribution in VANETs using Network Coding: The Effect of Disk I/O and Processing O/H"&amp;btnG=&amp;hl=en&amp;as_sdt=0,5</t>
  </si>
  <si>
    <t>citation:doc-1217a-01</t>
  </si>
  <si>
    <t>https://scholar.google.co.uk/scholar?q="How to Enable Policy-based Interactions in Dynamic Wireless Networks?"&amp;btnG=&amp;hl=en&amp;as_sdt=0,5</t>
  </si>
  <si>
    <t>citation:doc-1218a-01</t>
  </si>
  <si>
    <t>https://scholar.google.co.uk/scholar?q="Policy Enabled ITA Sensor Fabric - A Distributed Framework for the Validation of Experimental Algorithms Using Real and Simulated Sensors"&amp;btnG=&amp;hl=en&amp;as_sdt=0,5</t>
  </si>
  <si>
    <t>https://scholar.google.co.uk/scholar?q="Utility-Based Adaptation in Mission-oriented Wireless Sensor Networks"&amp;btnG=&amp;hl=en&amp;as_sdt=0,5</t>
  </si>
  <si>
    <t>citation:doc-1220a-01</t>
  </si>
  <si>
    <t>https://scholar.google.co.uk/scholar?q="Broadcasting Info-Pages to Sensors: Efficiency vs. Energy Conservation"&amp;btnG=&amp;hl=en&amp;as_sdt=0,5</t>
  </si>
  <si>
    <t>citation:doc-1221-01</t>
  </si>
  <si>
    <t>https://scholar.google.co.uk/scholar?q="Frugal Sensor Assignment"&amp;btnG=&amp;hl=en&amp;as_sdt=0,5</t>
  </si>
  <si>
    <t>citation:doc-1222-01</t>
  </si>
  <si>
    <t>https://scholar.google.co.uk/scholar?q="Adaptive Military Behaviour in a Collaborative Simulation"&amp;btnG=&amp;hl=en&amp;as_sdt=0,5</t>
  </si>
  <si>
    <t>citation:doc-1224a-01</t>
  </si>
  <si>
    <t>https://scholar.google.co.uk/scholar?q="Connectivity in Cooperative Wireless Ad Hoc Networks"&amp;btnG=&amp;hl=en&amp;as_sdt=0,5</t>
  </si>
  <si>
    <t>citation:doc-1226a-01</t>
  </si>
  <si>
    <t>https://scholar.google.co.uk/scholar?q="Robust Routing in Networks With Time-Varying Links"&amp;btnG=&amp;hl=en&amp;as_sdt=0,5</t>
  </si>
  <si>
    <t>citation:doc-1227-01</t>
  </si>
  <si>
    <t>https://scholar.google.co.uk/scholar?q="A Cost-Quality Tradeoff in Cooperative Sensor Networking"&amp;btnG=&amp;hl=en&amp;as_sdt=0,5</t>
  </si>
  <si>
    <t>citation:doc-1228a-01</t>
  </si>
  <si>
    <t>https://scholar.google.co.uk/scholar?q="Robust and Efficient Plan Recognition for Dynamic Multi-Agent Teams"&amp;btnG=&amp;hl=en&amp;as_sdt=0,5</t>
  </si>
  <si>
    <t>citation:doc-1229-01</t>
  </si>
  <si>
    <t>https://scholar.google.co.uk/scholar?q="On the design of a quality-of-service driven routing protocol for wireless cooperative networks"&amp;btnG=&amp;hl=en&amp;as_sdt=0,5</t>
  </si>
  <si>
    <t>citation:doc-1230-01</t>
  </si>
  <si>
    <t>https://scholar.google.co.uk/scholar?q="Connectivity check in 3-connected planar graphs with obstacles"&amp;btnG=&amp;hl=en&amp;as_sdt=0,5</t>
  </si>
  <si>
    <t>citation:doc-1232-01</t>
  </si>
  <si>
    <t>https://scholar.google.co.uk/scholar?q="Cooperative Transmit-Power Estimation under Wireless Fading"&amp;btnG=&amp;hl=en&amp;as_sdt=0,5</t>
  </si>
  <si>
    <t>citation:doc-1233a-01</t>
  </si>
  <si>
    <t>https://scholar.google.co.uk/scholar?q="The Coalition Policy Management Portal for Policy Authoring, Verification, and Deployment"&amp;btnG=&amp;hl=en&amp;as_sdt=0,5</t>
  </si>
  <si>
    <t>citation:doc-1235-01</t>
  </si>
  <si>
    <t>https://scholar.google.co.uk/scholar?q="A Distributed Cooperative Target Tracking with Binary Sensor Networks"&amp;btnG=&amp;hl=en&amp;as_sdt=0,5</t>
  </si>
  <si>
    <t>citation:doc-1237b-01</t>
  </si>
  <si>
    <t>https://scholar.google.co.uk/scholar?q="Network Domain Entrypoint/path Detemination for DDoS Attacks"&amp;btnG=&amp;hl=en&amp;as_sdt=0,5</t>
  </si>
  <si>
    <t>https://scholar.google.co.uk/scholar?q="Aggregate Message Authentication Codes"&amp;btnG=&amp;hl=en&amp;as_sdt=0,5</t>
  </si>
  <si>
    <t>citation:doc-1239-01</t>
  </si>
  <si>
    <t>https://scholar.google.co.uk/scholar?q="Cultural Network Analysis: Characterizing Target Audience Cognition"&amp;btnG=&amp;hl=en&amp;as_sdt=0,5</t>
  </si>
  <si>
    <t>citation:doc-1240a-01</t>
  </si>
  <si>
    <t>https://scholar.google.co.uk/scholar?q="NITELIGHT: A Graphical Tool for Semantic Query Construction"&amp;btnG=&amp;hl=en&amp;as_sdt=0,5</t>
  </si>
  <si>
    <t>citation:doc-1241b-01</t>
  </si>
  <si>
    <t>https://scholar.google.co.uk/scholar?q="US/UK Mental Models of Planning: The Relationship between Plan Detail and Plan Quality"&amp;btnG=&amp;hl=en&amp;as_sdt=0,5</t>
  </si>
  <si>
    <t>citation:doc-1242-01</t>
  </si>
  <si>
    <t>https://scholar.google.co.uk/scholar?q="Linguistic Sources of Coalition Miscommunication"&amp;btnG=&amp;hl=en&amp;as_sdt=0,5</t>
  </si>
  <si>
    <t>citation:doc-1243a-01</t>
  </si>
  <si>
    <t>https://scholar.google.co.uk/scholar?q="Threshold RSA for Dynamic and Ad-Hoc Groups"&amp;btnG=&amp;hl=en&amp;as_sdt=0,5</t>
  </si>
  <si>
    <t>citation:doc-1244-01</t>
  </si>
  <si>
    <t>https://scholar.google.co.uk/scholar?q="On Data Centric Trust Establishment in Ephemeral Ad-Hoc Networks"&amp;btnG=&amp;hl=en&amp;as_sdt=0,5</t>
  </si>
  <si>
    <t>citation:doc-1246a-01</t>
  </si>
  <si>
    <t>https://scholar.google.co.uk/scholar?q="Automated Requirements-Driven Definition of Norms for the Regulation of Behavior in Multi-Agent Systems"&amp;btnG=&amp;hl=en&amp;as_sdt=0,5</t>
  </si>
  <si>
    <t>citation:doc-1247-01</t>
  </si>
  <si>
    <t>https://scholar.google.co.uk/scholar?q="A Model of Human Teamwork for Agent-Assisted Search Operations"&amp;btnG=&amp;hl=en&amp;as_sdt=0,5</t>
  </si>
  <si>
    <t>citation:doc-1249-01</t>
  </si>
  <si>
    <t>https://scholar.google.co.uk/scholar?q="Cooperative Transmit-Power Estimation in MANETs"&amp;btnG=&amp;hl=en&amp;as_sdt=0,5</t>
  </si>
  <si>
    <t>citation:doc-1250-01</t>
  </si>
  <si>
    <t>citation:doc-1251a-01</t>
  </si>
  <si>
    <t>https://scholar.google.co.uk/scholar?q="Matching Sensors to Missions using a Knowledge-Based Approach"&amp;btnG=&amp;hl=en&amp;as_sdt=0,5</t>
  </si>
  <si>
    <t>citation:doc-1252-01</t>
  </si>
  <si>
    <t>https://scholar.google.co.uk/scholar?q="On the Resiliency of Wireless Sensor Networks with Circulation Graphs"&amp;btnG=&amp;hl=en&amp;as_sdt=0,5</t>
  </si>
  <si>
    <t>citation:doc-1253-01</t>
  </si>
  <si>
    <t>https://scholar.google.co.uk/scholar?q="A Biologically-Inspired MANET Architecture"&amp;btnG=&amp;hl=en&amp;as_sdt=0,5</t>
  </si>
  <si>
    <t>citation:doc-1255-01</t>
  </si>
  <si>
    <t>https://scholar.google.co.uk/scholar?q="Using stochastic process algebra models to estimate the quality of information in military sensor networks"&amp;btnG=&amp;hl=en&amp;as_sdt=0,5</t>
  </si>
  <si>
    <t>https://scholar.google.co.uk/scholar?q="A New Privacy Enhanced Matchmaking Protocol"&amp;btnG=&amp;hl=en&amp;as_sdt=0,5</t>
  </si>
  <si>
    <t>citation:doc-1257-01</t>
  </si>
  <si>
    <t>https://scholar.google.co.uk/scholar?q="Sensor Assignment In Virtual Environments Using Constraint Programming"&amp;btnG=&amp;hl=en&amp;as_sdt=0,5</t>
  </si>
  <si>
    <t>citation:doc-1259a-01</t>
  </si>
  <si>
    <t>https://scholar.google.co.uk/scholar?q="Enhanced TCP SYN Attack Detection"&amp;btnG=&amp;hl=en&amp;as_sdt=0,5</t>
  </si>
  <si>
    <t>citation:doc-1260a-01</t>
  </si>
  <si>
    <t>https://scholar.google.co.uk/scholar?q="Secure Dynamic Community Establishment in Coalitions"&amp;btnG=&amp;hl=en&amp;as_sdt=0,5</t>
  </si>
  <si>
    <t>citation:doc-1262a-01</t>
  </si>
  <si>
    <t>https://scholar.google.co.uk/scholar?q="Covering With Inexactly Placed Sensors"&amp;btnG=&amp;hl=en&amp;as_sdt=0,5</t>
  </si>
  <si>
    <t>citation:doc-1263-01</t>
  </si>
  <si>
    <t>https://scholar.google.co.uk/scholar?q="A Framework for QoI-inspired Analysis for Sensor Network Deployment Planning"&amp;btnG=&amp;hl=en&amp;as_sdt=0,5</t>
  </si>
  <si>
    <t>citation:doc-1264b-01</t>
  </si>
  <si>
    <t>https://scholar.google.co.uk/scholar?q="Network Coding Performance for Reliable Multicast"&amp;btnG=&amp;hl=en&amp;as_sdt=0,5</t>
  </si>
  <si>
    <t>citation:doc-1265-01</t>
  </si>
  <si>
    <t>citation:doc-1266a-01</t>
  </si>
  <si>
    <t>https://scholar.google.co.uk/scholar?q="MIMO and TCP: A Case for Cross Layer Design"&amp;btnG=&amp;hl=en&amp;as_sdt=0,5</t>
  </si>
  <si>
    <t>citation:doc-1269a-01</t>
  </si>
  <si>
    <t>https://scholar.google.co.uk/scholar?q="Efficient Plan Recognition for Dynamic Multi-agent Teams"&amp;btnG=&amp;hl=en&amp;as_sdt=0,5</t>
  </si>
  <si>
    <t>citation:doc-1271a-01</t>
  </si>
  <si>
    <t>https://scholar.google.co.uk/scholar?q="Key Refreshing in Identity-based Cryptography and its Application in MANETs"&amp;btnG=&amp;hl=en&amp;as_sdt=0,5</t>
  </si>
  <si>
    <t>citation:doc-1273a-01</t>
  </si>
  <si>
    <t>https://scholar.google.co.uk/scholar?q="Efficient Trust Authority Distribution in Tactical MANET Environments"&amp;btnG=&amp;hl=en&amp;as_sdt=0,5</t>
  </si>
  <si>
    <t>citation:doc-1274a-01</t>
  </si>
  <si>
    <t>https://scholar.google.co.uk/scholar?q="Managing Conflict Resolution in Norm-Regulated Environments"&amp;btnG=&amp;hl=en&amp;as_sdt=0,5</t>
  </si>
  <si>
    <t>citation:doc-1275b-01</t>
  </si>
  <si>
    <t>https://scholar.google.co.uk/scholar?q="A Survey of Bots Used for Distributed Denial of Service Attacks"&amp;btnG=&amp;hl=en&amp;as_sdt=0,5</t>
  </si>
  <si>
    <t>citation:doc-1276-01</t>
  </si>
  <si>
    <t>https://scholar.google.co.uk/scholar?q="Towards Supporting Interactions between Self-Managed Cells"&amp;btnG=&amp;hl=en&amp;as_sdt=0,5</t>
  </si>
  <si>
    <t>citation:doc-1277a-01</t>
  </si>
  <si>
    <t>https://scholar.google.co.uk/scholar?q="Context-Aware Information Retrieval for Enhanced Situation Awareness"&amp;btnG=&amp;hl=en&amp;as_sdt=0,5</t>
  </si>
  <si>
    <t>citation:doc-1278a-01</t>
  </si>
  <si>
    <t>https://scholar.google.co.uk/scholar?q="MIMO-Cast: A Cross-Layer Ad Hoc Multicast Protocol Using MIMO Radios"&amp;btnG=&amp;hl=en&amp;as_sdt=0,5</t>
  </si>
  <si>
    <t>citation:doc-1279a-01</t>
  </si>
  <si>
    <t>https://scholar.google.co.uk/scholar?q="Capacity of a Wireless Ad Hoc Network with Infrastructure"&amp;btnG=&amp;hl=en&amp;as_sdt=0,5</t>
  </si>
  <si>
    <t>citation:doc-1280-01</t>
  </si>
  <si>
    <t>https://scholar.google.co.uk/scholar?q="Mobile Ad-hoc Inter-domain Network Routing"&amp;btnG=&amp;hl=en&amp;as_sdt=0,5</t>
  </si>
  <si>
    <t>https://scholar.google.co.uk/scholar?q="Gait Feature Subset Selection by Mutual Information"&amp;btnG=&amp;hl=en&amp;as_sdt=0,5</t>
  </si>
  <si>
    <t>citation:doc-1283a-01</t>
  </si>
  <si>
    <t>https://scholar.google.co.uk/scholar?q="Study of a Bus-Based Disruption Tolerant Network: Mobility Modeling and Impact on Routing"&amp;btnG=&amp;hl=en&amp;as_sdt=0,5</t>
  </si>
  <si>
    <t>citation:doc-1286-01</t>
  </si>
  <si>
    <t>https://scholar.google.co.uk/scholar?q="Distributed Cooperative Sensor Networks Using Intelligent Adaptive Antennas"&amp;btnG=&amp;hl=en&amp;as_sdt=0,5</t>
  </si>
  <si>
    <t>citation:doc-1288-01</t>
  </si>
  <si>
    <t>https://scholar.google.co.uk/scholar?q="SHR: Self-Healing Routing for Wireless ad hoc Sensor Networks"&amp;btnG=&amp;hl=en&amp;as_sdt=0,5</t>
  </si>
  <si>
    <t>citation:doc-1289-01</t>
  </si>
  <si>
    <t>https://scholar.google.co.uk/scholar?q="Beta Random Projection"&amp;btnG=&amp;hl=en&amp;as_sdt=0,5</t>
  </si>
  <si>
    <t>citation:doc-1290-01</t>
  </si>
  <si>
    <t>https://scholar.google.co.uk/scholar?q="Wavelet-domain statistics of packet switching networks near traffic congestion"&amp;btnG=&amp;hl=en&amp;as_sdt=0,5</t>
  </si>
  <si>
    <t>citation:doc-1292-01</t>
  </si>
  <si>
    <t>https://scholar.google.co.uk/scholar?q="Privacy Preserving Communication in MANETs"&amp;btnG=&amp;hl=en&amp;as_sdt=0,5</t>
  </si>
  <si>
    <t>citation:doc-1295a-01</t>
  </si>
  <si>
    <t>https://scholar.google.co.uk/scholar?q="First Experience with CarTorrent in a Real Vehicular Ad Hoc Network Testbed"&amp;btnG=&amp;hl=en&amp;as_sdt=0,5</t>
  </si>
  <si>
    <t>citation:doc-1296a-01</t>
  </si>
  <si>
    <t>https://scholar.google.co.uk/scholar?q="Evaluating Vehicle Network Strategies for Downtown Portland: Opportunistic Infrastructure and the Importance of Realistic Mobility Models"&amp;btnG=&amp;hl=en&amp;as_sdt=0,5</t>
  </si>
  <si>
    <t>citation:doc-1298a-01</t>
  </si>
  <si>
    <t>https://scholar.google.co.uk/scholar?q="Efficient Distribution of Trust Authority Functions in Tactical Networks"&amp;btnG=&amp;hl=en&amp;as_sdt=0,5</t>
  </si>
  <si>
    <t>citation:doc-1299-01</t>
  </si>
  <si>
    <t>https://scholar.google.co.uk/scholar?q="Evidential Reasoning in Bipolar Argumentation Frameworks"&amp;btnG=&amp;hl=en&amp;as_sdt=0,5</t>
  </si>
  <si>
    <t>citation:doc-1300-01</t>
  </si>
  <si>
    <t>https://scholar.google.co.uk/scholar?q="The semantic battlespace infosphere: a knowledge infrastructure for improved coalition inter-operability"&amp;btnG=&amp;hl=en&amp;as_sdt=0,5</t>
  </si>
  <si>
    <t>citation:doc-1302-01</t>
  </si>
  <si>
    <t>https://scholar.google.co.uk/scholar?q="Understanding Process Differences: Agreeing Upon a Single Way to Skin a Cat"&amp;btnG=&amp;hl=en&amp;as_sdt=0,5</t>
  </si>
  <si>
    <t>citation:doc-1305-01</t>
  </si>
  <si>
    <t>https://scholar.google.co.uk/scholar?q="Policy Recognition for Multi-Player Tactical Scenarios"&amp;btnG=&amp;hl=en&amp;as_sdt=0,5</t>
  </si>
  <si>
    <t>citation:doc-1306a-01</t>
  </si>
  <si>
    <t>https://scholar.google.co.uk/scholar?q="Identifying regulatory sites using neighborhood species"&amp;btnG=&amp;hl=en&amp;as_sdt=0,5</t>
  </si>
  <si>
    <t>citation:doc-1312-01</t>
  </si>
  <si>
    <t>citation:doc-1314-01</t>
  </si>
  <si>
    <t>https://scholar.google.co.uk/scholar?q="Issues in Designing a Policy Language for Distributed Management of IT Infrastructures"&amp;btnG=&amp;hl=en&amp;as_sdt=0,5</t>
  </si>
  <si>
    <t>citation:doc-1316-01</t>
  </si>
  <si>
    <t>https://scholar.google.co.uk/scholar?q="Quality of information trade-offs in the detection of transient phenomena"&amp;btnG=&amp;hl=en&amp;as_sdt=0,5</t>
  </si>
  <si>
    <t>citation:doc-1317a-01</t>
  </si>
  <si>
    <t>https://scholar.google.co.uk/scholar?q="A Mobile Delay-tolerant Approach to Long-term Energy-efficient Underwater Sensor Networking"&amp;btnG=&amp;hl=en&amp;as_sdt=0,5</t>
  </si>
  <si>
    <t>citation:doc-1318-01</t>
  </si>
  <si>
    <t>https://scholar.google.co.uk/scholar?q="Self-Healing Routing: A Study in Efficiency and Resiliency of Data Delivery in Wireless Sensor Networks"&amp;btnG=&amp;hl=en&amp;as_sdt=0,5</t>
  </si>
  <si>
    <t>citation:doc-1319-01</t>
  </si>
  <si>
    <t>https://scholar.google.co.uk/scholar?q="BlueTorrent: Cooperative Content Sharing for Bluetooth Users"&amp;btnG=&amp;hl=en&amp;as_sdt=0,5</t>
  </si>
  <si>
    <t>citation:doc-1323-01</t>
  </si>
  <si>
    <t>https://scholar.google.co.uk/scholar?q="FiG: Automatic Fingerprint Generation"&amp;btnG=&amp;hl=en&amp;as_sdt=0,5</t>
  </si>
  <si>
    <t>citation:doc-1324-01</t>
  </si>
  <si>
    <t>https://scholar.google.co.uk/scholar?q="Argumentation Based Contract Monitoring in Uncertain Domains"&amp;btnG=&amp;hl=en&amp;as_sdt=0,5</t>
  </si>
  <si>
    <t>citation:doc-1325-01</t>
  </si>
  <si>
    <t>https://scholar.google.co.uk/scholar?q="On the Development of an Internetwork-centric Defense to Scanning Worms"&amp;btnG=&amp;hl=en&amp;as_sdt=0,5</t>
  </si>
  <si>
    <t>citation:doc-1326a-01</t>
  </si>
  <si>
    <t>citation:doc-1327-01</t>
  </si>
  <si>
    <t>https://scholar.google.co.uk/scholar?q="NCR: A Unifying Parameter to Characterize and Evaluate Data Dissemination Scenarios, and its Analytic Study"&amp;btnG=&amp;hl=en&amp;as_sdt=0,5</t>
  </si>
  <si>
    <t>citation:doc-1328-01</t>
  </si>
  <si>
    <t>https://scholar.google.co.uk/scholar?q="Argument Based Contract Enforcement"&amp;btnG=&amp;hl=en&amp;as_sdt=0,5</t>
  </si>
  <si>
    <t>https://scholar.google.co.uk/scholar?q="A Reusable Commitment Management Service using Semantic Web Technology"&amp;btnG=&amp;hl=en&amp;as_sdt=0,5</t>
  </si>
  <si>
    <t>citation:doc-1331-01</t>
  </si>
  <si>
    <t>https://scholar.google.co.uk/scholar?q="UAV Assisted Disruption Tolerant Routing"&amp;btnG=&amp;hl=en&amp;as_sdt=0,5</t>
  </si>
  <si>
    <t>citation:doc-1332-01</t>
  </si>
  <si>
    <t>https://scholar.google.co.uk/scholar?q="Secure Hierarchical In-Network Aggregation in Sensor Networks"&amp;btnG=&amp;hl=en&amp;as_sdt=0,5</t>
  </si>
  <si>
    <t>citation:doc-1333-01</t>
  </si>
  <si>
    <t>https://scholar.google.co.uk/scholar?q="Black-box Anomaly Detection: Is it Utopian?"&amp;btnG=&amp;hl=en&amp;as_sdt=0,5</t>
  </si>
  <si>
    <t>citation:doc-1334b-01</t>
  </si>
  <si>
    <t>https://scholar.google.co.uk/scholar?q="On Sensor Sampling and Quality of Information: A starting point"&amp;btnG=&amp;hl=en&amp;as_sdt=0,5</t>
  </si>
  <si>
    <t>citation:doc-1335-01</t>
  </si>
  <si>
    <t>https://scholar.google.co.uk/scholar?q="Ad-hoc Storage Overlay System (ASOS): A Delay-Tolerant Approach in MANETs"&amp;btnG=&amp;hl=en&amp;as_sdt=0,5</t>
  </si>
  <si>
    <t>citation:doc-1336-01</t>
  </si>
  <si>
    <t>https://scholar.google.co.uk/scholar?q="The Throughput Order of Ad Hoc Networks Employing Network Coding and Broadcasting"&amp;btnG=&amp;hl=en&amp;as_sdt=0,5</t>
  </si>
  <si>
    <t>citation:doc-1337-01</t>
  </si>
  <si>
    <t>https://scholar.google.co.uk/scholar?q="A Simple Argumentation Based Contract Enforcement Mechanism"&amp;btnG=&amp;hl=en&amp;as_sdt=0,5</t>
  </si>
  <si>
    <t>citation:doc-1338a-01</t>
  </si>
  <si>
    <t>https://scholar.google.co.uk/scholar?q="CodeTorrent: Content Distribution using Network Coding in VANET"&amp;btnG=&amp;hl=en&amp;as_sdt=0,5</t>
  </si>
  <si>
    <t>citation:doc-1339-01</t>
  </si>
  <si>
    <t>https://scholar.google.co.uk/scholar?q="The Workflow Based Architecture for Mobile Information Access in Occasionally Connected Computing"&amp;btnG=&amp;hl=en&amp;as_sdt=0,5</t>
  </si>
  <si>
    <t>https://scholar.google.co.uk/scholar?q="On the study of analogue network coding for multi-pair, bidirectional relay channels"&amp;btnG=&amp;hl=en&amp;as_sdt=0,5</t>
  </si>
  <si>
    <t>https://scholar.google.co.uk/scholar?q="Physical Layer Network Coding and Precoding for the Two-Way Relay Channel in Cellular Systems"&amp;btnG=&amp;hl=en&amp;as_sdt=0,5</t>
  </si>
  <si>
    <t>https://scholar.google.co.uk/scholar?q="Cross-layer Routing Using Cooperative Transmission in Vehicular Ad-hoc Networks"&amp;btnG=&amp;hl=en&amp;as_sdt=0,5</t>
  </si>
  <si>
    <t>https://scholar.google.co.uk/scholar?q="Cooperative Transmission Protocols for Wireless Broadcast Channels"&amp;btnG=&amp;hl=en&amp;as_sdt=0,5</t>
  </si>
  <si>
    <t>https://scholar.google.co.uk/scholar?q="Entropy of Digraphs and Infinite Networks"&amp;btnG=&amp;hl=en&amp;as_sdt=0,5</t>
  </si>
  <si>
    <t>https://scholar.google.co.uk/scholar?q="A symmetry index for graphs"&amp;btnG=&amp;hl=en&amp;as_sdt=0,5</t>
  </si>
  <si>
    <t>https://scholar.google.co.uk/scholar?q="Connections between Classical and Parametric Network Entropies"&amp;btnG=&amp;hl=en&amp;as_sdt=0,5</t>
  </si>
  <si>
    <t>citation:doc-1349-01</t>
  </si>
  <si>
    <t>https://scholar.google.co.uk/scholar?q="Boolean Coherence: Does it make sense?"&amp;btnG=&amp;hl=en&amp;as_sdt=0,5</t>
  </si>
  <si>
    <t>https://scholar.google.co.uk/scholar?q="Cost Effective Multi-Period Spraying for Routing in Delay Tolerant Networks"&amp;btnG=&amp;hl=en&amp;as_sdt=0,5</t>
  </si>
  <si>
    <t>https://scholar.google.co.uk/scholar?q="A Taxonomy of Biologically Inspired Research in Computer Networking"&amp;btnG=&amp;hl=en&amp;as_sdt=0,5</t>
  </si>
  <si>
    <t>https://scholar.google.co.uk/scholar?q="Resource Determination and Allocation in Sensor Networks: A Hybrid Approach"&amp;btnG=&amp;hl=en&amp;as_sdt=0,5</t>
  </si>
  <si>
    <t>https://scholar.google.co.uk/scholar?q=%22What Is a Good Plan? Cultural Variations in Expert Planners' Concepts of Plan Quality%22&amp;btnG=&amp;hl=en&amp;as_sdt=0%2C5</t>
  </si>
  <si>
    <t>https://scholar.google.co.uk/scholar?q="Bounds on the Throughput Gain of Network Coding in Unicast and Multicast Wireless Networks"&amp;btnG=&amp;hl=en&amp;as_sdt=0,5</t>
  </si>
  <si>
    <t>https://scholar.google.co.uk/scholar?q="Asymptotic Connectivity Properties of Cooperative Wireless Ad Hoc Networks"&amp;btnG=&amp;hl=en&amp;as_sdt=0,5</t>
  </si>
  <si>
    <t>https://scholar.google.co.uk/scholar?q="Cognitive and Self-Healing Routing for Sensor Networks"&amp;btnG=&amp;hl=en&amp;as_sdt=0,5</t>
  </si>
  <si>
    <t>https://scholar.google.co.uk/scholar?q="MANET QoS Support without Reservations"&amp;btnG=&amp;hl=en&amp;as_sdt=0,5</t>
  </si>
  <si>
    <t>https://scholar.google.co.uk/scholar?q="Temperature Driven Time Synchronization"&amp;btnG=&amp;hl=en&amp;as_sdt=0,5</t>
  </si>
  <si>
    <t>https://scholar.google.co.uk/scholar?q="On the Development of an Internetwork-centric Defense for Scanning Worms"&amp;btnG=&amp;hl=en&amp;as_sdt=0,5</t>
  </si>
  <si>
    <t>https://scholar.google.co.uk/scholar?q="Understanding the Quality of Monitoring for Network Management"&amp;btnG=&amp;hl=en&amp;as_sdt=0,5</t>
  </si>
  <si>
    <t>https://scholar.google.co.uk/scholar?q="Agent Support for Policy-driven Collaborative Mission Planning"&amp;btnG=&amp;hl=en&amp;as_sdt=0,5</t>
  </si>
  <si>
    <t>https://scholar.google.co.uk/scholar?q="Dynamic Service Execution in Sensor Networks"&amp;btnG=&amp;hl=en&amp;as_sdt=0,5</t>
  </si>
  <si>
    <t>https://scholar.google.co.uk/scholar?q="Analyzing Team Decision-Making in Tactical Scenarios"&amp;btnG=&amp;hl=en&amp;as_sdt=0,5</t>
  </si>
  <si>
    <t>https://scholar.google.co.uk/scholar?q="Probabilistic Approaches to Estimating the Quality of Information in Military Sensor Networks"&amp;btnG=&amp;hl=en&amp;as_sdt=0,5</t>
  </si>
  <si>
    <t>citation:doc-1371-01</t>
  </si>
  <si>
    <t>https://scholar.google.co.uk/scholar?q="Engineering Policy-Based Ubiquitous Systems"&amp;btnG=&amp;hl=en&amp;as_sdt=0,5</t>
  </si>
  <si>
    <t>citation:doc-1372-01</t>
  </si>
  <si>
    <t>https://scholar.google.co.uk/scholar?q="Communications for Agent-Based Human Team Support"&amp;btnG=&amp;hl=en&amp;as_sdt=0,5</t>
  </si>
  <si>
    <t>citation:doc-1373-01</t>
  </si>
  <si>
    <t>https://scholar.google.co.uk/scholar?q="Personal Assistants for Human Organizations"&amp;btnG=&amp;hl=en&amp;as_sdt=0,5</t>
  </si>
  <si>
    <t>https://scholar.google.co.uk/scholar?q="CONTOUR: An Efficient Algorithm for Discovering Discriminating Subsequences"&amp;btnG=&amp;hl=en&amp;as_sdt=0,5</t>
  </si>
  <si>
    <t>https://scholar.google.co.uk/scholar?q="Efficient Peer-to-peer File Sharing using Network Coding in MANET"&amp;btnG=&amp;hl=en&amp;as_sdt=0,5</t>
  </si>
  <si>
    <t>https://scholar.google.co.uk/scholar?q="Normative Conflict Resolution in Multi-Agent Systems"&amp;btnG=&amp;hl=en&amp;as_sdt=0,5</t>
  </si>
  <si>
    <t>citation:doc-1377a-01</t>
  </si>
  <si>
    <t>https://scholar.google.co.uk/scholar?q="Information Quality Aware Sensor Network Services"&amp;btnG=&amp;hl=en&amp;as_sdt=0,5</t>
  </si>
  <si>
    <t>https://scholar.google.co.uk/scholar?q="On the Study of Network Coded AF Transmission Protocol for Wireless Multiple Access Channels"&amp;btnG=&amp;hl=en&amp;as_sdt=0,5</t>
  </si>
  <si>
    <t>https://scholar.google.co.uk/scholar?q="Distributed beamforming and power allocation for cooperative networks"&amp;btnG=&amp;hl=en&amp;as_sdt=0,5</t>
  </si>
  <si>
    <t>https://scholar.google.co.uk/scholar?q="Bio-inspired Multi-Agent Data Harvesting in a Proactive Urban Monitoring Environment"&amp;btnG=&amp;hl=en&amp;as_sdt=0,5</t>
  </si>
  <si>
    <t>https://scholar.google.co.uk/scholar?q="E-ODMRP:Enhanced ODMRP with Motion Adaptive Refresh"&amp;btnG=&amp;hl=en&amp;as_sdt=0,5</t>
  </si>
  <si>
    <t>https://scholar.google.co.uk/scholar?q="A Circulatory System Approach for Wireless Sensor Networks"&amp;btnG=&amp;hl=en&amp;as_sdt=0,5</t>
  </si>
  <si>
    <t>https://scholar.google.co.uk/scholar?q="Mitigating Performance Degradation in Congested Sensor Networks"&amp;btnG=&amp;hl=en&amp;as_sdt=0,5</t>
  </si>
  <si>
    <t>citation:doc-1388-01</t>
  </si>
  <si>
    <t>https://scholar.google.co.uk/scholar?q="Biologically Inspired Self Selective Routing with Preferred Path Selection"&amp;btnG=&amp;hl=en&amp;as_sdt=0,5</t>
  </si>
  <si>
    <t>citation:doc-1389b-01</t>
  </si>
  <si>
    <t>https://scholar.google.co.uk/scholar?q="Distributed Utility-Based Sensor Rate Adaptation Protocols for Missions with Differentiated Priorities"&amp;btnG=&amp;hl=en&amp;as_sdt=0,5</t>
  </si>
  <si>
    <t>https://scholar.google.co.uk/scholar?q="Self-Selecting Reliable Paths for Wireless Sensor Network Routing"&amp;btnG=&amp;hl=en&amp;as_sdt=0,5</t>
  </si>
  <si>
    <t>https://scholar.google.co.uk/scholar?q="DARE: A System for Distributed Abductive Reasoning"&amp;btnG=&amp;hl=en&amp;as_sdt=0,5</t>
  </si>
  <si>
    <t>citation:doc-1393a-01</t>
  </si>
  <si>
    <t>https://scholar.google.co.uk/scholar?q="Managing Intelligence Resources Using Semantic Matchmaking and Argumentation"&amp;btnG=&amp;hl=en&amp;as_sdt=0,5</t>
  </si>
  <si>
    <t>https://scholar.google.co.uk/scholar?q="Sequence Alignment for Masquerade Detection"&amp;btnG=&amp;hl=en&amp;as_sdt=0,5</t>
  </si>
  <si>
    <t>https://scholar.google.co.uk/scholar?q="Computing with Time: From Neural Networks to Wireless Networks"&amp;btnG=&amp;hl=en&amp;as_sdt=0,5</t>
  </si>
  <si>
    <t>citation:doc-1396-01</t>
  </si>
  <si>
    <t>https://scholar.google.co.uk/scholar?q="On the Relations Between Non-Interactive Key Distribution, Identity-Based Encryption and Trapdoor Discrete Log Groups"&amp;btnG=&amp;hl=en&amp;as_sdt=0,5</t>
  </si>
  <si>
    <t>https://scholar.google.co.uk/scholar?q="Naming Games in Two-Dimensional and Small-World-Connected Random Geometric Networks"&amp;btnG=&amp;hl=en&amp;as_sdt=0,5</t>
  </si>
  <si>
    <t>https://scholar.google.co.uk/scholar?q="Web 3.0: Chicken Farms on the Semantic Web."&amp;btnG=&amp;hl=en&amp;as_sdt=0,5</t>
  </si>
  <si>
    <t>https://scholar.google.co.uk/scholar?q="The International Technology Alliance in Network and Information Sciences"&amp;btnG=&amp;hl=en&amp;as_sdt=0,5</t>
  </si>
  <si>
    <t>https://scholar.google.co.uk/scholar?q="A diffusion model for packet travel time in a random multi-hop medium"&amp;btnG=&amp;hl=en&amp;as_sdt=0,5</t>
  </si>
  <si>
    <t>https://scholar.google.co.uk/scholar?q="In-Network Outlier Detection in Wireless Sensor Networks"&amp;btnG=&amp;hl=en&amp;as_sdt=0,5</t>
  </si>
  <si>
    <t>citation:doc-1404-01</t>
  </si>
  <si>
    <t>https://scholar.google.co.uk/scholar?q="The influence of risk perception in epidemics: a cellular agent model"&amp;btnG=&amp;hl=en&amp;as_sdt=0,5</t>
  </si>
  <si>
    <t>citation:doc-1406-01</t>
  </si>
  <si>
    <t>https://scholar.google.co.uk/scholar?q="Logic proposal Rationale Example in OWL"&amp;btnG=&amp;hl=en&amp;as_sdt=0,5</t>
  </si>
  <si>
    <t>citation:doc-1407-01</t>
  </si>
  <si>
    <t>https://scholar.google.co.uk/scholar?q="only if an example of human graspability of logic"&amp;btnG=&amp;hl=en&amp;as_sdt=0,5</t>
  </si>
  <si>
    <t>citation:doc-1408-01</t>
  </si>
  <si>
    <t>citation:doc-1409-01</t>
  </si>
  <si>
    <t>citation:doc-1410-01</t>
  </si>
  <si>
    <t>https://scholar.google.co.uk/scholar?q="Security Concerns of NUM-based Networks"&amp;btnG=&amp;hl=en&amp;as_sdt=0,5</t>
  </si>
  <si>
    <t>citation:doc-1411a-01</t>
  </si>
  <si>
    <t>https://scholar.google.co.uk/scholar?q="Summary of Controlled English"&amp;btnG=&amp;hl=en&amp;as_sdt=0,5</t>
  </si>
  <si>
    <t>citation:doc-1412-01</t>
  </si>
  <si>
    <t>https://scholar.google.co.uk/scholar?q="On Structuring Controlled English Documents"&amp;btnG=&amp;hl=en&amp;as_sdt=0,5</t>
  </si>
  <si>
    <t>citation:doc-1414-01</t>
  </si>
  <si>
    <t>citation:doc-1415-01</t>
  </si>
  <si>
    <t>citation:doc-1416-01</t>
  </si>
  <si>
    <t>https://scholar.google.co.uk/scholar?q="Multi-User Diversity for Secrecy in Wireless Networks"&amp;btnG=&amp;hl=en&amp;as_sdt=0,5</t>
  </si>
  <si>
    <t>citation:doc-1417b-01</t>
  </si>
  <si>
    <t>https://scholar.google.co.uk/scholar?q="Review of relational algebra for dynamic distributed federated databases"&amp;btnG=&amp;hl=en&amp;as_sdt=0,5</t>
  </si>
  <si>
    <t>citation:doc-1418-01</t>
  </si>
  <si>
    <t>https://scholar.google.co.uk/scholar?q="Collaboratively Developed Extensions to Commercial Game Environments for Research and Analysis of Coordinated Team Activities"&amp;btnG=&amp;hl=en&amp;as_sdt=0,5</t>
  </si>
  <si>
    <t>citation:doc-1419-01</t>
  </si>
  <si>
    <t>citation:doc-1420-01</t>
  </si>
  <si>
    <t>https://scholar.google.co.uk/scholar?q="Implemented Extensions to CPM 3"&amp;btnG=&amp;hl=en&amp;as_sdt=0,5</t>
  </si>
  <si>
    <t>citation:doc-1424-01</t>
  </si>
  <si>
    <t>https://scholar.google.co.uk/scholar?q="Collaborative Jazz Improvisation as an example of Cognitive and Network Extension"&amp;btnG=&amp;hl=en&amp;as_sdt=0,5</t>
  </si>
  <si>
    <t>citation:doc-1425-01</t>
  </si>
  <si>
    <t>https://scholar.google.co.uk/scholar?q="The Representation of Special Logics in Semantic Web languages"&amp;btnG=&amp;hl=en&amp;as_sdt=0,5</t>
  </si>
  <si>
    <t>citation:doc-1426-01</t>
  </si>
  <si>
    <t>citation:doc-1427-01</t>
  </si>
  <si>
    <t>https://scholar.google.co.uk/scholar?q="Emergent capabilities for collaborative teams in the evolving web environment"&amp;btnG=&amp;hl=en&amp;as_sdt=0,5</t>
  </si>
  <si>
    <t>citation:doc-1428-01</t>
  </si>
  <si>
    <t>https://scholar.google.co.uk/scholar?q="Conceptual Mapping between GPAL-OWL and CPM"&amp;btnG=&amp;hl=en&amp;as_sdt=0,5</t>
  </si>
  <si>
    <t>citation:doc-1430-01</t>
  </si>
  <si>
    <t>citation:doc-1431a-01</t>
  </si>
  <si>
    <t>https://scholar.google.co.uk/scholar?q="GIDS: Global Interlinked Data Store (Full Technical Report)"&amp;btnG=&amp;hl=en&amp;as_sdt=0,5</t>
  </si>
  <si>
    <t>citation:doc-1431b-01</t>
  </si>
  <si>
    <t>https://scholar.google.co.uk/scholar?q="GIDS: Global Interlinked Data Store"&amp;btnG=&amp;hl=en&amp;as_sdt=0,5</t>
  </si>
  <si>
    <t>citation:doc-1432-01</t>
  </si>
  <si>
    <t>https://scholar.google.co.uk/scholar?q="The representation of logic in semantic web languages"&amp;btnG=&amp;hl=en&amp;as_sdt=0,5</t>
  </si>
  <si>
    <t>citation:doc-1433-01</t>
  </si>
  <si>
    <t>https://scholar.google.co.uk/scholar?q="Representation of Logic in the CPM"&amp;btnG=&amp;hl=en&amp;as_sdt=0,5</t>
  </si>
  <si>
    <t>citation:doc-1434-01</t>
  </si>
  <si>
    <t>https://scholar.google.co.uk/scholar?q="Efficient SME Knowledge capture through CNLs and ontologies"&amp;btnG=&amp;hl=en&amp;as_sdt=0,5</t>
  </si>
  <si>
    <t>citation:doc-1435-01</t>
  </si>
  <si>
    <t>citation:doc-1436-01</t>
  </si>
  <si>
    <t>citation:doc-1437-01</t>
  </si>
  <si>
    <t>citation:doc-1438-01</t>
  </si>
  <si>
    <t>https://scholar.google.co.uk/scholar?q="A Hybrid Search Engine for the Semantic Web"&amp;btnG=&amp;hl=en&amp;as_sdt=0,5</t>
  </si>
  <si>
    <t>citation:doc-1440-01</t>
  </si>
  <si>
    <t>https://scholar.google.co.uk/scholar?q=%22Building+Principles+for+a+Quality+of+Information+Specification+for+Sensor+Information%22&amp;btnG=&amp;hl=en&amp;as_sdt=0%2C5</t>
  </si>
  <si>
    <t>citation:doc-1441-01</t>
  </si>
  <si>
    <t>https://scholar.google.co.uk/scholar?q="Evaluation of the Collaborative Planning Model"&amp;btnG=&amp;hl=en&amp;as_sdt=0,5</t>
  </si>
  <si>
    <t>citation:doc-1443a-01</t>
  </si>
  <si>
    <t>https://scholar.google.co.uk/scholar?q="Multi-Sensor Centralized Tracking System"&amp;btnG=&amp;hl=en&amp;as_sdt=0,5</t>
  </si>
  <si>
    <t>citation:doc-1445-01</t>
  </si>
  <si>
    <t>https://scholar.google.co.uk/scholar?q="Creation of a cooperative beam formed antenna system within a cluster"&amp;btnG=&amp;hl=en&amp;as_sdt=0,5</t>
  </si>
  <si>
    <t>citation:doc-1446-01</t>
  </si>
  <si>
    <t>https://scholar.google.co.uk/scholar?q="Framing the problem of creating ad-hoc distributed antenna arrays for cluster communications"&amp;btnG=&amp;hl=en&amp;as_sdt=0,5</t>
  </si>
  <si>
    <t>citation:doc-1448a-01</t>
  </si>
  <si>
    <t>https://scholar.google.co.uk/scholar?q="Holistan Revisited: Demonstrating Agent- and Knowledge-Based Capabilities for Future Coalition Military Operations"&amp;btnG=&amp;hl=en&amp;as_sdt=0,5</t>
  </si>
  <si>
    <t>citation:doc-1449-01</t>
  </si>
  <si>
    <t>https://scholar.google.co.uk/scholar?q="Sensor-mission assignment: A scenario-driven walkthrough"&amp;btnG=&amp;hl=en&amp;as_sdt=0,5</t>
  </si>
  <si>
    <t>citation:doc-1453-01</t>
  </si>
  <si>
    <t>https://scholar.google.co.uk/scholar?q="Robust Routing for Dynamic MANETS"&amp;btnG=&amp;hl=en&amp;as_sdt=0,5</t>
  </si>
  <si>
    <t>citation:doc-1454a-01</t>
  </si>
  <si>
    <t>https://scholar.google.co.uk/scholar?q="Minimizing Average Spraying Cost for Routing in Delay Tolerant Networks"&amp;btnG=&amp;hl=en&amp;as_sdt=0,5</t>
  </si>
  <si>
    <t>citation:doc-1455a-01</t>
  </si>
  <si>
    <t>https://scholar.google.co.uk/scholar?q="A Framework for Supporting Human Military Planning"&amp;btnG=&amp;hl=en&amp;as_sdt=0,5</t>
  </si>
  <si>
    <t>citation:doc-1456a-01</t>
  </si>
  <si>
    <t>https://scholar.google.co.uk/scholar?q="Agent Support for Mission Planning Under Policy Constraints"&amp;btnG=&amp;hl=en&amp;as_sdt=0,5</t>
  </si>
  <si>
    <t>citation:doc-1457a-01</t>
  </si>
  <si>
    <t>https://scholar.google.co.uk/scholar?q="Collaborative, Context-Aware and Chain of Command Sensitive Planning"&amp;btnG=&amp;hl=en&amp;as_sdt=0,5</t>
  </si>
  <si>
    <t>citation:doc-1458-01</t>
  </si>
  <si>
    <t>https://scholar.google.co.uk/scholar?q="Unsupervised Multi-Scale Salient Temporal Outlier Detection"&amp;btnG=&amp;hl=en&amp;as_sdt=0,5</t>
  </si>
  <si>
    <t>citation:doc-1459a-01</t>
  </si>
  <si>
    <t>https://scholar.google.co.uk/scholar?q="Analysis of Cost-Quality Tradeoff in Cooperative Ad Hoc Sensor Networks"&amp;btnG=&amp;hl=en&amp;as_sdt=0,5</t>
  </si>
  <si>
    <t>citation:doc-1460a-01</t>
  </si>
  <si>
    <t>https://scholar.google.co.uk/scholar?q="Distributed Target Tracking Using Binary Sensors with Imprecise Range Measurements"&amp;btnG=&amp;hl=en&amp;as_sdt=0,5</t>
  </si>
  <si>
    <t>citation:doc-1462a-01</t>
  </si>
  <si>
    <t>https://scholar.google.co.uk/scholar?q="Models of Network Growth by Combination"&amp;btnG=&amp;hl=en&amp;as_sdt=0,5</t>
  </si>
  <si>
    <t>citation:doc-1463a-01</t>
  </si>
  <si>
    <t>https://scholar.google.co.uk/scholar?q="A Framework for Culturally Adaptive Policy Management in Ad Hoc Collaborative Contexts"&amp;btnG=&amp;hl=en&amp;as_sdt=0,5</t>
  </si>
  <si>
    <t>citation:doc-1468a-01</t>
  </si>
  <si>
    <t>https://scholar.google.co.uk/scholar?q="From mission specification to quality of information measures - closing the loop in military sensor networks"&amp;btnG=&amp;hl=en&amp;as_sdt=0,5</t>
  </si>
  <si>
    <t>citation:doc-1470a-01</t>
  </si>
  <si>
    <t>https://scholar.google.co.uk/scholar?q="A Multivariate Model for Data Cleansing in Sensor Networks"&amp;btnG=&amp;hl=en&amp;as_sdt=0,5</t>
  </si>
  <si>
    <t>citation:doc-1472-01</t>
  </si>
  <si>
    <t>https://scholar.google.co.uk/scholar?q="Multi-monitor Estimation of Transmit-power under Wireless Fading"&amp;btnG=&amp;hl=en&amp;as_sdt=0,5</t>
  </si>
  <si>
    <t>citation:doc-1474a-01</t>
  </si>
  <si>
    <t>https://scholar.google.co.uk/scholar?q="On the Impact of Time Synchronization on Quality of Information and Network Performance"&amp;btnG=&amp;hl=en&amp;as_sdt=0,5</t>
  </si>
  <si>
    <t>citation:doc-1475-01</t>
  </si>
  <si>
    <t>https://scholar.google.co.uk/scholar?q="Adaptive Random Re-Routing in Sensor Networks"&amp;btnG=&amp;hl=en&amp;as_sdt=0,5</t>
  </si>
  <si>
    <t>citation:doc-1476a-01</t>
  </si>
  <si>
    <t>https://scholar.google.co.uk/scholar?q="The Use of Rationale in Collaborative Planning"&amp;btnG=&amp;hl=en&amp;as_sdt=0,5</t>
  </si>
  <si>
    <t>citation:doc-1478a-01</t>
  </si>
  <si>
    <t>https://scholar.google.co.uk/scholar?q="Engineering Abstractions for Modelling Interactions between Self-Managed Cells"&amp;btnG=&amp;hl=en&amp;as_sdt=0,5</t>
  </si>
  <si>
    <t>citation:doc-1480-01</t>
  </si>
  <si>
    <t>https://scholar.google.co.uk/scholar?q="Rate-optimal decentralized broadcasting: the wireless case"&amp;btnG=&amp;hl=en&amp;as_sdt=0,5</t>
  </si>
  <si>
    <t>citation:doc-1481b-01</t>
  </si>
  <si>
    <t>https://scholar.google.co.uk/scholar?q="Accuracy Analysis of Data Aggregation for Network Monitoring"&amp;btnG=&amp;hl=en&amp;as_sdt=0,5</t>
  </si>
  <si>
    <t>citation:doc-1484a-01</t>
  </si>
  <si>
    <t>https://scholar.google.co.uk/scholar?q="Detecting Transient Signals with Incomplete Observations: Performance Analysis"&amp;btnG=&amp;hl=en&amp;as_sdt=0,5</t>
  </si>
  <si>
    <t>citation:doc-1489b-01</t>
  </si>
  <si>
    <t>https://scholar.google.co.uk/scholar?q="Error Performance Bounds for Routing Algorithms in Wireless Cooperative Networks"&amp;btnG=&amp;hl=en&amp;as_sdt=0,5</t>
  </si>
  <si>
    <t>citation:doc-1491a-01</t>
  </si>
  <si>
    <t>https://scholar.google.co.uk/scholar?q="Improved Energy Efficiency in Sensor Network based Data Fusion for Hypothesis Testing"&amp;btnG=&amp;hl=en&amp;as_sdt=0,5</t>
  </si>
  <si>
    <t>citation:doc-1492a-01</t>
  </si>
  <si>
    <t>https://scholar.google.co.uk/scholar?q="Experimental Insights into Quality of Information"&amp;btnG=&amp;hl=en&amp;as_sdt=0,5</t>
  </si>
  <si>
    <t>citation:doc-1493-01</t>
  </si>
  <si>
    <t>https://scholar.google.co.uk/scholar?q="Network Coding vs. Erasure Coding: Reliable Multicast in Wireless Ad hoc Networks"&amp;btnG=&amp;hl=en&amp;as_sdt=0,5</t>
  </si>
  <si>
    <t>citation:doc-1494a-01</t>
  </si>
  <si>
    <t>https://scholar.google.co.uk/scholar?q="Simulation Framework for QoI Characterization of Sensor Networks in the Presence of Faults"&amp;btnG=&amp;hl=en&amp;as_sdt=0,5</t>
  </si>
  <si>
    <t>citation:doc-1495a-01</t>
  </si>
  <si>
    <t>https://scholar.google.co.uk/scholar?q="Mission-Based Joint Adaptation of Data Rates and Transmission Power for Multicast Wireless Sensor Networks"&amp;btnG=&amp;hl=en&amp;as_sdt=0,5</t>
  </si>
  <si>
    <t>citation:doc-1496a-01</t>
  </si>
  <si>
    <t>https://scholar.google.co.uk/scholar?q="Neighbor discovery with reception status feedback"&amp;btnG=&amp;hl=en&amp;as_sdt=0,5</t>
  </si>
  <si>
    <t>citation:doc-1497a-01</t>
  </si>
  <si>
    <t>https://scholar.google.co.uk/scholar?q="On The DaOn The Data Gathering Capacity of Large Scale Multihop Wireless Networksta Gathering Capacity of Large Scale"&amp;btnG=&amp;hl=en&amp;as_sdt=0,5</t>
  </si>
  <si>
    <t>citation:doc-1499-01</t>
  </si>
  <si>
    <t>https://scholar.google.co.uk/scholar?q="Policy Evolution with Grammatical Evolution"&amp;btnG=&amp;hl=en&amp;as_sdt=0,5</t>
  </si>
  <si>
    <t>citation:doc-1500a-01</t>
  </si>
  <si>
    <t>https://scholar.google.co.uk/scholar?q="A Dynamic Model of Mission Context"&amp;btnG=&amp;hl=en&amp;as_sdt=0,5</t>
  </si>
  <si>
    <t>citation:doc-1501-01</t>
  </si>
  <si>
    <t>https://scholar.google.co.uk/scholar?q="Semantic Web techniques to support interoperability in distributed networked environments"&amp;btnG=&amp;hl=en&amp;as_sdt=0,5</t>
  </si>
  <si>
    <t>citation:doc-1503a-01</t>
  </si>
  <si>
    <t>https://scholar.google.co.uk/scholar?q="Antenna Beam Pattern Model for Cooperative Ad-Hoc Networks"&amp;btnG=&amp;hl=en&amp;as_sdt=0,5</t>
  </si>
  <si>
    <t>citation:doc-1504a-01</t>
  </si>
  <si>
    <t>https://scholar.google.co.uk/scholar?q="Probabilistic Inference Measures of the Quality of Information in Military Sensor Networks"&amp;btnG=&amp;hl=en&amp;as_sdt=0,5</t>
  </si>
  <si>
    <t>citation:doc-1505a-01</t>
  </si>
  <si>
    <t>https://scholar.google.co.uk/scholar?q="A Framework for Quality of Information Analysis for Detection-oriented Sensor Network Deployments"&amp;btnG=&amp;hl=en&amp;as_sdt=0,5</t>
  </si>
  <si>
    <t>citation:doc-1522-01</t>
  </si>
  <si>
    <t>citation:doc-1523a-01</t>
  </si>
  <si>
    <t>https://scholar.google.co.uk/scholar?q="A Grammar Inference Algorithm for Event Recognition in Sensor Networks"&amp;btnG=&amp;hl=en&amp;as_sdt=0,5</t>
  </si>
  <si>
    <t>citation:doc-1524-01</t>
  </si>
  <si>
    <t>https://scholar.google.co.uk/scholar?q="Words Are Mightier Than Swords and Yet Miscommunication Costs Lives!"&amp;btnG=&amp;hl=en&amp;as_sdt=0,5</t>
  </si>
  <si>
    <t>citation:doc-1525a-01</t>
  </si>
  <si>
    <t>https://scholar.google.co.uk/scholar?q="Analysis of a Recorded Team Coordination Dialogue"&amp;btnG=&amp;hl=en&amp;as_sdt=0,5</t>
  </si>
  <si>
    <t>citation:doc-1527-01</t>
  </si>
  <si>
    <t>citation:doc-1529-01</t>
  </si>
  <si>
    <t>citation:doc-1530-01</t>
  </si>
  <si>
    <t>https://scholar.google.co.uk/scholar?hl=en&amp;q=%22Framework+for+Sensors+System%3A+Data+Fusion+and+Information+Dissemination%22&amp;btnG=&amp;as_sdt=1%2C5&amp;as_sdtp=</t>
  </si>
  <si>
    <t>https://scholar.google.co.uk/scholar?q=%22On+the+combination+of+cooperative+diversity+and+network+coding+for+wireless+uplink+transmission%22&amp;btnG=&amp;hl=en&amp;as_sdt=0%2C5</t>
  </si>
  <si>
    <t>citation:doc-1532-01</t>
  </si>
  <si>
    <t>https://scholar.google.co.uk/scholar?q=%22On+the+design+of+opportunistic+decode-forward+cooperative+transmission+protocol%22&amp;btnG=&amp;hl=en&amp;as_sdt=0%2C5</t>
  </si>
  <si>
    <t>citation:doc-1533-01</t>
  </si>
  <si>
    <t>https://scholar.google.co.uk/scholar?q=%22Inter-domain+Routing+over+Mobile+Ad-hoc+Networks%22&amp;btnG=&amp;hl=en&amp;as_sdt=0%2C5</t>
  </si>
  <si>
    <t>citation:doc-1534-01</t>
  </si>
  <si>
    <t>https://scholar.google.co.uk/scholar?q=%22Risk+Modulating+Factors+in+Risk-Based+Access+Control+for+Information+in+a+MANET%22&amp;btnG=&amp;hl=en&amp;as_sdt=0%2C5</t>
  </si>
  <si>
    <t>citation:doc-1535-01</t>
  </si>
  <si>
    <t>https://scholar.google.co.uk/scholar?q=%22Unifying+MANET+safety+and+Security%22&amp;btnG=&amp;hl=en&amp;as_sdt=0%2C5</t>
  </si>
  <si>
    <t>citation:doc-1536-01</t>
  </si>
  <si>
    <t>https://scholar.google.co.uk/scholar?q=%22Dynamic+Trust+and+Risk+Management+in+MANETs%22&amp;btnG=&amp;hl=en&amp;as_sdt=0%2C5</t>
  </si>
  <si>
    <t>citation:doc-1538-01</t>
  </si>
  <si>
    <t>https://scholar.google.co.uk/scholar?q="An Ontology-Based Approach to Sensor-Mission Assignment"&amp;btnG=&amp;hl=en&amp;as_sdt=0,5</t>
  </si>
  <si>
    <t>citation:doc-1539-01</t>
  </si>
  <si>
    <t>https://scholar.google.co.uk/scholar?q=%22Toward+a+Formal+Characterization+of+Policy+Specification+and+Analysis%22&amp;btnG=&amp;hl=en&amp;as_sdt=0%2C5</t>
  </si>
  <si>
    <t>citation:doc-1540-01</t>
  </si>
  <si>
    <t>https://scholar.google.co.uk/scholar?q="Conversation Analysis of Coalition Communication in Computational Pragmatics"&amp;btnG=&amp;hl=en&amp;as_sdt=0,5</t>
  </si>
  <si>
    <t>citation:doc-1541d-01</t>
  </si>
  <si>
    <t>https://scholar.google.co.uk/scholar?q="NCR: A Unifying Parameter to Characterize and Evaluate Data Dissemination Scenarios, and Its Analytic Study"&amp;btnG=&amp;hl=en&amp;as_sdt=0,5</t>
  </si>
  <si>
    <t>citation:doc-1543-01</t>
  </si>
  <si>
    <t>https://scholar.google.co.uk/scholar?q="Progress on the Collaborative Planning Model"&amp;btnG=&amp;hl=en&amp;as_sdt=0,5</t>
  </si>
  <si>
    <t>citation:doc-1546-01</t>
  </si>
  <si>
    <t>https://scholar.google.co.uk/scholar?q="A Distributed Test Framework for the Validation of Experimental Algorithms Using Real and Simulated Sensors"&amp;btnG=&amp;hl=en&amp;as_sdt=0,5</t>
  </si>
  <si>
    <t>citation:doc-1547-01</t>
  </si>
  <si>
    <t>https://scholar.google.co.uk/scholar?q="Towards a Model of Agent-Assisted Team Search"&amp;btnG=&amp;hl=en&amp;as_sdt=0,5</t>
  </si>
  <si>
    <t>citation:doc-1548-01</t>
  </si>
  <si>
    <t>https://scholar.google.co.uk/scholar?q="Policy Algebras for Hybrid Firewalls"&amp;btnG=&amp;hl=en&amp;as_sdt=0,5</t>
  </si>
  <si>
    <t>citation:doc-1549-01</t>
  </si>
  <si>
    <t>https://scholar.google.co.uk/scholar?q="Sensor-Mission Matching: Centralized and Distributed Approaches"&amp;btnG=&amp;hl=en&amp;as_sdt=0,5</t>
  </si>
  <si>
    <t>citation:doc-1550-01</t>
  </si>
  <si>
    <t>https://scholar.google.co.uk/scholar?q="Threat Modelling for Mobile Ad Hoc and Sensor Networks"&amp;btnG=&amp;hl=en&amp;as_sdt=0,5</t>
  </si>
  <si>
    <t>citation:doc-1551-01</t>
  </si>
  <si>
    <t>https://scholar.google.co.uk/scholar?q="The Case for an Agile SOA"&amp;btnG=&amp;hl=en&amp;as_sdt=0,5</t>
  </si>
  <si>
    <t>citation:doc-1554b-01</t>
  </si>
  <si>
    <t>https://scholar.google.co.uk/scholar?q="Performance of Network-Coding in Multi-Rate Wireless Environments for Multicast Applications"&amp;btnG=&amp;hl=en&amp;as_sdt=0,5</t>
  </si>
  <si>
    <t>citation:doc-1555-01</t>
  </si>
  <si>
    <t>https://scholar.google.co.uk/scholar?q="Reliability Gain of Network Coding"&amp;btnG=&amp;hl=en&amp;as_sdt=0,5</t>
  </si>
  <si>
    <t>citation:doc-1558-01</t>
  </si>
  <si>
    <t>https://scholar.google.co.uk/scholar?q="A Coordination-Theoretic Model of the Military Decision-Making Process"&amp;btnG=&amp;hl=en&amp;as_sdt=0,5</t>
  </si>
  <si>
    <t>citation:doc-1559b-01</t>
  </si>
  <si>
    <t>https://scholar.google.co.uk/scholar?q="Full Coverage of a Region Allowing Inexact Placement of Sensors"&amp;btnG=&amp;hl=en&amp;as_sdt=0,5</t>
  </si>
  <si>
    <t>citation:doc-1560-01</t>
  </si>
  <si>
    <t>https://scholar.google.co.uk/scholar?q="Cultural Network Analysis"&amp;btnG=&amp;hl=en&amp;as_sdt=0,5</t>
  </si>
  <si>
    <t>citation:doc-1561a-01</t>
  </si>
  <si>
    <t>https://scholar.google.co.uk/scholar?q="Achievable Rates for Network Coding on the Exchange Channel"&amp;btnG=&amp;hl=en&amp;as_sdt=0,5</t>
  </si>
  <si>
    <t>citation:doc-1562a-01</t>
  </si>
  <si>
    <t>https://scholar.google.co.uk/scholar?q="On the study of cross-layer optimization for wireless cooperative networks"&amp;btnG=&amp;hl=en&amp;as_sdt=0,5</t>
  </si>
  <si>
    <t>citation:doc-1562b-01</t>
  </si>
  <si>
    <t>https://scholar.google.co.uk/scholar?q="On the Cross-layer optimization for wireless cooperative networks"&amp;btnG=&amp;hl=en&amp;as_sdt=0,5</t>
  </si>
  <si>
    <t>citation:doc-1563b-01</t>
  </si>
  <si>
    <t>https://scholar.google.co.uk/scholar?q="On the Capacity of Network Coding with Diversity"&amp;btnG=&amp;hl=en&amp;as_sdt=0,5</t>
  </si>
  <si>
    <t>citation:doc-1564-01</t>
  </si>
  <si>
    <t>https://scholar.google.co.uk/scholar?q="Semantic Technologies and Enhanced Situation Awareness"&amp;btnG=&amp;hl=en&amp;as_sdt=0,5</t>
  </si>
  <si>
    <t>citation:doc-1565-01</t>
  </si>
  <si>
    <t>https://scholar.google.co.uk/scholar?q="Formal Properties of Distributed Database Networks"&amp;btnG=&amp;hl=en&amp;as_sdt=0,5</t>
  </si>
  <si>
    <t>citation:doc-1566e-01</t>
  </si>
  <si>
    <t>https://scholar.google.co.uk/scholar?q="Approaching semantically-mediated acoustic data fusion"&amp;btnG=&amp;hl=en&amp;as_sdt=0,5</t>
  </si>
  <si>
    <t>citation:doc-1567-01</t>
  </si>
  <si>
    <t>citation:doc-1568-01</t>
  </si>
  <si>
    <t>https://scholar.google.co.uk/scholar?q="Inspect: A General Framework for On-Line Detection and Diagnosis of Sensor Faults"&amp;btnG=&amp;hl=en&amp;as_sdt=0,5</t>
  </si>
  <si>
    <t>citation:doc-1570-01</t>
  </si>
  <si>
    <t>https://scholar.google.co.uk/scholar?q="Managing Collaboration in Hybrid-Agent Teams"&amp;btnG=&amp;hl=en&amp;as_sdt=0,5</t>
  </si>
  <si>
    <t>citation:doc-1576-01</t>
  </si>
  <si>
    <t>https://scholar.google.co.uk/scholar?q="An Evaluation of Cluster Head TA Distribution Mechanisms in Tactical MANET Environments"&amp;btnG=&amp;hl=en&amp;as_sdt=0,5</t>
  </si>
  <si>
    <t>https://scholar.google.co.uk/scholar?q="On the Study of Network Coding with Diversity"&amp;btnG=&amp;hl=en&amp;as_sdt=0,5</t>
  </si>
  <si>
    <t>citation:doc-1583a-01</t>
  </si>
  <si>
    <t>https://scholar.google.co.uk/scholar?q="Location Dependent Heuristics for Sensor Coverage Planning"&amp;btnG=&amp;hl=en&amp;as_sdt=0,5</t>
  </si>
  <si>
    <t>citation:doc-1584-01</t>
  </si>
  <si>
    <t>https://scholar.google.co.uk/scholar?q="Identity Crisis: On the Problem of Namespace Design for ID-PKC and MANETs"&amp;btnG=&amp;hl=en&amp;as_sdt=0,5</t>
  </si>
  <si>
    <t>citation:doc-1585-01</t>
  </si>
  <si>
    <t>https://scholar.google.co.uk/scholar?q="Analyzing User Behavior in Instant Messaging"&amp;btnG=&amp;hl=en&amp;as_sdt=0,5</t>
  </si>
  <si>
    <t>citation:doc-1590-01</t>
  </si>
  <si>
    <t>https://scholar.google.co.uk/scholar?q="Towards Semantic Matchmaking in Sensor-Mission Assignment: Analysis of the Missions and Means Framework"&amp;btnG=&amp;hl=en&amp;as_sdt=0,5</t>
  </si>
  <si>
    <t>citation:doc-1659-01</t>
  </si>
  <si>
    <t>https://scholar.google.co.uk/scholar?q="Coalition Information Exchange (Workshop)"&amp;btnG=&amp;hl=en&amp;as_sdt=0,5</t>
  </si>
  <si>
    <t>citation:doc-1669-01</t>
  </si>
  <si>
    <t>https://scholar.google.co.uk/scholar?q="On Quantitative Information Flow Metrics"&amp;btnG=&amp;hl=en&amp;as_sdt=0,5</t>
  </si>
  <si>
    <t>citation:doc-1670a-01</t>
  </si>
  <si>
    <t>https://scholar.google.co.uk/scholar?q="CE Store - Alpha Version 2 (software)"&amp;btnG=&amp;hl=en&amp;as_sdt=0,5</t>
  </si>
  <si>
    <t>citation:doc-1672-01</t>
  </si>
  <si>
    <t>https://scholar.google.co.uk/scholar?q="Broadcast Scheduling with Data Bundles"&amp;btnG=&amp;hl=en&amp;as_sdt=0,5</t>
  </si>
  <si>
    <t>citation:doc-1674-01</t>
  </si>
  <si>
    <t>https://scholar.google.co.uk/scholar?q="A Distributed Architecture For Heterogeneous Multi Sensor-Task Allocation"&amp;btnG=&amp;hl=en&amp;as_sdt=0,5</t>
  </si>
  <si>
    <t>citation:doc-1676-01</t>
  </si>
  <si>
    <t>https://scholar.google.co.uk/scholar?q="Worked example from the CE workshop (Technical report)"&amp;btnG=&amp;hl=en&amp;as_sdt=0,5</t>
  </si>
  <si>
    <t>citation:doc-1679-01</t>
  </si>
  <si>
    <t>https://scholar.google.co.uk/scholar?q="An Agent Architecture for Prognostic Reasoning Assistance"&amp;btnG=&amp;hl=en&amp;as_sdt=0,5</t>
  </si>
  <si>
    <t>citation:doc-1680-01</t>
  </si>
  <si>
    <t>https://scholar.google.co.uk/scholar?q="Trust-based Probabilistic Query Answering"&amp;btnG=&amp;hl=en&amp;as_sdt=0,5</t>
  </si>
  <si>
    <t>citation:doc-1681-01</t>
  </si>
  <si>
    <t>https://scholar.google.co.uk/scholar?q="A generic agent architecture for norm-compliant planning assistance"&amp;btnG=&amp;hl=en&amp;as_sdt=0,5</t>
  </si>
  <si>
    <t>https://scholar.google.co.uk/scholar?q="Impact of In-Network Aggregation on Target Tracking Quality"&amp;btnG=&amp;hl=en&amp;as_sdt=0,5</t>
  </si>
  <si>
    <t>citation:doc-1683-01</t>
  </si>
  <si>
    <t>https://scholar.google.co.uk/scholar?q="Anytime Cognition: An information agent for emergency response"&amp;btnG=&amp;hl=en&amp;as_sdt=0,5</t>
  </si>
  <si>
    <t>citation:doc-1684-01</t>
  </si>
  <si>
    <t>https://scholar.google.co.uk/scholar?q="An experimental domain for data-to-decision"&amp;btnG=&amp;hl=en&amp;as_sdt=0,5</t>
  </si>
  <si>
    <t>citation:doc-1685-01</t>
  </si>
  <si>
    <t>https://scholar.google.co.uk/scholar?q="Secret Communication in Large Wireless Networks without Eavesdropper Location Information"&amp;btnG=&amp;hl=en&amp;as_sdt=0,5</t>
  </si>
  <si>
    <t>citation:doc-1686-01</t>
  </si>
  <si>
    <t>https://scholar.google.co.uk/scholar?q="Cut Results for the Capacity of Hybrid Networks"&amp;btnG=&amp;hl=en&amp;as_sdt=0,5</t>
  </si>
  <si>
    <t>citation:doc-1722-01</t>
  </si>
  <si>
    <t>https://scholar.google.co.uk/scholar?q="Everlasting Secrecy in Two-Hop Wireless Networks Using Artificial Noise Generation from Relays"&amp;btnG=&amp;hl=en&amp;as_sdt=0,5</t>
  </si>
  <si>
    <t>citation:doc-1723-01</t>
  </si>
  <si>
    <t>https://scholar.google.co.uk/scholar?q="Two-Way Secrecy Schemes for the Broadcast Channel with Internal Eavesdroppers"&amp;btnG=&amp;hl=en&amp;as_sdt=0,5</t>
  </si>
  <si>
    <t>citation:doc-1726-01</t>
  </si>
  <si>
    <t>https://scholar.google.co.uk/scholar?q="Two-way secrecy schemes for the broadcast channel with internal eavesdroppers"&amp;btnG=&amp;hl=en&amp;as_sdt=0,5</t>
  </si>
  <si>
    <t>citation:doc-1732-01</t>
  </si>
  <si>
    <t>https://scholar.google.co.uk/scholar?q="Towards Securing Query Processing in Distributed Databases"&amp;btnG=&amp;hl=en&amp;as_sdt=0,5</t>
  </si>
  <si>
    <t>citation:doc-1735-01</t>
  </si>
  <si>
    <t>https://scholar.google.co.uk/scholar?q="Controlled language in support of automated information extraction (Demonstration)"&amp;btnG=&amp;hl=en&amp;as_sdt=0,5</t>
  </si>
  <si>
    <t>citation:doc-1737-01</t>
  </si>
  <si>
    <t>https://scholar.google.co.uk/scholar?q="Semantically Enriched Data for Effective Sensor Data Fusion"&amp;btnG=&amp;hl=en&amp;as_sdt=0,5</t>
  </si>
  <si>
    <t>citation:doc-1738-01</t>
  </si>
  <si>
    <t>https://scholar.google.co.uk/scholar?q="Service-oriented Reasoning Architecture for Resource-Task Assignment in Sensor Networks"&amp;btnG=&amp;hl=en&amp;as_sdt=0,5</t>
  </si>
  <si>
    <t>citation:doc-1739-01</t>
  </si>
  <si>
    <t>https://scholar.google.co.uk/scholar?q=%22Integrative+Use+of+Information+Extraction%2C+Semantic+Matchmaking+and+Adaptive+Coupling+Techniques+in+Support+of+Distributed+Information+Processing+and+Decision-Making%22&amp;btnG=&amp;hl=en&amp;as_sdt=0%2C5</t>
  </si>
  <si>
    <t>citation:doc-1742-01</t>
  </si>
  <si>
    <t>https://scholar.google.co.uk/scholar?q="Self-Adaptive Routing in Multi-Hop Sensor Networks"&amp;btnG=&amp;hl=en&amp;as_sdt=0,5</t>
  </si>
  <si>
    <t>citation:doc-1743-01</t>
  </si>
  <si>
    <t>https://scholar.google.co.uk/scholar?q="Sensor Service Selection through Switch Options"&amp;btnG=&amp;hl=en&amp;as_sdt=0,5</t>
  </si>
  <si>
    <t>citation:doc-1744-01</t>
  </si>
  <si>
    <t>https://scholar.google.co.uk/scholar?q="Model-Driven SOA for Sensor Networks"&amp;btnG=&amp;hl=en&amp;as_sdt=0,5</t>
  </si>
  <si>
    <t>citation:doc-1746-01</t>
  </si>
  <si>
    <t>https://scholar.google.co.uk/scholar?q="Directional Forwarding in Multi-hop Wireless Ad hoc Networks: A Connectivity Study"&amp;btnG=&amp;hl=en&amp;as_sdt=0,5</t>
  </si>
  <si>
    <t>citation:doc-1747-01</t>
  </si>
  <si>
    <t>https://scholar.google.co.uk/scholar?q="A simple queueing network model of mobility in a campus wireless network"&amp;btnG=&amp;hl=en&amp;as_sdt=0,5</t>
  </si>
  <si>
    <t>citation:doc-1748b-01</t>
  </si>
  <si>
    <t>https://scholar.google.co.uk/scholar?q="Opportunism versus Cooperation: Analysis of Forwarding Strategies in Multihop Wireless Networks with Random Fading"&amp;btnG=&amp;hl=en&amp;as_sdt=0,5</t>
  </si>
  <si>
    <t>citation:doc-1753-01</t>
  </si>
  <si>
    <t>https://scholar.google.co.uk/scholar?q="netSCI: A generic fault diagnosis algorithm for large scale failures in computer networks"&amp;btnG=&amp;hl=en&amp;as_sdt=0,5</t>
  </si>
  <si>
    <t>citation:doc-1755-01</t>
  </si>
  <si>
    <t>https://scholar.google.co.uk/scholar?q="netSCI: A generic fault diagnosis algorithm for large scale failures"&amp;btnG=&amp;hl=en&amp;as_sdt=0,5</t>
  </si>
  <si>
    <t>citation:doc-1757-01</t>
  </si>
  <si>
    <t>https://scholar.google.co.uk/scholar?q="Exploiting Domain Knowledge in Collaborative Missions"&amp;btnG=&amp;hl=en&amp;as_sdt=0,5</t>
  </si>
  <si>
    <t>citation:doc-1758a-01</t>
  </si>
  <si>
    <t>https://scholar.google.co.uk/scholar?q="Informing Dialogue Strategy through Argumentation-Derived Evidence"&amp;btnG=&amp;hl=en&amp;as_sdt=0,5</t>
  </si>
  <si>
    <t>citation:doc-1759-01</t>
  </si>
  <si>
    <t>https://scholar.google.co.uk/scholar?q="Simulating MANET-Hosted Service-Based Systems"&amp;btnG=&amp;hl=en&amp;as_sdt=0,5</t>
  </si>
  <si>
    <t>citation:doc-1769-01</t>
  </si>
  <si>
    <t>https://scholar.google.co.uk/scholar?q="Computing joins on encrypted data"&amp;btnG=&amp;hl=en&amp;as_sdt=0,5</t>
  </si>
  <si>
    <t>citation:doc-1772-01</t>
  </si>
  <si>
    <t>https://scholar.google.co.uk/scholar?q="Cooperative Monitoring of Service Performance in Mobile Networks"&amp;btnG=&amp;hl=en&amp;as_sdt=0,5</t>
  </si>
  <si>
    <t>citation:doc-1773-01</t>
  </si>
  <si>
    <t>https://scholar.google.co.uk/scholar?q="Impact of Directional Transmission in Large-scale Multi-hop Wireless Ad hoc Networks"&amp;btnG=&amp;hl=en&amp;as_sdt=0,5</t>
  </si>
  <si>
    <t>citation:doc-1774-01</t>
  </si>
  <si>
    <t>https://scholar.google.co.uk/scholar?q="Collective Cognition in Military Coalition Environments - Q1 Research Update"&amp;btnG=&amp;hl=en&amp;as_sdt=0,5</t>
  </si>
  <si>
    <t>citation:doc-1776-01</t>
  </si>
  <si>
    <t>https://scholar.google.co.uk/scholar?q="Verifiable Delegation of Computation over Large Datasets"&amp;btnG=&amp;hl=en&amp;as_sdt=0,5</t>
  </si>
  <si>
    <t>citation:doc-1778-01</t>
  </si>
  <si>
    <t>https://scholar.google.co.uk/scholar?q="On the Relationship Between Functional Encryption and Fully Homomorphic Encryption"&amp;btnG=&amp;hl=en&amp;as_sdt=0,5</t>
  </si>
  <si>
    <t>citation:doc-1779-01</t>
  </si>
  <si>
    <t>https://scholar.google.co.uk/scholar?q="Tracing Insider Attacks in the Context of Predicate Encryption Schemes"&amp;btnG=&amp;hl=en&amp;as_sdt=0,5</t>
  </si>
  <si>
    <t>citation:doc-1799-01</t>
  </si>
  <si>
    <t>https://scholar.google.co.uk/scholar?q="Using Declarative Networking Rules to Secure Overlay Networks"&amp;btnG=&amp;hl=en&amp;as_sdt=0,5</t>
  </si>
  <si>
    <t>citation:doc-1800-01</t>
  </si>
  <si>
    <t>https://scholar.google.co.uk/scholar?q="Distributed Policy Analysis With Confidentiality"&amp;btnG=&amp;hl=en&amp;as_sdt=0,5</t>
  </si>
  <si>
    <t>citation:doc-1802-01</t>
  </si>
  <si>
    <t>https://scholar.google.co.uk/scholar?q="Policy Refinement:Decomposition and Operationalization for Dynamic Domains"&amp;btnG=&amp;hl=en&amp;as_sdt=0,5</t>
  </si>
  <si>
    <t>citation:doc-1803-01</t>
  </si>
  <si>
    <t>https://scholar.google.co.uk/scholar?q="Risk-based Access Control Decisions Under Uncertainty"&amp;btnG=&amp;hl=en&amp;as_sdt=0,5</t>
  </si>
  <si>
    <t>citation:doc-1806-01</t>
  </si>
  <si>
    <t>https://scholar.google.co.uk/scholar?q="Making use of mobility modelling in the experimental framework"&amp;btnG=&amp;hl=en&amp;as_sdt=0,5</t>
  </si>
  <si>
    <t>citation:doc-1809-01</t>
  </si>
  <si>
    <t>https://scholar.google.co.uk/scholar?q="Percolation Phenomena in Networks under Random Dynamics"&amp;btnG=&amp;hl=en&amp;as_sdt=0,5</t>
  </si>
  <si>
    <t>citation:doc-1816-01</t>
  </si>
  <si>
    <t>https://scholar.google.co.uk/scholar?q="On the Selection of Spatiotemporally Relevant Providers of Sensory Information"&amp;btnG=&amp;hl=en&amp;as_sdt=0,5</t>
  </si>
  <si>
    <t>citation:doc-1835-01</t>
  </si>
  <si>
    <t>https://scholar.google.co.uk/scholar?q="Trust and Obfuscation Principles for Quality of Information in Emerging Pervasive Environments"&amp;btnG=&amp;hl=en&amp;as_sdt=0,5</t>
  </si>
  <si>
    <t>https://scholar.google.co.uk/scholar?q="Learning Strategies for Task Delegation in Norm-Governed Environments"&amp;btnG=&amp;hl=en&amp;as_sdt=0,5</t>
  </si>
  <si>
    <t>citation:doc-1838-01</t>
  </si>
  <si>
    <t>https://scholar.google.co.uk/scholar?q="On the benefit of ontological reasoning in collaborative problem-solving"&amp;btnG=&amp;hl=en&amp;as_sdt=0,5</t>
  </si>
  <si>
    <t>citation:doc-1839-01</t>
  </si>
  <si>
    <t>https://scholar.google.co.uk/scholar?q="Probabilistic Abox Abduction in Description Logics"&amp;btnG=&amp;hl=en&amp;as_sdt=0,5</t>
  </si>
  <si>
    <t>https://scholar.google.co.uk/scholar?q="OWL-POLAR: A Framework for Semantic Policy Representation and Reasoning"&amp;btnG=&amp;hl=en&amp;as_sdt=0,5</t>
  </si>
  <si>
    <t>citation:doc-1842-01</t>
  </si>
  <si>
    <t>https://scholar.google.co.uk/scholar?q="Using Subjective Logic to Handle Uncertainty and Conflicts"&amp;btnG=&amp;hl=en&amp;as_sdt=0,5</t>
  </si>
  <si>
    <t>citation:doc-1847-01</t>
  </si>
  <si>
    <t>https://scholar.google.co.uk/scholar?q="Exploiting Local Knowledge for Multi Sensor-Task Allocation"&amp;btnG=&amp;hl=en&amp;as_sdt=0,5</t>
  </si>
  <si>
    <t>citation:doc-1849a-01</t>
  </si>
  <si>
    <t>https://scholar.google.co.uk/scholar?q="A System Architecture for Exploiting Mission Information Requirement and Resource Allocation"&amp;btnG=&amp;hl=en&amp;as_sdt=0,5</t>
  </si>
  <si>
    <t>citation:doc-1855a-01</t>
  </si>
  <si>
    <t>https://scholar.google.co.uk/scholar?q="Tasking and Sharing Sensing Assets Using Controlled Natural Language"&amp;btnG=&amp;hl=en&amp;as_sdt=0,5</t>
  </si>
  <si>
    <t>citation:doc-1857-01</t>
  </si>
  <si>
    <t>https://scholar.google.co.uk/scholar?q="A cognitive architecture for emergency response"&amp;btnG=&amp;hl=en&amp;as_sdt=0,5</t>
  </si>
  <si>
    <t>citation:doc-1858-01</t>
  </si>
  <si>
    <t>https://scholar.google.co.uk/scholar?q="Fusion of Classifiers: A Subjective Logic Perspective"&amp;btnG=&amp;hl=en&amp;as_sdt=0,5</t>
  </si>
  <si>
    <t>citation:doc-1860-01</t>
  </si>
  <si>
    <t>https://scholar.google.co.uk/scholar?q="Discovering Service Dependencies in Mobile Ad Hoc Networks"&amp;btnG=&amp;hl=en&amp;as_sdt=0,5</t>
  </si>
  <si>
    <t>citation:doc-1861-01</t>
  </si>
  <si>
    <t>https://scholar.google.co.uk/scholar?q="Sub-delegation and Trust"&amp;btnG=&amp;hl=en&amp;as_sdt=0,5</t>
  </si>
  <si>
    <t>citation:doc-1862-01</t>
  </si>
  <si>
    <t>https://scholar.google.co.uk/scholar?q="Predictive Indoor Navigation using Commercial Smart-phones"&amp;btnG=&amp;hl=en&amp;as_sdt=0,5</t>
  </si>
  <si>
    <t>citation:doc-1863-01</t>
  </si>
  <si>
    <t>https://scholar.google.co.uk/scholar?q="BDI Reasoning with Normative Considerations"&amp;btnG=&amp;hl=en&amp;as_sdt=0,5</t>
  </si>
  <si>
    <t>citation:doc-1864-01</t>
  </si>
  <si>
    <t>https://scholar.google.co.uk/scholar?q="Logics and Methods to Deal with Conflicting Information"&amp;btnG=&amp;hl=en&amp;as_sdt=0,5</t>
  </si>
  <si>
    <t>citation:doc-1866-01</t>
  </si>
  <si>
    <t>https://scholar.google.co.uk/scholar?q="Endhost-Based Shortest Path Routing in Dynamic Networks: An Online Learning Approach"&amp;btnG=&amp;hl=en&amp;as_sdt=0,5</t>
  </si>
  <si>
    <t>citation:doc-1870-01</t>
  </si>
  <si>
    <t>https://scholar.google.co.uk/scholar?q="Provenance and Secure Information Flows: A Discussion Paper"&amp;btnG=&amp;hl=en&amp;as_sdt=0,5</t>
  </si>
  <si>
    <t>citation:doc-1872-01</t>
  </si>
  <si>
    <t>https://scholar.google.co.uk/scholar?q="Physical Layer Security from Inter-Session Interference in Large Wireless Networks"&amp;btnG=&amp;hl=en&amp;as_sdt=0,5</t>
  </si>
  <si>
    <t>https://scholar.google.co.uk/scholar?q="On the Application of Cooperative Transmission to Secrecy Communications"&amp;btnG=&amp;hl=en&amp;as_sdt=0,5</t>
  </si>
  <si>
    <t>citation:doc-1874-01</t>
  </si>
  <si>
    <t>https://scholar.google.co.uk/scholar?q="Learning Stochastic Models of Information Flow"&amp;btnG=&amp;hl=en&amp;as_sdt=0,5</t>
  </si>
  <si>
    <t>citation:doc-1875-01</t>
  </si>
  <si>
    <t>https://scholar.google.co.uk/scholar?q="Risk-Based Security Decisions Under Uncertainty"&amp;btnG=&amp;hl=en&amp;as_sdt=0,5</t>
  </si>
  <si>
    <t>citation:doc-1877-01</t>
  </si>
  <si>
    <t>https://scholar.google.co.uk/scholar?q="Balancing Behavioral Privacy and Information Utility in Sensory Data Flows"&amp;btnG=&amp;hl=en&amp;as_sdt=0,5</t>
  </si>
  <si>
    <t>https://scholar.google.co.uk/scholar?q="The Web-Extended Mind"&amp;btnG=&amp;hl=en&amp;as_sdt=0,5</t>
  </si>
  <si>
    <t>citation:doc-1881-01</t>
  </si>
  <si>
    <t>https://scholar.google.co.uk/scholar?q="Modelling the Dynamics of Team Sensemaking: A Constraint Satisfaction Approach"&amp;btnG=&amp;hl=en&amp;as_sdt=0,5</t>
  </si>
  <si>
    <t>https://scholar.google.co.uk/scholar?q="On the Quality and Value of Information in Sensor Networks"&amp;btnG=&amp;hl=en&amp;as_sdt=0,5</t>
  </si>
  <si>
    <t>citation:doc-1892-01</t>
  </si>
  <si>
    <t>https://scholar.google.co.uk/scholar?q="Incremental Activity and Plan Recognition for Human Teams"&amp;btnG=&amp;hl=en&amp;as_sdt=0,5</t>
  </si>
  <si>
    <t>citation:doc-1895-01</t>
  </si>
  <si>
    <t>https://scholar.google.co.uk/scholar?q="Querying Linked Ontological Data through Distributed Summarization"&amp;btnG=&amp;hl=en&amp;as_sdt=0,5</t>
  </si>
  <si>
    <t>citation:doc-1897-01</t>
  </si>
  <si>
    <t>https://scholar.google.co.uk/scholar?q="Resource Allocation with Stochastic Demands"&amp;btnG=&amp;hl=en&amp;as_sdt=0,5</t>
  </si>
  <si>
    <t>https://scholar.google.co.uk/scholar?q="Dynamic Enforcement of Knowledge-based Security Policies"&amp;btnG=&amp;hl=en&amp;as_sdt=0,5</t>
  </si>
  <si>
    <t>citation:doc-1901-01</t>
  </si>
  <si>
    <t>https://scholar.google.co.uk/scholar?q="Deanonymizing Mobility Traces: Using Social Networks as a Side-Channel"&amp;btnG=&amp;hl=en&amp;as_sdt=0,5</t>
  </si>
  <si>
    <t>citation:doc-1902-01</t>
  </si>
  <si>
    <t>https://scholar.google.co.uk/scholar?q="Adaptive algorithms for diagnosing large-scale failures in computer networks"&amp;btnG=&amp;hl=en&amp;as_sdt=0,5</t>
  </si>
  <si>
    <t>citation:doc-1907-01</t>
  </si>
  <si>
    <t>https://scholar.google.co.uk/scholar?q="Ambiguous words"&amp;btnG=&amp;hl=en&amp;as_sdt=0,5</t>
  </si>
  <si>
    <t>https://scholar.google.co.uk/scholar?q="Enforcing Secure and Privacy-Preserving Information Brokering"&amp;btnG=&amp;hl=en&amp;as_sdt=0,5</t>
  </si>
  <si>
    <t>citation:doc-1909-01</t>
  </si>
  <si>
    <t>https://scholar.google.co.uk/scholar?q="The Prolog Analyst's Helper"&amp;btnG=&amp;hl=en&amp;as_sdt=0,5</t>
  </si>
  <si>
    <t>https://scholar.google.co.uk/scholar?q="Entropy and the Complexity of graphs revisited"&amp;btnG=&amp;hl=en&amp;as_sdt=0,5</t>
  </si>
  <si>
    <t>citation:doc-1913-01</t>
  </si>
  <si>
    <t>citation:doc-1921-01</t>
  </si>
  <si>
    <t>https://scholar.google.co.uk/scholar?q="Declarative Distributed Computing"&amp;btnG=&amp;hl=en&amp;as_sdt=0,5</t>
  </si>
  <si>
    <t>https://scholar.google.co.uk/scholar?q="On Managing Quality of Experience of Multiple- Video Streams in Wireless Networks"&amp;btnG=&amp;hl=en&amp;as_sdt=0,5</t>
  </si>
  <si>
    <t>citation:doc-1924-01</t>
  </si>
  <si>
    <t>https://scholar.google.co.uk/scholar?q="A Markov Chain Model for Coarse Timescale Channel Variation in an 802.16e Wireless Network"&amp;btnG=&amp;hl=en&amp;as_sdt=0,5</t>
  </si>
  <si>
    <t>citation:doc-1925-01</t>
  </si>
  <si>
    <t>https://scholar.google.co.uk/scholar?q="A Mixed Queueing Network Model of Mobility in a Campus Wireless Network"&amp;btnG=&amp;hl=en&amp;as_sdt=0,5</t>
  </si>
  <si>
    <t>citation:doc-1926-01</t>
  </si>
  <si>
    <t>https://scholar.google.co.uk/scholar?q="Information Extraction using Controlled English to support Knowledge-Sharing and Decision-Making"&amp;btnG=&amp;hl=en&amp;as_sdt=0,5</t>
  </si>
  <si>
    <t>citation:doc-1927-01</t>
  </si>
  <si>
    <t>https://scholar.google.co.uk/scholar?q=%22Subjective+Logic+with+Uncertain+Partial+Observations%22&amp;btnG=&amp;hl=en&amp;as_sdt=0%2C5</t>
  </si>
  <si>
    <t>citation:doc-1928-01</t>
  </si>
  <si>
    <t>https://scholar.google.co.uk/scholar?q="An Obfuscation Framework for Controlling Value of Information During Sharing"&amp;btnG=&amp;hl=en&amp;as_sdt=0,5</t>
  </si>
  <si>
    <t>citation:doc-1929-01</t>
  </si>
  <si>
    <t>https://scholar.google.co.uk/scholar?q="Foundations of Logic-Based Trust Management"&amp;btnG=&amp;hl=en&amp;as_sdt=0,5</t>
  </si>
  <si>
    <t>citation:doc-1930-01</t>
  </si>
  <si>
    <t>https://scholar.google.co.uk/scholar?q="Square Root Law for Communication with Low Probability of Detection on AWGN Channels"&amp;btnG=&amp;hl=en&amp;as_sdt=0,5</t>
  </si>
  <si>
    <t>citation:doc-1931-01</t>
  </si>
  <si>
    <t>https://scholar.google.co.uk/scholar?q="Flexible configuration of information extraction to support richer propositional constructs"&amp;btnG=&amp;hl=en&amp;as_sdt=0,5</t>
  </si>
  <si>
    <t>citation:doc-1933-01</t>
  </si>
  <si>
    <t>https://scholar.google.co.uk/scholar?q="Survey on clustering methods for ontological knowledge"&amp;btnG=&amp;hl=en&amp;as_sdt=0,5</t>
  </si>
  <si>
    <t>citation:doc-1934-01</t>
  </si>
  <si>
    <t>https://scholar.google.co.uk/scholar?q="Transient Traffic Congestion Control with Traveling Auctions"&amp;btnG=&amp;hl=en&amp;as_sdt=0,5</t>
  </si>
  <si>
    <t>citation:doc-1936-01</t>
  </si>
  <si>
    <t>https://scholar.google.co.uk/scholar?q="On Growth of Limited Scale-Free Overlay Network Topologies"&amp;btnG=&amp;hl=en&amp;as_sdt=0,5</t>
  </si>
  <si>
    <t>citation:doc-1939-01</t>
  </si>
  <si>
    <t>https://scholar.google.co.uk/scholar?q=%22Optimal Sampling Strategies for Minimum Latency Routing with Imperfect Link State%22&amp;btnG=&amp;hl=en&amp;as_sdt=0%2C5</t>
  </si>
  <si>
    <t>citation:doc-1941-01</t>
  </si>
  <si>
    <t>https://scholar.google.co.uk/scholar?q="Outsider-Anonymous Broadcast Encryption with Sublinear Ciphertexts"&amp;btnG=&amp;hl=en&amp;as_sdt=0,5</t>
  </si>
  <si>
    <t>citation:doc-1952a-01</t>
  </si>
  <si>
    <t>https://scholar.google.co.uk/scholar?q=%22Integrating+Hard+and+Soft+Information+Sources+for+D2D+Using+Controlled+Natural+Language%22&amp;btnG=&amp;hl=en&amp;as_sdt=0%2C5</t>
  </si>
  <si>
    <t>citation:doc-1954-01</t>
  </si>
  <si>
    <t>https://scholar.google.co.uk/scholar?q=%22Balancing+Value+and+Risk+In+Information+Sharing+Through+Obfuscation%22&amp;btnG=&amp;hl=en&amp;as_sdt=0%2C5</t>
  </si>
  <si>
    <t>citation:doc-1959-01</t>
  </si>
  <si>
    <t>https://scholar.google.co.uk/scholar?q="A Computational Model of Collective Sensemaking: Differential Effects of Communication Network Structure on Collective Sensemaking Abilities"&amp;btnG=&amp;hl=en&amp;as_sdt=0,5</t>
  </si>
  <si>
    <t>citation:doc-1990-01</t>
  </si>
  <si>
    <t>https://scholar.google.co.uk/scholar?q="Using Controlled English to express lambda expressions"&amp;btnG=&amp;hl=en&amp;as_sdt=0,5</t>
  </si>
  <si>
    <t>https://scholar.google.co.uk/scholar?q="Energy Efficient Location Services for Mobile Ad Hoc Networks"&amp;btnG=&amp;hl=en&amp;as_sdt=0,5</t>
  </si>
  <si>
    <t>citation:doc-1997-01</t>
  </si>
  <si>
    <t>https://scholar.google.co.uk/scholar?q="Convergecase with Aggregatable Data Classes"&amp;btnG=&amp;hl=en&amp;as_sdt=0,5</t>
  </si>
  <si>
    <t>citation:doc-1998-01</t>
  </si>
  <si>
    <t>https://scholar.google.co.uk/scholar?q="Studying the Impact of Minority Views in a Computational Model of Collective Sensemaking: The Role of Network Structure"&amp;btnG=&amp;hl=en&amp;as_sdt=0,5</t>
  </si>
  <si>
    <t>citation:doc-1999-01</t>
  </si>
  <si>
    <t>https://scholar.google.co.uk/scholar?q="A Constraint Satisfaction Model of Collective Sensemaking: Insights into the Effect of Coalition Communication Environments on the Dynamics of Collective Cognition"&amp;btnG=&amp;hl=en&amp;as_sdt=0,5</t>
  </si>
  <si>
    <t>https://scholar.google.co.uk/scholar?q="Collective Sensemaking and Military Coalitions"&amp;btnG=&amp;hl=en&amp;as_sdt=0,5</t>
  </si>
  <si>
    <t>citation:doc-2003-01</t>
  </si>
  <si>
    <t>https://scholar.google.co.uk/scholar?q="Knowledge-Oriented Secure Multiparty Computation"&amp;btnG=&amp;hl=en&amp;as_sdt=0,5</t>
  </si>
  <si>
    <t>citation:doc-2005-01</t>
  </si>
  <si>
    <t>https://scholar.google.co.uk/scholar?q="A Data-to-Decision Information Processing Platform for Coalition Operations"&amp;btnG=&amp;hl=en&amp;as_sdt=0,5</t>
  </si>
  <si>
    <t>https://scholar.google.co.uk/scholar?hl=en&amp;q=%22Agilely Assigning Sensing Assets to Mission Tasks in a Coalition Context%22&amp;btnG=&amp;as_sdt=1%2C5&amp;as_sdtp=</t>
  </si>
  <si>
    <t>citation:doc-2007-01</t>
  </si>
  <si>
    <t>https://scholar.google.co.uk/scholar?q="Utilizing PCFGs for Modeling and Learning Service Compositions in Sensor Networks"&amp;btnG=&amp;hl=en&amp;as_sdt=0,5</t>
  </si>
  <si>
    <t>citation:doc-2011-01</t>
  </si>
  <si>
    <t>https://scholar.google.co.uk/scholar?q="Optimal link state sampling for improved network decision making with incomplete knowledge"&amp;btnG=&amp;hl=en&amp;as_sdt=0,5</t>
  </si>
  <si>
    <t>citation:doc-2013-01</t>
  </si>
  <si>
    <t>https://scholar.google.co.uk/scholar?q="Evolution of the Preferential Attachment Topology of the Gaian Database"&amp;btnG=&amp;hl=en&amp;as_sdt=0,5</t>
  </si>
  <si>
    <t>citation:doc-2014-01</t>
  </si>
  <si>
    <t>https://scholar.google.co.uk/scholar?q="Query Propagation Behaviour in Gaian Database Networks"&amp;btnG=&amp;hl=en&amp;as_sdt=0,5</t>
  </si>
  <si>
    <t>citation:doc-2015a-01</t>
  </si>
  <si>
    <t>https://scholar.google.co.uk/scholar?q="Query Execution and Maintenance Costs in a Dynamic Distributed Federated Database"&amp;btnG=&amp;hl=en&amp;as_sdt=0,5</t>
  </si>
  <si>
    <t>citation:doc-2016-01</t>
  </si>
  <si>
    <t>https://scholar.google.co.uk/scholar?q="A Model of Query Performance in Dynamic Distributed Federated Databases Taking Account of Network Topology"&amp;btnG=&amp;hl=en&amp;as_sdt=0,5</t>
  </si>
  <si>
    <t>citation:doc-2017-01</t>
  </si>
  <si>
    <t>https://scholar.google.co.uk/scholar?q="HyperD: Analysis and Performance Evaluation of a Distributed Hypercube Database."&amp;btnG=&amp;hl=en&amp;as_sdt=0,5</t>
  </si>
  <si>
    <t>citation:doc-2018-01</t>
  </si>
  <si>
    <t>https://scholar.google.co.uk/scholar?q="Fault Localization in MANET-Hosted Service-Based Systems"&amp;btnG=&amp;hl=en&amp;as_sdt=0,5</t>
  </si>
  <si>
    <t>citation:doc-2021-01</t>
  </si>
  <si>
    <t>https://scholar.google.co.uk/scholar?q="On the Selection of Spatiotemporally Relevant Sensory Providers"&amp;btnG=&amp;hl=en&amp;as_sdt=0,5</t>
  </si>
  <si>
    <t>citation:doc-2023-01</t>
  </si>
  <si>
    <t>https://scholar.google.co.uk/scholar?q="Inference Management: Trust and Obfuscation in Coalition Settings"&amp;btnG=&amp;hl=en&amp;as_sdt=0,5</t>
  </si>
  <si>
    <t>citation:doc-2024-01</t>
  </si>
  <si>
    <t>https://scholar.google.co.uk/scholar?q="Trust Assessment when Observing and Orienting with Uncertain, Multi-source Streaming Information"&amp;btnG=&amp;hl=en&amp;as_sdt=0,5</t>
  </si>
  <si>
    <t>citation:doc-2025-01</t>
  </si>
  <si>
    <t>https://scholar.google.co.uk/scholar?q="Localization In The Presence of Spatially Obfuscated Sensor Reports"&amp;btnG=&amp;hl=en&amp;as_sdt=0,5</t>
  </si>
  <si>
    <t>citation:doc-2028c-01</t>
  </si>
  <si>
    <t>https://scholar.google.co.uk/scholar?q="Multi-Client Non-Interactive Verifiable Computation"&amp;btnG=&amp;hl=en&amp;as_sdt=0,5</t>
  </si>
  <si>
    <t>https://scholar.google.co.uk/scholar?q="Exploiting Friendship Relations for Efficient Routing in Mobile Social Networks"&amp;btnG=&amp;hl=en&amp;as_sdt=0,5</t>
  </si>
  <si>
    <t>https://scholar.google.co.uk/scholar?q="Market Mechanisms for Resource Allocation in Pervasive Sensor Applications"&amp;btnG=&amp;hl=en&amp;as_sdt=0,5</t>
  </si>
  <si>
    <t>citation:doc-2031-01</t>
  </si>
  <si>
    <t>https://scholar.google.co.uk/scholar?q="Combining Subjective Logic with DL-Lite"&amp;btnG=&amp;hl=en&amp;as_sdt=0,5</t>
  </si>
  <si>
    <t>citation:doc-2032-01</t>
  </si>
  <si>
    <t>https://scholar.google.co.uk/scholar?q="Policy-aware Service Composition in Sensor Networks"&amp;btnG=&amp;hl=en&amp;as_sdt=0,5</t>
  </si>
  <si>
    <t>citation:doc-2034-01</t>
  </si>
  <si>
    <t>citation:doc-2035-01</t>
  </si>
  <si>
    <t>https://scholar.google.co.uk/scholar?q="Controlled Natural Language to facilitate information extraction"&amp;btnG=&amp;hl=en&amp;as_sdt=0,5</t>
  </si>
  <si>
    <t>citation:doc-2039-01</t>
  </si>
  <si>
    <t>https://scholar.google.co.uk/scholar?q="Towards Presenting Relevant Facts and Answers on Inconsistent and Uncertain Knowledge"&amp;btnG=&amp;hl=en&amp;as_sdt=0,5</t>
  </si>
  <si>
    <t>citation:doc-2040-01</t>
  </si>
  <si>
    <t>https://scholar.google.co.uk/scholar?q="Publicly Verifiable Delegation of Large Polynomials and Matrix Computations, with Applications"&amp;btnG=&amp;hl=en&amp;as_sdt=0,5</t>
  </si>
  <si>
    <t>citation:doc-2042-01</t>
  </si>
  <si>
    <t>https://scholar.google.co.uk/scholar?q="Fully Homomorphic Message Authenticators"&amp;btnG=&amp;hl=en&amp;as_sdt=0,5</t>
  </si>
  <si>
    <t>citation:doc-2043-01</t>
  </si>
  <si>
    <t>https://scholar.google.co.uk/scholar?q="Trust and Obfuscation"&amp;btnG=&amp;hl=en&amp;as_sdt=0,5</t>
  </si>
  <si>
    <t>citation:doc-2045-01</t>
  </si>
  <si>
    <t>https://scholar.google.co.uk/scholar?q="Quadratic Span Programs and Succinct NIZKs without PCPs"&amp;btnG=&amp;hl=en&amp;as_sdt=0,5</t>
  </si>
  <si>
    <t>citation:doc-2046-01</t>
  </si>
  <si>
    <t>https://scholar.google.co.uk/scholar?q="Safe Query Processing for Pairwise Authorizations in Coalition Networks"&amp;btnG=&amp;hl=en&amp;as_sdt=0,5</t>
  </si>
  <si>
    <t>citation:doc-2047-01</t>
  </si>
  <si>
    <t>https://scholar.google.co.uk/scholar?q="An architecture for distributed video applications based on declarative networking"&amp;btnG=&amp;hl=en&amp;as_sdt=0,5</t>
  </si>
  <si>
    <t>citation:doc-2048-01</t>
  </si>
  <si>
    <t>https://scholar.google.co.uk/scholar?q="Exploitation of Distributed, Uncertain and Obfuscated Information"&amp;btnG=&amp;hl=en&amp;as_sdt=0,5</t>
  </si>
  <si>
    <t>https://scholar.google.co.uk/scholar?q="On the Complexity of the BKW Algorithm on LWE"&amp;btnG=&amp;hl=en&amp;as_sdt=0,5</t>
  </si>
  <si>
    <t>citation:doc-2053-01</t>
  </si>
  <si>
    <t>https://scholar.google.co.uk/scholar?q="Endhost-Based Shortest Path Routing in Dynamic Networks"&amp;btnG=&amp;hl=en&amp;as_sdt=0,5</t>
  </si>
  <si>
    <t>citation:doc-2055-01</t>
  </si>
  <si>
    <t>https://scholar.google.co.uk/scholar?q="Connectivity in Random Hybrid Networks"&amp;btnG=&amp;hl=en&amp;as_sdt=0,5</t>
  </si>
  <si>
    <t>citation:doc-2056-01</t>
  </si>
  <si>
    <t>https://scholar.google.co.uk/scholar?q="Routing in hybrid networks with security-aware costs"&amp;btnG=&amp;hl=en&amp;as_sdt=0,5</t>
  </si>
  <si>
    <t>citation:doc-2057e-01</t>
  </si>
  <si>
    <t>https://scholar.google.co.uk/scholar?q="Multicasting under Multi-domain and Hierarchical Constraints"&amp;btnG=&amp;hl=en&amp;as_sdt=0,5</t>
  </si>
  <si>
    <t>https://scholar.google.co.uk/scholar?q="Efficient Algorithms for Neighbor Discovery in Wireless Networks"&amp;btnG=&amp;hl=en&amp;as_sdt=0,5</t>
  </si>
  <si>
    <t>citation:doc-2059-01</t>
  </si>
  <si>
    <t>https://scholar.google.co.uk/scholar?q="A fluid model study of multipath communication in a hybrid network for a moving convoy"&amp;btnG=&amp;hl=en&amp;as_sdt=0,5</t>
  </si>
  <si>
    <t>citation:doc-2060-01</t>
  </si>
  <si>
    <t>https://scholar.google.co.uk/scholar?q="Sampling Schedules for Minimum Latency Routing on a Dynamic Network with Imperfect Link State"&amp;btnG=&amp;hl=en&amp;as_sdt=0,5</t>
  </si>
  <si>
    <t>citation:doc-2062-01</t>
  </si>
  <si>
    <t>https://scholar.google.co.uk/scholar?q="Measuring cellular networks: characterizing 3G, 4G, and path diversity"&amp;btnG=&amp;hl=en&amp;as_sdt=0,5</t>
  </si>
  <si>
    <t>citation:doc-2064-01</t>
  </si>
  <si>
    <t>https://scholar.google.co.uk/scholar?q="Network Coding for Facilitating Secrecy in Large Wireless Networks"&amp;btnG=&amp;hl=en&amp;as_sdt=0,5</t>
  </si>
  <si>
    <t>citation:doc-2065-01</t>
  </si>
  <si>
    <t>https://scholar.google.co.uk/scholar?q="Capacity of Hybrid Networks"&amp;btnG=&amp;hl=en&amp;as_sdt=0,5</t>
  </si>
  <si>
    <t>citation:doc-2066-01</t>
  </si>
  <si>
    <t>https://scholar.google.co.uk/scholar?q="Representing Typed feature Structures in Controlled English"&amp;btnG=&amp;hl=en&amp;as_sdt=0,5</t>
  </si>
  <si>
    <t>citation:doc-2069-01</t>
  </si>
  <si>
    <t>https://scholar.google.co.uk/scholar?q="Topological Constraints on Identifying Additive Link metrics via end-to-end path measurements"&amp;btnG=&amp;hl=en&amp;as_sdt=0,5</t>
  </si>
  <si>
    <t>citation:doc-2071-01</t>
  </si>
  <si>
    <t>citation:doc-2089-01</t>
  </si>
  <si>
    <t>https://scholar.google.co.uk/scholar?q="Characterizing 4G and 3G Networks: Supporting Mobility with Multi-Path TCP"&amp;btnG=&amp;hl=en&amp;as_sdt=0,5</t>
  </si>
  <si>
    <t>citation:doc-2094a-01</t>
  </si>
  <si>
    <t>https://scholar.google.co.uk/scholar?q="Calculation of the Center-of-Data in a Hypercube"&amp;btnG=&amp;hl=en&amp;as_sdt=0,5</t>
  </si>
  <si>
    <t>citation:doc-2103-01</t>
  </si>
  <si>
    <t>https://scholar.google.co.uk/scholar?q="Opportunistic Scheduling in Hybrid Network Environments with Time Scale Differences"&amp;btnG=&amp;hl=en&amp;as_sdt=0,5</t>
  </si>
  <si>
    <t>citation:doc-2104-01</t>
  </si>
  <si>
    <t>https://scholar.google.co.uk/scholar?q="Resource Allocation and Scheduling in Multi-hop Hybrid Networks"&amp;btnG=&amp;hl=en&amp;as_sdt=0,5</t>
  </si>
  <si>
    <t>citation:doc-2109-01</t>
  </si>
  <si>
    <t>citation:doc-2113a-01</t>
  </si>
  <si>
    <t>https://scholar.google.co.uk/scholar?q="Extending the Kerberos Protocol for Distributed Data as a Service"&amp;btnG=&amp;hl=en&amp;as_sdt=0,5</t>
  </si>
  <si>
    <t>citation:doc-2118-01</t>
  </si>
  <si>
    <t>https://scholar.google.co.uk/scholar?q="History-Free Sequential Aggregate Signatures"&amp;btnG=&amp;hl=en&amp;as_sdt=0,5</t>
  </si>
  <si>
    <t>citation:doc-2119-01</t>
  </si>
  <si>
    <t>https://scholar.google.co.uk/scholar?q="Verifiable Data Streaming"&amp;btnG=&amp;hl=en&amp;as_sdt=0,5</t>
  </si>
  <si>
    <t>citation:doc-2120-01</t>
  </si>
  <si>
    <t>https://scholar.google.co.uk/scholar?q="Identities and Names in CE"&amp;btnG=&amp;hl=en&amp;as_sdt=0,5</t>
  </si>
  <si>
    <t>citation:doc-2121-01</t>
  </si>
  <si>
    <t>https://scholar.google.co.uk/scholar?q="Summary of Communications processing"&amp;btnG=&amp;hl=en&amp;as_sdt=0,5</t>
  </si>
  <si>
    <t>citation:doc-2122-01</t>
  </si>
  <si>
    <t>citation:doc-2123-01</t>
  </si>
  <si>
    <t>https://scholar.google.co.uk/scholar?q="Linguistic Notes for the ACITA 2012 Fact Extraction demonstration"&amp;btnG=&amp;hl=en&amp;as_sdt=0,5</t>
  </si>
  <si>
    <t>https://scholar.google.co.uk/scholar?q="Improving Coalition Planning by Making Plans Alive"&amp;btnG=&amp;hl=en&amp;as_sdt=0,5</t>
  </si>
  <si>
    <t>citation:doc-2127-01</t>
  </si>
  <si>
    <t>https://scholar.google.co.uk/scholar?q="The potential for Fact Extraction Improvements"&amp;btnG=&amp;hl=en&amp;as_sdt=0,5</t>
  </si>
  <si>
    <t>citation:doc-2128-01</t>
  </si>
  <si>
    <t>https://scholar.google.co.uk/scholar?q="The Existence of Trusted Paths in Hybrid Networks"&amp;btnG=&amp;hl=en&amp;as_sdt=0,5</t>
  </si>
  <si>
    <t>citation:doc-2129-01</t>
  </si>
  <si>
    <t>https://scholar.google.co.uk/scholar?q="A Comparative Study on Trusted Path Discovery in Two Algorithms"&amp;btnG=&amp;hl=en&amp;as_sdt=0,5</t>
  </si>
  <si>
    <t>citation:doc-2130-01</t>
  </si>
  <si>
    <t>https://scholar.google.co.uk/scholar?q="Knowledge-based Sensor Security"&amp;btnG=&amp;hl=en&amp;as_sdt=0,5</t>
  </si>
  <si>
    <t>citation:doc-2131-01</t>
  </si>
  <si>
    <t>https://scholar.google.co.uk/scholar?q="A Framework for Managing the Selection of Spatiotemporally Relevant Information Providers"&amp;btnG=&amp;hl=en&amp;as_sdt=0,5</t>
  </si>
  <si>
    <t>citation:doc-2132-01</t>
  </si>
  <si>
    <t>https://scholar.google.co.uk/scholar?q="High-Level Sharing Policies and their Effect on Sensor-Task Assignment"&amp;btnG=&amp;hl=en&amp;as_sdt=0,5</t>
  </si>
  <si>
    <t>citation:doc-2133a-01</t>
  </si>
  <si>
    <t>https://scholar.google.co.uk/scholar?q="Towards an Expression of Policy in Controlled English"&amp;btnG=&amp;hl=en&amp;as_sdt=0,5</t>
  </si>
  <si>
    <t>citation:doc-2135-01</t>
  </si>
  <si>
    <t>citation:doc-2138-01</t>
  </si>
  <si>
    <t>https://scholar.google.co.uk/scholar?q="Distributed Query Planning in Coalition Networks"&amp;btnG=&amp;hl=en&amp;as_sdt=0,5</t>
  </si>
  <si>
    <t>https://scholar.google.co.uk/scholar?q="Enforcing Secure and Privacy-Preserving Information Brokering in Distributed Information Sharing"&amp;btnG=&amp;hl=en&amp;as_sdt=0,5</t>
  </si>
  <si>
    <t>citation:doc-2140-01</t>
  </si>
  <si>
    <t>citation:doc-2141a-01</t>
  </si>
  <si>
    <t>https://scholar.google.co.uk/scholar?q="Building Efficient Limited Scale-Free Overlay Topologies for Unstructured P2P Networks"&amp;btnG=&amp;hl=en&amp;as_sdt=0,5</t>
  </si>
  <si>
    <t>citation:doc-2143a-01</t>
  </si>
  <si>
    <t>https://scholar.google.co.uk/scholar?q="WiFi Access Point Deployment for Efficient Mobile Data Offloading"&amp;btnG=&amp;hl=en&amp;as_sdt=0,5</t>
  </si>
  <si>
    <t>citation:doc-2144a-01</t>
  </si>
  <si>
    <t>https://scholar.google.co.uk/scholar?q="Dynamic Multipath Routing of Multi-Priority Traffic in Wireless Sensor Networks"&amp;btnG=&amp;hl=en&amp;as_sdt=0,5</t>
  </si>
  <si>
    <t>citation:doc-2146-01</t>
  </si>
  <si>
    <t>https://scholar.google.co.uk/scholar?q="Trust-based Dynamic Service Composition in Tactical Networks"&amp;btnG=&amp;hl=en&amp;as_sdt=0,5</t>
  </si>
  <si>
    <t>citation:doc-2153a-01</t>
  </si>
  <si>
    <t>https://scholar.google.co.uk/scholar?q="CoPing: Cooperative Probing of Path Performance for Gateway Selection in Hybrid Wireless Networks"&amp;btnG=&amp;hl=en&amp;as_sdt=0,5</t>
  </si>
  <si>
    <t>citation:doc-2168-01</t>
  </si>
  <si>
    <t>https://scholar.google.co.uk/scholar?q="Trust decision-making with controls"&amp;btnG=&amp;hl=en&amp;as_sdt=0,5</t>
  </si>
  <si>
    <t>https://scholar.google.co.uk/scholar?q="A Hybrid Reasoning Mechanism for Effective Sensor Selection for Tasks"&amp;btnG=&amp;hl=en&amp;as_sdt=0,5</t>
  </si>
  <si>
    <t>citation:doc-2171-01</t>
  </si>
  <si>
    <t>https://scholar.google.co.uk/scholar?q="Diagnosing Large-Scale Failures in Computer Networks"&amp;btnG=&amp;hl=en&amp;as_sdt=0,5</t>
  </si>
  <si>
    <t>citation:doc-2173-01</t>
  </si>
  <si>
    <t>https://scholar.google.co.uk/scholar?q="Temporal Subjective Logic"&amp;btnG=&amp;hl=en&amp;as_sdt=0,5</t>
  </si>
  <si>
    <t>citation:doc-2175-01</t>
  </si>
  <si>
    <t>https://scholar.google.co.uk/scholar?q="Towards a System for Managing Inferences with Distributed, Uncertain and Obfuscated Information"&amp;btnG=&amp;hl=en&amp;as_sdt=0,5</t>
  </si>
  <si>
    <t>https://scholar.google.co.uk/scholar?q="Towards Practical ABox Abduction in Large Description Logic Ontologies"&amp;btnG=&amp;hl=en&amp;as_sdt=0,5</t>
  </si>
  <si>
    <t>citation:doc-2177-01</t>
  </si>
  <si>
    <t>https://scholar.google.co.uk/scholar?q="QoI-Aware Energy Management in Internet-of-Things Sensory Environments"&amp;btnG=&amp;hl=en&amp;as_sdt=0,5</t>
  </si>
  <si>
    <t>citation:doc-2180-01</t>
  </si>
  <si>
    <t>https://scholar.google.co.uk/scholar?q="Connectivity of Coalition Networks"&amp;btnG=&amp;hl=en&amp;as_sdt=0,5</t>
  </si>
  <si>
    <t>https://scholar.google.co.uk/scholar?q="Energy Efficiency of Cooperative Jamming Strategies in Secure Wireless Networks"&amp;btnG=&amp;hl=en&amp;as_sdt=0,5</t>
  </si>
  <si>
    <t>https://scholar.google.co.uk/scholar?q="Signal-Flow-Based Analysis of Wireless Security Protocols"&amp;btnG=&amp;hl=en&amp;as_sdt=0,5</t>
  </si>
  <si>
    <t>https://scholar.google.co.uk/scholar?q="Broadcast Analysis for Extended Cooperative Wireless Networks"&amp;btnG=&amp;hl=en&amp;as_sdt=0,5</t>
  </si>
  <si>
    <t>citation:doc-2184-01</t>
  </si>
  <si>
    <t>https://scholar.google.co.uk/scholar?q="Exploring Controlled English for representing knowledge in the Linguistic Knowledge Builder"&amp;btnG=&amp;hl=en&amp;as_sdt=0,5</t>
  </si>
  <si>
    <t>citation:doc-2186-01</t>
  </si>
  <si>
    <t>https://scholar.google.co.uk/scholar?q="Documenting Provenance with a Controlled Natural Language"&amp;btnG=&amp;hl=en&amp;as_sdt=0,5</t>
  </si>
  <si>
    <t>citation:doc-2187-01</t>
  </si>
  <si>
    <t>https://scholar.google.co.uk/scholar?q="Semantic Enrichment for Real-time Data-to-Decisions"&amp;btnG=&amp;hl=en&amp;as_sdt=0,5</t>
  </si>
  <si>
    <t>citation:doc-2188-01</t>
  </si>
  <si>
    <t>citation:doc-2189-01</t>
  </si>
  <si>
    <t>https://scholar.google.co.uk/scholar?q="Using Controlled English for Fact Extraction"&amp;btnG=&amp;hl=en&amp;as_sdt=0,5</t>
  </si>
  <si>
    <t>citation:doc-2190-01</t>
  </si>
  <si>
    <t>https://scholar.google.co.uk/scholar?q="Controlled English - a practical introduction"&amp;btnG=&amp;hl=en&amp;as_sdt=0,5</t>
  </si>
  <si>
    <t>citation:doc-2191-01</t>
  </si>
  <si>
    <t>https://scholar.google.co.uk/scholar?q="Distribited State Machines: A Declarative Framework for the management of Distributed Systems"&amp;btnG=&amp;hl=en&amp;as_sdt=0,5</t>
  </si>
  <si>
    <t>citation:doc-2192-01</t>
  </si>
  <si>
    <t>https://scholar.google.co.uk/scholar?q="A brief exploratory overview of a hierarchically labelled geo-located network of nodes"&amp;btnG=&amp;hl=en&amp;as_sdt=0,5</t>
  </si>
  <si>
    <t>citation:doc-2195-01</t>
  </si>
  <si>
    <t>https://scholar.google.co.uk/scholar?q="Optimizing Control Overhead for Power-aware Routing in Wireless Networks"&amp;btnG=&amp;hl=en&amp;as_sdt=0,5</t>
  </si>
  <si>
    <t>citation:doc-2196-01</t>
  </si>
  <si>
    <t>https://scholar.google.co.uk/scholar?q="Minimum Control Overhead for Power-aware</t>
  </si>
  <si>
    <t>citation:doc-2221-01</t>
  </si>
  <si>
    <t>https://scholar.google.co.uk/scholar?q="Reasoning about Uncertain Information and Conflict Resolution through Trust Revision"&amp;btnG=&amp;hl=en&amp;as_sdt=0,5</t>
  </si>
  <si>
    <t>citation:doc-2223b-01</t>
  </si>
  <si>
    <t>https://scholar.google.co.uk/scholar?q="TAF: A Trust Assessment Framework for Inferencing with Uncertain Streaming Information"&amp;btnG=&amp;hl=en&amp;as_sdt=0,5</t>
  </si>
  <si>
    <t>citation:doc-2224-01</t>
  </si>
  <si>
    <t>https://scholar.google.co.uk/scholar?q="Towards Argumentation with Symbolic Dempster-Shafer Evidence"&amp;btnG=&amp;hl=en&amp;as_sdt=0,5</t>
  </si>
  <si>
    <t>citation:doc-2225-01</t>
  </si>
  <si>
    <t>https://scholar.google.co.uk/scholar?q="Managing ISR sharing policies at the network edge using Controlled English"&amp;btnG=&amp;hl=en&amp;as_sdt=0,5</t>
  </si>
  <si>
    <t>citation:doc-2227-01</t>
  </si>
  <si>
    <t>citation:doc-2228a-01</t>
  </si>
  <si>
    <t>https://scholar.google.co.uk/scholar?q="CE-SAM: a conversational interface for ISR mission support"&amp;btnG=&amp;hl=en&amp;as_sdt=0,5</t>
  </si>
  <si>
    <t>citation:doc-2229-01</t>
  </si>
  <si>
    <t>https://scholar.google.co.uk/scholar?q="RDFS Reasoning on Massively Parallel Hardware"&amp;btnG=&amp;hl=en&amp;as_sdt=0,5</t>
  </si>
  <si>
    <t>citation:doc-2230-01</t>
  </si>
  <si>
    <t>https://scholar.google.co.uk/scholar?q="Exploring the Dynamics of Collective Cognition Using a Computational Model of Cognitive Dissonance"&amp;btnG=&amp;hl=en&amp;as_sdt=0,5</t>
  </si>
  <si>
    <t>citation:doc-2232-01</t>
  </si>
  <si>
    <t>https://scholar.google.co.uk/scholar?q="Gateway Selection in Hybrid Wireless Networks through Cooperative Probing"&amp;btnG=&amp;hl=en&amp;as_sdt=0,5</t>
  </si>
  <si>
    <t>citation:doc-2235-01</t>
  </si>
  <si>
    <t>https://scholar.google.co.uk/scholar?q="Hypothesis Support in Information Extraction"&amp;btnG=&amp;hl=en&amp;as_sdt=0,5</t>
  </si>
  <si>
    <t>https://scholar.google.co.uk/scholar?q="Prognostic Normative Reasoning"&amp;btnG=&amp;hl=en&amp;as_sdt=0,5</t>
  </si>
  <si>
    <t>citation:doc-2244-01</t>
  </si>
  <si>
    <t>https://scholar.google.co.uk/scholar?q="Context-rich Semantic Framework for Effective Data-to-Decisions in Coalition Networks"&amp;btnG=&amp;hl=en&amp;as_sdt=0,5</t>
  </si>
  <si>
    <t>citation:doc-2247-01</t>
  </si>
  <si>
    <t>https://scholar.google.co.uk/scholar?q="Broadcast Steganography"&amp;btnG=&amp;hl=en&amp;as_sdt=0,5</t>
  </si>
  <si>
    <t>https://scholar.google.co.uk/scholar?q="Limits of Reliable Communication with Low Probability of Detection on AWGN Channels"&amp;btnG=&amp;hl=en&amp;as_sdt=0,5</t>
  </si>
  <si>
    <t>citation:doc-2251-01</t>
  </si>
  <si>
    <t>https://scholar.google.co.uk/scholar?q="Feasibility and Infeasibility of Adaptively Secure Fully Homomorphic Encryption"&amp;btnG=&amp;hl=en&amp;as_sdt=0,5</t>
  </si>
  <si>
    <t>citation:doc-2252-01</t>
  </si>
  <si>
    <t>https://scholar.google.co.uk/scholar?q="A System Architecture for Decision-making Support on ISR Missions with Stochastic Needs and Profits"&amp;btnG=&amp;hl=en&amp;as_sdt=0,5</t>
  </si>
  <si>
    <t>citation:doc-2254-01</t>
  </si>
  <si>
    <t>citation:doc-2255-01</t>
  </si>
  <si>
    <t>https://scholar.google.co.uk/scholar?q="Probabilistic Computation for Information Security"&amp;btnG=&amp;hl=en&amp;as_sdt=0,5</t>
  </si>
  <si>
    <t>citation:doc-2271-01</t>
  </si>
  <si>
    <t>https://scholar.google.co.uk/scholar?q="A New CE-based Lexical Model v3.3"&amp;btnG=&amp;hl=en&amp;as_sdt=0,5</t>
  </si>
  <si>
    <t>citation:doc-2272-01</t>
  </si>
  <si>
    <t>citation:doc-2273-01</t>
  </si>
  <si>
    <t>https://scholar.google.co.uk/scholar?q="Fact Extraction and Reasoning using Controlled Natural Language - BPP proposal"&amp;btnG=&amp;hl=en&amp;as_sdt=0,5</t>
  </si>
  <si>
    <t>citation:doc-2274-01</t>
  </si>
  <si>
    <t>https://scholar.google.co.uk/scholar?q="User-defined extensions to CE"&amp;btnG=&amp;hl=en&amp;as_sdt=0,5</t>
  </si>
  <si>
    <t>citation:doc-2275-01</t>
  </si>
  <si>
    <t>https://scholar.google.co.uk/scholar?q="Resource Allocation with Non-Deterministic Demands and Profits"&amp;btnG=&amp;hl=en&amp;as_sdt=0,5</t>
  </si>
  <si>
    <t>citation:doc-2279-01</t>
  </si>
  <si>
    <t>https://scholar.google.co.uk/scholar?q="Relaxing Independence Assumptions in Probabilistic Argumentation"&amp;btnG=&amp;hl=en&amp;as_sdt=0,5</t>
  </si>
  <si>
    <t>citation:doc-2281-01</t>
  </si>
  <si>
    <t>https://scholar.google.co.uk/scholar?q="Algebraic (Trapdoor) One Way Functions and their Applications"&amp;btnG=&amp;hl=en&amp;as_sdt=0,5</t>
  </si>
  <si>
    <t>citation:doc-2283-01</t>
  </si>
  <si>
    <t>https://scholar.google.co.uk/scholar?q="Quantum noise limited optical communication with low probability of detection"&amp;btnG=&amp;hl=en&amp;as_sdt=0,5</t>
  </si>
  <si>
    <t>https://scholar.google.co.uk/scholar?q="Asymptotic Optimality of Equal Power Allocation for Linear Estimation of WSS Random Processes"&amp;btnG=&amp;hl=en&amp;as_sdt=0,5</t>
  </si>
  <si>
    <t>citation:doc-2286-01</t>
  </si>
  <si>
    <t>https://scholar.google.co.uk/scholar?q="Physical-Layer Secrecy in Large Multi-Hop Wireless Networks"&amp;btnG=&amp;hl=en&amp;as_sdt=0,5</t>
  </si>
  <si>
    <t>citation:doc-2293b-01</t>
  </si>
  <si>
    <t>https://scholar.google.co.uk/scholar?q="Controlled English to facilitate human/machine analytical processing"&amp;btnG=&amp;hl=en&amp;as_sdt=0,5</t>
  </si>
  <si>
    <t>https://scholar.google.co.uk/scholar?q="The discrimination power of structural superindices"&amp;btnG=&amp;hl=en&amp;as_sdt=0,5</t>
  </si>
  <si>
    <t>citation:doc-2296-01</t>
  </si>
  <si>
    <t>citation:doc-2297-01</t>
  </si>
  <si>
    <t>https://scholar.google.co.uk/scholar?q="A Framework for Context-Aware Privacy of Sensor Data on Mobile Systems"&amp;btnG=&amp;hl=en&amp;as_sdt=0,5</t>
  </si>
  <si>
    <t>citation:doc-2303-01</t>
  </si>
  <si>
    <t>https://scholar.google.co.uk/scholar?q="Price Based Routing for Event Driven Prioritized Traffic in Wireless Sensor Networks"&amp;btnG=&amp;hl=en&amp;as_sdt=0,5</t>
  </si>
  <si>
    <t>citation:doc-2304-01</t>
  </si>
  <si>
    <t>https://scholar.google.co.uk/scholar?q="Opportunism vs. Cooperation: Comparing Forwarding Strategies in Multihop Wireless Networks with Random Fading"&amp;btnG=&amp;hl=en&amp;as_sdt=0,5</t>
  </si>
  <si>
    <t>citation:doc-2305-01</t>
  </si>
  <si>
    <t>https://scholar.google.co.uk/scholar?q=%22TIDY%3A+A+Trust-Based+Approach+to+Information+Fusion+through+Diversity%22&amp;btnG=&amp;hl=en&amp;as_sdt=0%2C5</t>
  </si>
  <si>
    <t>citation:doc-2306-01</t>
  </si>
  <si>
    <t>https://scholar.google.co.uk/scholar?q="Understanding the Cognitive Impact of Emerging Web Technologies"&amp;btnG=&amp;hl=en&amp;as_sdt=0,5</t>
  </si>
  <si>
    <t>citation:doc-2309-01</t>
  </si>
  <si>
    <t>https://scholar.google.co.uk/scholar?q="Memory Trace Oblivious Program Execution"&amp;btnG=&amp;hl=en&amp;as_sdt=0,5</t>
  </si>
  <si>
    <t>citation:doc-2310-01</t>
  </si>
  <si>
    <t>https://scholar.google.co.uk/scholar?q="Knowledge Inference for Optimizing Secure Multi-party Computation"&amp;btnG=&amp;hl=en&amp;as_sdt=0,5</t>
  </si>
  <si>
    <t>citation:doc-2312-01</t>
  </si>
  <si>
    <t>https://scholar.google.co.uk/scholar?q=%22Assessing+Trust+over+Uncertain+Rules+and+Streaming+Data%22&amp;btnG=&amp;hl=en&amp;as_sdt=0%2C5</t>
  </si>
  <si>
    <t>citation:doc-2317-01</t>
  </si>
  <si>
    <t>https://scholar.google.co.uk/scholar?q="Human Factors in Intelligence, Surveillance, and Reconnaissance: Gaps for Soldiers and Technology Recommendations"&amp;btnG=&amp;hl=en&amp;as_sdt=0,5</t>
  </si>
  <si>
    <t>citation:doc-2319a-01</t>
  </si>
  <si>
    <t>https://scholar.google.co.uk/scholar?q="Models of argument for deliberative dialogue in complex domains"&amp;btnG=&amp;hl=en&amp;as_sdt=0,5</t>
  </si>
  <si>
    <t>citation:doc-2320-01</t>
  </si>
  <si>
    <t>https://scholar.google.co.uk/scholar?q="Result Integrity Check for MapReduce Computation on Hybrid Clouds"&amp;btnG=&amp;hl=en&amp;as_sdt=0,5</t>
  </si>
  <si>
    <t>citation:doc-2322-01</t>
  </si>
  <si>
    <t>https://scholar.google.co.uk/scholar?q="Modelling network overlay expansion"&amp;btnG=&amp;hl=en&amp;as_sdt=0,5</t>
  </si>
  <si>
    <t>citation:doc-2323-01</t>
  </si>
  <si>
    <t>https://scholar.google.co.uk/scholar?q="MIPS: A Service-Based Aid for Intelligence Analysis"&amp;btnG=&amp;hl=en&amp;as_sdt=0,5</t>
  </si>
  <si>
    <t>https://scholar.google.co.uk/scholar?q="Constructing Limited Scale-Free Topologies Over Peer-to-Peer Networks"&amp;btnG=&amp;hl=en&amp;as_sdt=0,5</t>
  </si>
  <si>
    <t>citation:doc-2328-01</t>
  </si>
  <si>
    <t>https://scholar.google.co.uk/scholar?q="Diagnosing Degradation of Services in Hybrid Wireless Tactical Networks"&amp;btnG=&amp;hl=en&amp;as_sdt=0,5</t>
  </si>
  <si>
    <t>citation:doc-2329-01</t>
  </si>
  <si>
    <t>https://scholar.google.co.uk/scholar?q="OptiMeas: Optimized Measurement Selection in Network Tomography"&amp;btnG=&amp;hl=en&amp;as_sdt=0,5</t>
  </si>
  <si>
    <t>citation:doc-2333-01</t>
  </si>
  <si>
    <t>https://scholar.google.co.uk/scholar?q="Context-dependent Trust Decisions with Subjective Logic"&amp;btnG=&amp;hl=en&amp;as_sdt=0,5</t>
  </si>
  <si>
    <t>citation:doc-2334-01</t>
  </si>
  <si>
    <t>https://scholar.google.co.uk/scholar?q="An Empirical Evaluation of Geometric Subjective Logic Operators"&amp;btnG=&amp;hl=en&amp;as_sdt=0,5</t>
  </si>
  <si>
    <t>citation:doc-2335-01</t>
  </si>
  <si>
    <t>https://scholar.google.co.uk/scholar?q="A Framework for Using Trust to Assess Risk in Information Sharing"&amp;btnG=&amp;hl=en&amp;as_sdt=0,5</t>
  </si>
  <si>
    <t>citation:doc-2339-01</t>
  </si>
  <si>
    <t>citation:doc-2340-01</t>
  </si>
  <si>
    <t>citation:doc-2341-01</t>
  </si>
  <si>
    <t>https://scholar.google.co.uk/scholar?q="4th Battalion Communications Report"&amp;btnG=&amp;hl=en&amp;as_sdt=0,5</t>
  </si>
  <si>
    <t>citation:doc-2342-01</t>
  </si>
  <si>
    <t>https://scholar.google.co.uk/scholar?q="BPP11 NL processing and fact extraction (CE embedded Word document)"&amp;btnG=&amp;hl=en&amp;as_sdt=0,5</t>
  </si>
  <si>
    <t>citation:doc-2343-01</t>
  </si>
  <si>
    <t>https://scholar.google.co.uk/scholar?q="Dempster-Shafer Argument Schemes"&amp;btnG=&amp;hl=en&amp;as_sdt=0,5</t>
  </si>
  <si>
    <t>citation:doc-2344-01</t>
  </si>
  <si>
    <t>https://scholar.google.co.uk/scholar?q="Position-based Trust Update in Delegation Chains"&amp;btnG=&amp;hl=en&amp;as_sdt=0,5</t>
  </si>
  <si>
    <t>citation:doc-2345-01</t>
  </si>
  <si>
    <t>https://scholar.google.co.uk/scholar?q="Reasoning Under Uncertainty: Variations of Subjective Logic Deduction"&amp;btnG=&amp;hl=en&amp;as_sdt=0,5</t>
  </si>
  <si>
    <t>citation:doc-2346-01</t>
  </si>
  <si>
    <t>https://scholar.google.co.uk/scholar?q="Development of a Simulation Capability to Support Experimental Analyses of Collective Sensemaking"&amp;btnG=&amp;hl=en&amp;as_sdt=0,5</t>
  </si>
  <si>
    <t>citation:doc-2348-01</t>
  </si>
  <si>
    <t>https://scholar.google.co.uk/scholar?q="Reasoning with Uncertain Information and Trust"&amp;btnG=&amp;hl=en&amp;as_sdt=0,5</t>
  </si>
  <si>
    <t>citation:doc-2349-01</t>
  </si>
  <si>
    <t>https://scholar.google.co.uk/scholar?q="Inferring Military Activity in Hybrid Networks through Cache Behavior"&amp;btnG=&amp;hl=en&amp;as_sdt=0,5</t>
  </si>
  <si>
    <t>citation:doc-2355-01</t>
  </si>
  <si>
    <t>https://scholar.google.co.uk/scholar?q=%22Constructing+Controlled+English+for+Both+Human+Usage+and+Machine+Processing%22&amp;btnG=&amp;hl=en&amp;as_sdt=0%2C5</t>
  </si>
  <si>
    <t>https://scholar.google.co.uk/scholar?q="An Efficient Heuristic Approach to Detecting Graph Isomorphism Based on Combinations of Highly Discriminating Invariants"&amp;btnG=&amp;hl=en&amp;as_sdt=0,5</t>
  </si>
  <si>
    <t>https://scholar.google.co.uk/scholar?q="Is Information-Centric Multi-Tree Routing Feasible?"&amp;btnG=&amp;hl=en&amp;as_sdt=0,5</t>
  </si>
  <si>
    <t>citation:doc-2359-01</t>
  </si>
  <si>
    <t>https://scholar.google.co.uk/scholar?q="Verifiable Oblivious Storage"&amp;btnG=&amp;hl=en&amp;as_sdt=0,5</t>
  </si>
  <si>
    <t>citation:doc-2360-01</t>
  </si>
  <si>
    <t>https://scholar.google.co.uk/scholar?q="Hardcore Predicates for a Diffie-Hellman Problem over Finite Fields"&amp;btnG=&amp;hl=en&amp;as_sdt=0,5</t>
  </si>
  <si>
    <t>citation:doc-2362-01</t>
  </si>
  <si>
    <t>https://scholar.google.co.uk/scholar?q="Robust Confidentiality Preserving Data Delivery in Federated Coalition Networks"&amp;btnG=&amp;hl=en&amp;as_sdt=0,5</t>
  </si>
  <si>
    <t>citation:doc-2364-01</t>
  </si>
  <si>
    <t>https://scholar.google.co.uk/scholar?q="Protecting Data Against Unwanted Inferences"&amp;btnG=&amp;hl=en&amp;as_sdt=0,5</t>
  </si>
  <si>
    <t>https://scholar.google.co.uk/scholar?q="A Declarative Approach to Distributed Computing: Specification, Execution and Analysis"&amp;btnG=&amp;hl=en&amp;as_sdt=0,5</t>
  </si>
  <si>
    <t>citation:doc-2368-01</t>
  </si>
  <si>
    <t>https://scholar.google.co.uk/scholar?q="Self-Optimization in Future Hybrid Networks"&amp;btnG=&amp;hl=en&amp;as_sdt=0,5</t>
  </si>
  <si>
    <t>https://scholar.google.co.uk/scholar?q="Rewards, Costs and Flexibility in Dynamic Resource Allocation: A Stochastic Optimal Control Approach"&amp;btnG=&amp;hl=en&amp;as_sdt=0,5</t>
  </si>
  <si>
    <t>https://scholar.google.co.uk/scholar?q="Stochastic Optimal Control for a Class of General Dynamic Resource Allocation Problems"&amp;btnG=&amp;hl=en&amp;as_sdt=0,5</t>
  </si>
  <si>
    <t>citation:doc-2371-01</t>
  </si>
  <si>
    <t>https://scholar.google.co.uk/scholar?q="A Measurement-based Study of MultiPath TCP Performance over Wireless Networks"&amp;btnG=&amp;hl=en&amp;as_sdt=0,5</t>
  </si>
  <si>
    <t>citation:doc-2372-01</t>
  </si>
  <si>
    <t>https://scholar.google.co.uk/scholar?q="Reliable Multicast Clouds"&amp;btnG=&amp;hl=en&amp;as_sdt=0,5</t>
  </si>
  <si>
    <t>citation:doc-2377-01</t>
  </si>
  <si>
    <t>https://scholar.google.co.uk/scholar?q="Human-Machine Conversations to Support Mission-Oriented Information Provision"&amp;btnG=&amp;hl=en&amp;as_sdt=0,5</t>
  </si>
  <si>
    <t>citation:doc-2390-01</t>
  </si>
  <si>
    <t>https://scholar.google.co.uk/scholar?q="Installing the ERG and PET parser on Linux"&amp;btnG=&amp;hl=en&amp;as_sdt=0,5</t>
  </si>
  <si>
    <t>citation:doc-2436-01</t>
  </si>
  <si>
    <t>citation:doc-2439-01</t>
  </si>
  <si>
    <t>https://scholar.google.co.uk/scholar?q="A Working Implementation of Secure Keyword Search on Files Stored over Untrusted Servers"&amp;btnG=&amp;hl=en&amp;as_sdt=0,5</t>
  </si>
  <si>
    <t>citation:doc-2478-01</t>
  </si>
  <si>
    <t>https://scholar.google.co.uk/scholar?q="Argument Schemes and Provenance to Support Collaborative Intelligence Analysis"&amp;btnG=&amp;hl=en&amp;as_sdt=0,5</t>
  </si>
  <si>
    <t>citation:doc-2479-01</t>
  </si>
  <si>
    <t>https://scholar.google.co.uk/scholar?q="Collaborative Intelligence Analysis for Effective Decision Making"&amp;btnG=&amp;hl=en&amp;as_sdt=0,5</t>
  </si>
  <si>
    <t>citation:doc-2480-01</t>
  </si>
  <si>
    <t>https://scholar.google.co.uk/scholar?q="On the benefits of argumentation schemes in deliberative dialogue for collaborative decision-making"&amp;btnG=&amp;hl=en&amp;as_sdt=0,5</t>
  </si>
  <si>
    <t>citation:doc-2481-01</t>
  </si>
  <si>
    <t>https://scholar.google.co.uk/scholar?q="Link Identifiability in Communication Networks with Two Monitors"&amp;btnG=&amp;hl=en&amp;as_sdt=0,5</t>
  </si>
  <si>
    <t>citation:doc-2482-01</t>
  </si>
  <si>
    <t>https://scholar.google.co.uk/scholar?q="Efficient Identifiability of Additive Link Metrics via Network Tomography"&amp;btnG=&amp;hl=en&amp;as_sdt=0,5</t>
  </si>
  <si>
    <t>citation:doc-2483-01</t>
  </si>
  <si>
    <t>https://scholar.google.co.uk/scholar?q="Identifiability of Link Metrics Based on End-to-end Path Measurements"&amp;btnG=&amp;hl=en&amp;as_sdt=0,5</t>
  </si>
  <si>
    <t>citation:doc-2484-01</t>
  </si>
  <si>
    <t>https://scholar.google.co.uk/scholar?q="Monitor Placement for Maximal Identifiability in Network Tomography"&amp;btnG=&amp;hl=en&amp;as_sdt=0,5</t>
  </si>
  <si>
    <t>citation:doc-2486-01</t>
  </si>
  <si>
    <t>https://scholar.google.co.uk/scholar?q="Cross-Layer Path Management in Multi-path Transport Protocol for Mobile Devices"&amp;btnG=&amp;hl=en&amp;as_sdt=0,5</t>
  </si>
  <si>
    <t>citation:doc-2488-01</t>
  </si>
  <si>
    <t>https://scholar.google.co.uk/scholar?q=%22TRIBE%3A+Trust+Revision+for+Information+Based+on+Evidence%22&amp;btnG=&amp;hl=en&amp;as_sdt=0%2C5</t>
  </si>
  <si>
    <t>citation:doc-2490-01</t>
  </si>
  <si>
    <t>https://scholar.google.co.uk/scholar?q="Using ACT-R to Model Collective Sensemaking in Military Coalition Environments"&amp;btnG=&amp;hl=en&amp;as_sdt=0,5</t>
  </si>
  <si>
    <t>citation:doc-2491-01</t>
  </si>
  <si>
    <t>https://scholar.google.co.uk/scholar?q="Cross-Path Inference Attacks on Multipath TCP"&amp;btnG=&amp;hl=en&amp;as_sdt=0,5</t>
  </si>
  <si>
    <t>citation:doc-2492-01</t>
  </si>
  <si>
    <t>https://scholar.google.co.uk/scholar?q="Revisiting Mix-Zones for Location Information Flow Control"&amp;btnG=&amp;hl=en&amp;as_sdt=0,5</t>
  </si>
  <si>
    <t>citation:doc-2493-01</t>
  </si>
  <si>
    <t>citation:doc-2494-01</t>
  </si>
  <si>
    <t>https://scholar.google.co.uk/scholar?q="Policy Enabled Real-time Information Flow Control Across Multiple Administrative Domains"&amp;btnG=&amp;hl=en&amp;as_sdt=0,5</t>
  </si>
  <si>
    <t>citation:doc-2495-01</t>
  </si>
  <si>
    <t>https://scholar.google.co.uk/scholar?q="Survey on argumentation schemes and linchpin analysis"&amp;btnG=&amp;hl=en&amp;as_sdt=0,5</t>
  </si>
  <si>
    <t>https://scholar.google.co.uk/scholar?q="Inference Management, Trust and Obfuscation Principles for Quality of Information in Emerging Pervasive Environments"&amp;btnG=&amp;hl=en&amp;as_sdt=0,5</t>
  </si>
  <si>
    <t>citation:doc-2498-01</t>
  </si>
  <si>
    <t>https://scholar.google.co.uk/scholar?q="Using the English Resource Grammar to extend fact extraction capabilities"&amp;btnG=&amp;hl=en&amp;as_sdt=0,5</t>
  </si>
  <si>
    <t>citation:doc-2499-01</t>
  </si>
  <si>
    <t>https://scholar.google.co.uk/scholar?q="Exploring the use of Controlled English for communication with ACT-R agents"&amp;btnG=&amp;hl=en&amp;as_sdt=0,5</t>
  </si>
  <si>
    <t>citation:doc-2500-01</t>
  </si>
  <si>
    <t>https://scholar.google.co.uk/scholar?q="Demonstrating enhanced fact extraction capabilities using Controlled English"&amp;btnG=&amp;hl=en&amp;as_sdt=0,5</t>
  </si>
  <si>
    <t>citation:doc-2501-01</t>
  </si>
  <si>
    <t>https://scholar.google.co.uk/scholar?q="Peer-to-Peer Ontological Reasoning in Military Coalition Data Networks"&amp;btnG=&amp;hl=en&amp;as_sdt=0,5</t>
  </si>
  <si>
    <t>https://scholar.google.co.uk/scholar?q="Authenticated Data Structures, Generically"&amp;btnG=&amp;hl=en&amp;as_sdt=0,5</t>
  </si>
  <si>
    <t>citation:doc-2503-01</t>
  </si>
  <si>
    <t>https://scholar.google.co.uk/scholar?q="Leveraging Controlled English at the Network Edge for Policy-Based Management of ISR Services"&amp;btnG=&amp;hl=en&amp;as_sdt=0,5</t>
  </si>
  <si>
    <t>citation:doc-2504-01</t>
  </si>
  <si>
    <t>https://scholar.google.co.uk/scholar?q="Extending the NS-CTA RTD2D Platform to the Wireless Sensor Network Edge"&amp;btnG=&amp;hl=en&amp;as_sdt=0,5</t>
  </si>
  <si>
    <t>citation:doc-2505-01</t>
  </si>
  <si>
    <t>https://scholar.google.co.uk/scholar?q="CE-Based Policies Conflict Analysis for Sensor Services Management in Information Fabric"&amp;btnG=&amp;hl=en&amp;as_sdt=0,5</t>
  </si>
  <si>
    <t>citation:doc-2506-01</t>
  </si>
  <si>
    <t>https://scholar.google.co.uk/scholar?q="Controlled English for Effective Communication during Coalition Operations"&amp;btnG=&amp;hl=en&amp;as_sdt=0,5</t>
  </si>
  <si>
    <t>citation:doc-2508-01</t>
  </si>
  <si>
    <t>https://scholar.google.co.uk/scholar?q="Sources of Uncertainty in Facts Extracted from Natural Language"&amp;btnG=&amp;hl=en&amp;as_sdt=0,5</t>
  </si>
  <si>
    <t>citation:doc-2509-01</t>
  </si>
  <si>
    <t>https://scholar.google.co.uk/scholar?q="Report on the use of the English Resource Grammar to extend fact extraction capabilities"&amp;btnG=&amp;hl=en&amp;as_sdt=0,5</t>
  </si>
  <si>
    <t>citation:doc-2512-01</t>
  </si>
  <si>
    <t>https://scholar.google.co.uk/scholar?q="Motivating Scenario"&amp;btnG=&amp;hl=en&amp;as_sdt=0,5</t>
  </si>
  <si>
    <t>citation:doc-2513-01</t>
  </si>
  <si>
    <t>https://scholar.google.co.uk/scholar?q="Decentralized Policy Confidentiality Preserving Query Planning in Coalition Networks"&amp;btnG=&amp;hl=en&amp;as_sdt=0,5</t>
  </si>
  <si>
    <t>citation:doc-2514-01</t>
  </si>
  <si>
    <t>citation:doc-2515-01</t>
  </si>
  <si>
    <t>https://scholar.google.co.uk/scholar?q="Efficient Multicast in Hybrid Wireless Networks"&amp;btnG=&amp;hl=en&amp;as_sdt=0,5</t>
  </si>
  <si>
    <t>citation:doc-2517-01</t>
  </si>
  <si>
    <t>https://scholar.google.co.uk/scholar?q="Enhancing Specification and Analysis of Declarative Distributed Computing and Comparison with Existing Approaches"&amp;btnG=&amp;hl=en&amp;as_sdt=0,5</t>
  </si>
  <si>
    <t>citation:doc-2518-01</t>
  </si>
  <si>
    <t>https://scholar.google.co.uk/scholar?q="A simulation environment for distributed applications"&amp;btnG=&amp;hl=en&amp;as_sdt=0,5</t>
  </si>
  <si>
    <t>citation:doc-2520-01</t>
  </si>
  <si>
    <t>citation:doc-2522-01</t>
  </si>
  <si>
    <t>https://scholar.google.co.uk/scholar?q="Security-aware Application Placement in a Mobile Micro-cloud"&amp;btnG=&amp;hl=en&amp;as_sdt=0,5</t>
  </si>
  <si>
    <t>citation:doc-2523-01</t>
  </si>
  <si>
    <t>https://scholar.google.co.uk/scholar?q="Mobile Micro-Cloud: Application Classification, Mapping, and Deployment"&amp;btnG=&amp;hl=en&amp;as_sdt=0,5</t>
  </si>
  <si>
    <t>citation:doc-2524-01</t>
  </si>
  <si>
    <t>https://scholar.google.co.uk/scholar?q="Mobile Micro-Cloud: Demo"&amp;btnG=&amp;hl=en&amp;as_sdt=0,5</t>
  </si>
  <si>
    <t>citation:doc-2526-01</t>
  </si>
  <si>
    <t>https://scholar.google.co.uk/scholar?q="Combating Insider Attacks in IEEE 802.11 Wireless Networks with Broadcast Encryption."&amp;btnG=&amp;hl=en&amp;as_sdt=0,5</t>
  </si>
  <si>
    <t>citation:doc-2535-01</t>
  </si>
  <si>
    <t>https://scholar.google.co.uk/scholar?q="IntegrityMR: Integrity Assurance Framework for Big Data Analytics and Management Applications"&amp;btnG=&amp;hl=en&amp;as_sdt=0,5</t>
  </si>
  <si>
    <t>citation:doc-2543-01</t>
  </si>
  <si>
    <t>https://scholar.google.co.uk/scholar?q="Adaptive Data Stream Processing for Hybrid Coalition Networks: Challenges and Initial Solutions"&amp;btnG=&amp;hl=en&amp;as_sdt=0,5</t>
  </si>
  <si>
    <t>citation:doc-2544-01</t>
  </si>
  <si>
    <t>https://scholar.google.co.uk/scholar?q="Syncoin3001 Demonstration of CE fact extraction Fall Meeting 2013 (contains 23 documents)"&amp;btnG=&amp;hl=en&amp;as_sdt=0,5</t>
  </si>
  <si>
    <t>citation:doc-2547-01</t>
  </si>
  <si>
    <t>https://scholar.google.co.uk/scholar?q="Developing an ACT-R Model of Collective Sensemaking. I. Research Context, Motivating Factors and Research Focus Areas"&amp;btnG=&amp;hl=en&amp;as_sdt=0,5</t>
  </si>
  <si>
    <t>https://scholar.google.co.uk/scholar?q="Subjective Logic Operators in Trust Assessment: an Empirical Study"&amp;btnG=&amp;hl=en&amp;as_sdt=0,5</t>
  </si>
  <si>
    <t>https://scholar.google.co.uk/scholar?q="Reasoning about the Impacts of Information Sharing"&amp;btnG=&amp;hl=en&amp;as_sdt=0,5</t>
  </si>
  <si>
    <t>citation:doc-2562-01</t>
  </si>
  <si>
    <t>citation:doc-2563-01</t>
  </si>
  <si>
    <t>https://scholar.google.co.uk/scholar?q="Using Cognitive Architectures to Study Issues in Team Cognition in a Complex Task Environment"&amp;btnG=&amp;hl=en&amp;as_sdt=0,5</t>
  </si>
  <si>
    <t>citation:doc-2564-01</t>
  </si>
  <si>
    <t>https://scholar.google.co.uk/scholar?q="Is 'male' a mass noun:  searching for mal-rules and justifications"&amp;btnG=&amp;hl=en&amp;as_sdt=0,5</t>
  </si>
  <si>
    <t>citation:doc-2565b-01</t>
  </si>
  <si>
    <t>https://scholar.google.co.uk/scholar?q="WYSTERIA: A Programming Language for Generic, Mixed-Model Multiparty Computations"&amp;btnG=&amp;hl=en&amp;as_sdt=0,5</t>
  </si>
  <si>
    <t>citation:doc-2565d-01</t>
  </si>
  <si>
    <t>https://scholar.google.co.uk/scholar?q="WYSTERIA: A Programming Language for Generic, Mixed-Mode Multiparty Computations"&amp;btnG=&amp;hl=en&amp;as_sdt=0,5</t>
  </si>
  <si>
    <t>citation:doc-2566-01</t>
  </si>
  <si>
    <t>https://scholar.google.co.uk/scholar?q="Quantifying Information Flow for Time Varying Data"&amp;btnG=&amp;hl=en&amp;as_sdt=0,5</t>
  </si>
  <si>
    <t>citation:doc-2567-01</t>
  </si>
  <si>
    <t>citation:doc-2568-01</t>
  </si>
  <si>
    <t>https://scholar.google.co.uk/scholar?q="Moving from linguistic semantics to domain semantics in SYNCOIN3000"&amp;btnG=&amp;hl=en&amp;as_sdt=0,5</t>
  </si>
  <si>
    <t>citation:doc-2569a-01</t>
  </si>
  <si>
    <t>https://scholar.google.co.uk/scholar?q="Conversational Sensing"&amp;btnG=&amp;hl=en&amp;as_sdt=0,5</t>
  </si>
  <si>
    <t>citation:doc-2570-01</t>
  </si>
  <si>
    <t>https://scholar.google.co.uk/scholar?q="Agile Sensor Tasking for COIST using Natural Language Knowledge Representation and Reasoning"&amp;btnG=&amp;hl=en&amp;as_sdt=0,5</t>
  </si>
  <si>
    <t>citation:doc-2571-01</t>
  </si>
  <si>
    <t>https://scholar.google.co.uk/scholar?q="Soldier Decision-Making for Allocation of Intelligence, Surveillance, and Reconnaissance Assets"&amp;btnG=&amp;hl=en&amp;as_sdt=0,5</t>
  </si>
  <si>
    <t>citation:doc-2572-01</t>
  </si>
  <si>
    <t>https://scholar.google.co.uk/scholar?q="Multi-Client Verifiable Computation with Stronger Security Guarantees"&amp;btnG=&amp;hl=en&amp;as_sdt=0,5</t>
  </si>
  <si>
    <t>citation:doc-2573-01</t>
  </si>
  <si>
    <t>https://scholar.google.co.uk/scholar?q="Installing the ERG system on Linux"&amp;btnG=&amp;hl=en&amp;as_sdt=0,5</t>
  </si>
  <si>
    <t>citation:doc-2574-01</t>
  </si>
  <si>
    <t>https://scholar.google.co.uk/scholar?q="Trust Estimation and Fusion of Uncertain Information by Exploiting Consistency"&amp;btnG=&amp;hl=en&amp;as_sdt=0,5</t>
  </si>
  <si>
    <t>citation:doc-2575-01</t>
  </si>
  <si>
    <t>https://scholar.google.co.uk/scholar?q="Localizing Network Problems in Tactical Hybrid Wireless Networks"&amp;btnG=&amp;hl=en&amp;as_sdt=0,5</t>
  </si>
  <si>
    <t>citation:doc-2576-01</t>
  </si>
  <si>
    <t>https://scholar.google.co.uk/scholar?q="Sharing Policies for Multi-Partner Asset Management in Smart Environments"&amp;btnG=&amp;hl=en&amp;as_sdt=0,5</t>
  </si>
  <si>
    <t>citation:doc-2580-01</t>
  </si>
  <si>
    <t>https://scholar.google.co.uk/scholar?q="Online Application Placement with Provable Performance Guarantees in Cloud Environments"&amp;btnG=&amp;hl=en&amp;as_sdt=0,5</t>
  </si>
  <si>
    <t>citation:doc-2583-01</t>
  </si>
  <si>
    <t>citation:doc-2584-01</t>
  </si>
  <si>
    <t>https://scholar.google.co.uk/scholar?q="Secure Outsourcing of Big Key-Value Storage with Freshness Authenticity"&amp;btnG=&amp;hl=en&amp;as_sdt=0,5</t>
  </si>
  <si>
    <t>citation:doc-2585-01</t>
  </si>
  <si>
    <t>https://scholar.google.co.uk/scholar?q="IncBm-Tree: Outsourcing Big Stream with Authenticated Freshness"&amp;btnG=&amp;hl=en&amp;as_sdt=0,5</t>
  </si>
  <si>
    <t>citation:doc-2586-01</t>
  </si>
  <si>
    <t>https://scholar.google.co.uk/scholar?q="Multitiered Inference Management Architecture for Participatory Sensing"&amp;btnG=&amp;hl=en&amp;as_sdt=0,5</t>
  </si>
  <si>
    <t>citation:doc-2587-01</t>
  </si>
  <si>
    <t>https://scholar.google.co.uk/scholar?q="ipShield: A Framework For Enforcing Context-Aware Privacy"&amp;btnG=&amp;hl=en&amp;as_sdt=0,5</t>
  </si>
  <si>
    <t>citation:doc-2593-01</t>
  </si>
  <si>
    <t>https://scholar.google.co.uk/scholar?q="Efficient Identification of Additive Link Metrics via Network Tomography"&amp;btnG=&amp;hl=en&amp;as_sdt=0,5</t>
  </si>
  <si>
    <t>citation:doc-2595-01</t>
  </si>
  <si>
    <t>https://scholar.google.co.uk/scholar?q="Measurement Design Framework for Network Tomography Using Fisher Information"&amp;btnG=&amp;hl=en&amp;as_sdt=0,5</t>
  </si>
  <si>
    <t>citation:doc-2603-01</t>
  </si>
  <si>
    <t>https://scholar.google.co.uk/scholar?q="On Interpreting the ELICIT sentences"&amp;btnG=&amp;hl=en&amp;as_sdt=0,5</t>
  </si>
  <si>
    <t>citation:doc-2604-01</t>
  </si>
  <si>
    <t>https://scholar.google.co.uk/scholar?q="Conceptualisation of ELICIT sentences in CE"&amp;btnG=&amp;hl=en&amp;as_sdt=0,5</t>
  </si>
  <si>
    <t>citation:doc-2605-01</t>
  </si>
  <si>
    <t>https://scholar.google.co.uk/scholar?q="Running ELICIT sentences through the ERG system"&amp;btnG=&amp;hl=en&amp;as_sdt=0,5</t>
  </si>
  <si>
    <t>citation:doc-2607-01</t>
  </si>
  <si>
    <t>citation:doc-2610-01</t>
  </si>
  <si>
    <t>https://scholar.google.co.uk/scholar?q="Simple Uncertainty Example"&amp;btnG=&amp;hl=en&amp;as_sdt=0,5</t>
  </si>
  <si>
    <t>citation:doc-2611-01</t>
  </si>
  <si>
    <t>https://scholar.google.co.uk/scholar?q="'Tank' revisited - Handling of Ambiguous Sentences in CE"&amp;btnG=&amp;hl=en&amp;as_sdt=0,5</t>
  </si>
  <si>
    <t>citation:doc-2612-01</t>
  </si>
  <si>
    <t>https://scholar.google.co.uk/scholar?q="CE-based mechanisms for handling ambiguity in Natural Language"&amp;btnG=&amp;hl=en&amp;as_sdt=0,5</t>
  </si>
  <si>
    <t>citation:doc-2613-01</t>
  </si>
  <si>
    <t>https://scholar.google.co.uk/scholar?q="Multi-Input Functional Encryption"&amp;btnG=&amp;hl=en&amp;as_sdt=0,5</t>
  </si>
  <si>
    <t>citation:doc-2618-01</t>
  </si>
  <si>
    <t>https://scholar.google.co.uk/scholar?q="Cognitive Social Simulation and Collective Sensemaking: An Approach Using the ACT-R Cognitive Architecture"&amp;btnG=&amp;hl=en&amp;as_sdt=0,5</t>
  </si>
  <si>
    <t>citation:doc-2619-01</t>
  </si>
  <si>
    <t>https://scholar.google.co.uk/scholar?q="Towards a Cognitively Realistic Computational Model of Team Problem Solving Using ACT-R Agents and the ELICIT Experimentation Framework"&amp;btnG=&amp;hl=en&amp;as_sdt=0,5</t>
  </si>
  <si>
    <t>citation:doc-2624-01</t>
  </si>
  <si>
    <t>https://scholar.google.co.uk/scholar?q="Location Privacy - Where to Enforce?"&amp;btnG=&amp;hl=en&amp;as_sdt=0,5</t>
  </si>
  <si>
    <t>https://scholar.google.co.uk/scholar?q="Cross-cloud MapReduce: A Result Integrity Check Framework on Hybrid Clouds"&amp;btnG=&amp;hl=en&amp;as_sdt=0,5</t>
  </si>
  <si>
    <t>citation:doc-2626-01</t>
  </si>
  <si>
    <t>https://scholar.google.co.uk/scholar?q="De-anonymizing Mobility Traces and Social Data using Social Auxiliary Information"&amp;btnG=&amp;hl=en&amp;as_sdt=0,5</t>
  </si>
  <si>
    <t>citation:doc-2627-01</t>
  </si>
  <si>
    <t>https://scholar.google.co.uk/scholar?q="Optimal Contracts for Outsourced Computation"&amp;btnG=&amp;hl=en&amp;as_sdt=0,5</t>
  </si>
  <si>
    <t>citation:doc-2629-01</t>
  </si>
  <si>
    <t>https://scholar.google.co.uk/scholar?q="Making informed decisions with provenance and argumentation schemes"&amp;btnG=&amp;hl=en&amp;as_sdt=0,5</t>
  </si>
  <si>
    <t>https://scholar.google.co.uk/scholar?q="Human-Machine Conversations to Support Multi-Agency Missions"&amp;btnG=&amp;hl=en&amp;as_sdt=0,5</t>
  </si>
  <si>
    <t>citation:doc-2631-01</t>
  </si>
  <si>
    <t>https://scholar.google.co.uk/scholar?q="Generalizing Homomorphic MACs for Arithmetic Circuits"&amp;btnG=&amp;hl=en&amp;as_sdt=0,5</t>
  </si>
  <si>
    <t>citation:doc-2633-01</t>
  </si>
  <si>
    <t>https://scholar.google.co.uk/scholar?q="Architecture Options for Realization of Inference Management in Information Fabric"&amp;btnG=&amp;hl=en&amp;as_sdt=0,5</t>
  </si>
  <si>
    <t>citation:doc-2635-01</t>
  </si>
  <si>
    <t>https://scholar.google.co.uk/scholar?q="Argumentation Random Field"&amp;btnG=&amp;hl=en&amp;as_sdt=0,5</t>
  </si>
  <si>
    <t>citation:doc-2636-01</t>
  </si>
  <si>
    <t>https://scholar.google.co.uk/scholar?q=%22Argumentation+Random+Field+for+Linchpin+Analysis%22&amp;btnG=&amp;hl=en&amp;as_sdt=0%2C5</t>
  </si>
  <si>
    <t>citation:doc-2637-01</t>
  </si>
  <si>
    <t>https://scholar.google.co.uk/scholar?q="Truth Discovery in Crowdsourced Detection of Spatial Events"&amp;btnG=&amp;hl=en&amp;as_sdt=0,5</t>
  </si>
  <si>
    <t>citation:doc-2638a-01</t>
  </si>
  <si>
    <t>https://scholar.google.co.uk/scholar?q="Empirical Study: Is CDN Working Well in Cellular Networks?"&amp;btnG=&amp;hl=en&amp;as_sdt=0,5</t>
  </si>
  <si>
    <t>https://scholar.google.co.uk/scholar?q="Adaptive Algorithms for Diagnosing Large-Scale Failures in Computer Networks"&amp;btnG=&amp;hl=en&amp;as_sdt=0,5</t>
  </si>
  <si>
    <t>citation:doc-2644-01</t>
  </si>
  <si>
    <t>https://scholar.google.co.uk/scholar?q="Thoughts on Uncertainty in Natural Language"&amp;btnG=&amp;hl=en&amp;as_sdt=0,5</t>
  </si>
  <si>
    <t>citation:doc-2645a-01</t>
  </si>
  <si>
    <t>https://scholar.google.co.uk/scholar?q="Internet Media Upload Caching for Poorly-Connected Regions"&amp;btnG=&amp;hl=en&amp;as_sdt=0,5</t>
  </si>
  <si>
    <t>citation:doc-2660-01</t>
  </si>
  <si>
    <t>https://scholar.google.co.uk/scholar?q="Asset Risk Scoring in Enterprise Network with Mutually Reinforced Reputation Propagation"&amp;btnG=&amp;hl=en&amp;as_sdt=0,5</t>
  </si>
  <si>
    <t>citation:doc-2669a-01</t>
  </si>
  <si>
    <t>https://scholar.google.co.uk/scholar?q="Mobility-Induced Service Migration in Mobile Micro-Clouds"&amp;btnG=&amp;hl=en&amp;as_sdt=0,5</t>
  </si>
  <si>
    <t>citation:doc-2670-01</t>
  </si>
  <si>
    <t>https://scholar.google.co.uk/scholar?q="Obfuscation of Semantic Data: Restricting the Spread of Sensitive Information"&amp;btnG=&amp;hl=en&amp;as_sdt=0,5</t>
  </si>
  <si>
    <t>citation:doc-2675-01</t>
  </si>
  <si>
    <t>https://scholar.google.co.uk/scholar?q="Natural Language Fact Extraction and Domain Reasoning using Controlled English"&amp;btnG=&amp;hl=en&amp;as_sdt=0,5</t>
  </si>
  <si>
    <t>citation:doc-2676-01</t>
  </si>
  <si>
    <t>https://scholar.google.co.uk/scholar?q="ITA Controlled English and its applications"&amp;btnG=&amp;hl=en&amp;as_sdt=0,5</t>
  </si>
  <si>
    <t>citation:doc-2677-01</t>
  </si>
  <si>
    <t>https://scholar.google.co.uk/scholar?q="Representing Uncertainty in CE"&amp;btnG=&amp;hl=en&amp;as_sdt=0,5</t>
  </si>
  <si>
    <t>citation:doc-2685-01</t>
  </si>
  <si>
    <t>https://scholar.google.co.uk/scholar?q="An Offline Optimal SPARQL Query Planning Approach to Evaluate Online Heuristic Planners"&amp;btnG=&amp;hl=en&amp;as_sdt=0,5</t>
  </si>
  <si>
    <t>citation:doc-2687-01</t>
  </si>
  <si>
    <t>https://scholar.google.co.uk/scholar?q="CISpaces, towards a system for online collaborative argument construction and debate"&amp;btnG=&amp;hl=en&amp;as_sdt=0,5</t>
  </si>
  <si>
    <t>citation:doc-2688-01</t>
  </si>
  <si>
    <t>https://scholar.google.co.uk/scholar?q="Automating Efficient RAM-Model Secure Computation"&amp;btnG=&amp;hl=en&amp;as_sdt=0,5</t>
  </si>
  <si>
    <t>citation:doc-2689-01</t>
  </si>
  <si>
    <t>https://scholar.google.co.uk/scholar?q="Data De-anonymization: From Mobility Traces to Online Social Networks"&amp;btnG=&amp;hl=en&amp;as_sdt=0,5</t>
  </si>
  <si>
    <t>citation:doc-2690-01</t>
  </si>
  <si>
    <t>https://scholar.google.co.uk/scholar?q="Extending CE to include adjunct expressions"&amp;btnG=&amp;hl=en&amp;as_sdt=0,5</t>
  </si>
  <si>
    <t>citation:doc-2691-01</t>
  </si>
  <si>
    <t>citation:doc-2694-01</t>
  </si>
  <si>
    <t>https://scholar.google.co.uk/scholar?q="ALITHEIA: Towards Practical Verifiable Graph Processing"&amp;btnG=&amp;hl=en&amp;as_sdt=0,5</t>
  </si>
  <si>
    <t>citation:doc-2695-01</t>
  </si>
  <si>
    <t>https://scholar.google.co.uk/scholar?q="ACT-R CE Integration Module Design Specification"&amp;btnG=&amp;hl=en&amp;as_sdt=0,5</t>
  </si>
  <si>
    <t>citation:doc-2697-01</t>
  </si>
  <si>
    <t>citation:doc-2701-01</t>
  </si>
  <si>
    <t>https://scholar.google.co.uk/scholar?q="Preliminary Report on Privacy in Trust/Reputation Mechanism"&amp;btnG=&amp;hl=en&amp;as_sdt=0,5</t>
  </si>
  <si>
    <t>citation:doc-2702-01</t>
  </si>
  <si>
    <t>https://scholar.google.co.uk/scholar?q="Formal Arguments, Preferences, and Natural Language Interfaces to Humans: an Empirical Evaluation"&amp;btnG=&amp;hl=en&amp;as_sdt=0,5</t>
  </si>
  <si>
    <t>citation:doc-2703-01</t>
  </si>
  <si>
    <t>https://scholar.google.co.uk/scholar?q="Argumentation-based collaborative intelligence analysis in CISpaces"&amp;btnG=&amp;hl=en&amp;as_sdt=0,5</t>
  </si>
  <si>
    <t>citation:doc-2704-01</t>
  </si>
  <si>
    <t>citation:doc-2705-01</t>
  </si>
  <si>
    <t>https://scholar.google.co.uk/scholar?q="Information Fabric and the Experimentation Framework"&amp;btnG=&amp;hl=en&amp;as_sdt=0,5</t>
  </si>
  <si>
    <t>citation:doc-2706-01</t>
  </si>
  <si>
    <t>https://scholar.google.co.uk/scholar?q="Robust Network Tomography in the Presence of Failures"&amp;btnG=&amp;hl=en&amp;as_sdt=0,5</t>
  </si>
  <si>
    <t>citation:doc-2715-01</t>
  </si>
  <si>
    <t>https://scholar.google.co.uk/scholar?q="Virtual information exchange: enabling secure, dynamic, and policy-controlled interoperation"&amp;btnG=&amp;hl=en&amp;as_sdt=0,5</t>
  </si>
  <si>
    <t>citation:doc-2716-01</t>
  </si>
  <si>
    <t>https://scholar.google.co.uk/scholar?q="On Bufferbloat and Delay Analysis of MultiPath TCP in Wireless Networks"&amp;btnG=&amp;hl=en&amp;as_sdt=0,5</t>
  </si>
  <si>
    <t>https://scholar.google.co.uk/scholar?q="Multi-source Multipath HTTP (mHTTP): A Proposal"&amp;btnG=&amp;hl=en&amp;as_sdt=0,5</t>
  </si>
  <si>
    <t>citation:doc-2719-01</t>
  </si>
  <si>
    <t>https://scholar.google.co.uk/scholar?q="How Green is Multipath TCP for Mobile Devices?"&amp;btnG=&amp;hl=en&amp;as_sdt=0,5</t>
  </si>
  <si>
    <t>citation:doc-2720-01</t>
  </si>
  <si>
    <t>https://scholar.google.co.uk/scholar?q="An operational framework to reason about policy behavior in trust management systems"&amp;btnG=&amp;hl=en&amp;as_sdt=0,5</t>
  </si>
  <si>
    <t>citation:doc-2721-01</t>
  </si>
  <si>
    <t>https://scholar.google.co.uk/scholar?q="Dynamic Policy Enforcement using Restriction Set Theoretic Expressions (RSTE)"&amp;btnG=&amp;hl=en&amp;as_sdt=0,5</t>
  </si>
  <si>
    <t>citation:doc-2722-01</t>
  </si>
  <si>
    <t>https://scholar.google.co.uk/scholar?q="Trust Management in Delay Tolerant Networks Utilizing Erasure Coding"&amp;btnG=&amp;hl=en&amp;as_sdt=0,5</t>
  </si>
  <si>
    <t>https://scholar.google.co.uk/scholar?q="Towards Relevancy Aware Service Oriented Systems in WSNs"&amp;btnG=&amp;hl=en&amp;as_sdt=0,5</t>
  </si>
  <si>
    <t>citation:doc-2724-01</t>
  </si>
  <si>
    <t>https://scholar.google.co.uk/scholar?q="Optimal Caching and Routing in Hybrid Networks"&amp;btnG=&amp;hl=en&amp;as_sdt=0,5</t>
  </si>
  <si>
    <t>citation:doc-2726-01</t>
  </si>
  <si>
    <t>https://scholar.google.co.uk/scholar?q="Node Failure Localization via Network Tomography"&amp;btnG=&amp;hl=en&amp;as_sdt=0,5</t>
  </si>
  <si>
    <t>citation:doc-2730-01</t>
  </si>
  <si>
    <t>https://scholar.google.co.uk/scholar?q="Efficiently Verifiable Computation on Encrypted Data"&amp;btnG=&amp;hl=en&amp;as_sdt=0,5</t>
  </si>
  <si>
    <t>citation:doc-2743-01</t>
  </si>
  <si>
    <t>https://scholar.google.co.uk/scholar?q="Quantifying Herding Effects in Crowd Wisdom"&amp;btnG=&amp;hl=en&amp;as_sdt=0,5</t>
  </si>
  <si>
    <t>citation:doc-2744-01</t>
  </si>
  <si>
    <t>https://scholar.google.co.uk/scholar?q="Structural Data De-anonymization: Quantification, Practice, and Implications"&amp;btnG=&amp;hl=en&amp;as_sdt=0,5</t>
  </si>
  <si>
    <t>citation:doc-2745-01</t>
  </si>
  <si>
    <t>https://scholar.google.co.uk/scholar?q="Cognitive Architectures and Virtual Worlds: Integrating ACT-R with the XNA Framework"&amp;btnG=&amp;hl=en&amp;as_sdt=0,5</t>
  </si>
  <si>
    <t>citation:doc-2746-01</t>
  </si>
  <si>
    <t>https://scholar.google.co.uk/scholar?q="Socially-Distributed Cognition and Cognitive Architectures: Towards an ACT-R-Based Cognitive Social Simulation Capability"&amp;btnG=&amp;hl=en&amp;as_sdt=0,5</t>
  </si>
  <si>
    <t>citation:doc-2748-01</t>
  </si>
  <si>
    <t>https://scholar.google.co.uk/scholar?q="Challenges solved and unsolved in Fact Extraction from Natural Language"&amp;btnG=&amp;hl=en&amp;as_sdt=0,5</t>
  </si>
  <si>
    <t>citation:doc-2752-01</t>
  </si>
  <si>
    <t>https://scholar.google.co.uk/scholar?q="Solving the Analysis Game with Controlled English"&amp;btnG=&amp;hl=en&amp;as_sdt=0,5</t>
  </si>
  <si>
    <t>citation:doc-2753-01</t>
  </si>
  <si>
    <t>https://scholar.google.co.uk/scholar?q="Representing Natural Language Expressions of Uncertainty in CE"&amp;btnG=&amp;hl=en&amp;as_sdt=0,5</t>
  </si>
  <si>
    <t>citation:doc-2754-01</t>
  </si>
  <si>
    <t>https://scholar.google.co.uk/scholar?q="Investigating the use of distributional semantics to expand domain vocabulary"&amp;btnG=&amp;hl=en&amp;as_sdt=0,5</t>
  </si>
  <si>
    <t>citation:doc-2756-01</t>
  </si>
  <si>
    <t>https://scholar.google.co.uk/scholar?q="Reasoning under Uncertainty in Controlled English: an Argumentation-based Perspective"&amp;btnG=&amp;hl=en&amp;as_sdt=0,5</t>
  </si>
  <si>
    <t>citation:doc-2757-01</t>
  </si>
  <si>
    <t>citation:doc-2758-01</t>
  </si>
  <si>
    <t>https://scholar.google.co.uk/scholar?q="Optimal Monitor Placement for Localizing Node Failures via Network Tomography"&amp;btnG=&amp;hl=en&amp;as_sdt=0,5</t>
  </si>
  <si>
    <t>citation:doc-2759-01</t>
  </si>
  <si>
    <t>https://scholar.google.co.uk/scholar?q="The Project 4 integrated demonstration"&amp;btnG=&amp;hl=en&amp;as_sdt=0,5</t>
  </si>
  <si>
    <t>citation:doc-2760-01</t>
  </si>
  <si>
    <t>https://scholar.google.co.uk/scholar?q="Beyond the graph: Telling the story with PROV and Controlled English"&amp;btnG=&amp;hl=en&amp;as_sdt=0,5</t>
  </si>
  <si>
    <t>citation:doc-2762-01</t>
  </si>
  <si>
    <t>https://scholar.google.co.uk/scholar?q="Applying Human-Information Interaction Techniques to Assess Community Impacts of the 2014 NATO Summit"&amp;btnG=&amp;hl=en&amp;as_sdt=0,5</t>
  </si>
  <si>
    <t>citation:doc-2763-01</t>
  </si>
  <si>
    <t>https://scholar.google.co.uk/scholar?q="Modeling Uncertainty in Controlled Natural Language for Crowdsourcing"&amp;btnG=&amp;hl=en&amp;as_sdt=0,5</t>
  </si>
  <si>
    <t>https://scholar.google.co.uk/scholar?q="Reasoning with Streamed Uncertain Information from Unreliale Resources"&amp;btnG=&amp;hl=en&amp;as_sdt=0,5</t>
  </si>
  <si>
    <t>https://scholar.google.co.uk/scholar?q="Review paper on Preserving Privacy in Mobile Environments"&amp;btnG=&amp;hl=en&amp;as_sdt=0,5</t>
  </si>
  <si>
    <t>citation:doc-2766-01</t>
  </si>
  <si>
    <t>https://scholar.google.co.uk/scholar?q="Adversary Gain vs. Defender Loss in Quantified Information Flow"&amp;btnG=&amp;hl=en&amp;as_sdt=0,5</t>
  </si>
  <si>
    <t>citation:doc-2767-01</t>
  </si>
  <si>
    <t>https://scholar.google.co.uk/scholar?q="Ontology-Based Data Access over Subjective Ontologies"&amp;btnG=&amp;hl=en&amp;as_sdt=0,5</t>
  </si>
  <si>
    <t>citation:doc-2768-01</t>
  </si>
  <si>
    <t>https://scholar.google.co.uk/scholar?q="MSPlayer: Multi-Source and multi-Path LeverAged YoutubER"&amp;btnG=&amp;hl=en&amp;as_sdt=0,5</t>
  </si>
  <si>
    <t>citation:doc-2770-01</t>
  </si>
  <si>
    <t>https://scholar.google.co.uk/scholar?q="Managing Information Sharing in Coalitions through Credible Obfuscation"&amp;btnG=&amp;hl=en&amp;as_sdt=0,5</t>
  </si>
  <si>
    <t>citation:doc-2772-01</t>
  </si>
  <si>
    <t>https://scholar.google.co.uk/scholar?q="Optimal Monitor Selection using Measurement Correlation"&amp;btnG=&amp;hl=en&amp;as_sdt=0,5</t>
  </si>
  <si>
    <t>citation:doc-2773-01</t>
  </si>
  <si>
    <t>https://scholar.google.co.uk/scholar?q="Inferring Network Topologies in MANETs Applied to Service Deployment"&amp;btnG=&amp;hl=en&amp;as_sdt=0,5</t>
  </si>
  <si>
    <t>citation:doc-2774-01</t>
  </si>
  <si>
    <t>https://scholar.google.co.uk/scholar?q="On the Impacts of Information Sharing"&amp;btnG=&amp;hl=en&amp;as_sdt=0,5</t>
  </si>
  <si>
    <t>citation:doc-2775-01</t>
  </si>
  <si>
    <t>https://scholar.google.co.uk/scholar?q="Inference Management in the Experimentation Framework"&amp;btnG=&amp;hl=en&amp;as_sdt=0,5</t>
  </si>
  <si>
    <t>citation:doc-2776-01</t>
  </si>
  <si>
    <t>https://scholar.google.co.uk/scholar?q="Multitiered Inference Management for Context-Aware Information Masking"&amp;btnG=&amp;hl=en&amp;as_sdt=0,5</t>
  </si>
  <si>
    <t>citation:doc-2778-01</t>
  </si>
  <si>
    <t>https://scholar.google.co.uk/scholar?q="Initial Realization of Inference Management in Information Fabric"&amp;btnG=&amp;hl=en&amp;as_sdt=0,5</t>
  </si>
  <si>
    <t>citation:doc-2779-01</t>
  </si>
  <si>
    <t>https://scholar.google.co.uk/scholar?q="On Markov Argumentation Random Fields"&amp;btnG=&amp;hl=en&amp;as_sdt=0,5</t>
  </si>
  <si>
    <t>citation:doc-2780-01</t>
  </si>
  <si>
    <t>https://scholar.google.co.uk/scholar?q="Civil-Military Domain Modeling in Controlled English"&amp;btnG=&amp;hl=en&amp;as_sdt=0,5</t>
  </si>
  <si>
    <t>citation:doc-2781-01</t>
  </si>
  <si>
    <t>https://scholar.google.co.uk/scholar?q="Practical Applications of Controlled English in a Tactical Environment"&amp;btnG=&amp;hl=en&amp;as_sdt=0,5</t>
  </si>
  <si>
    <t>citation:doc-2782-01</t>
  </si>
  <si>
    <t>citation:doc-2784-01</t>
  </si>
  <si>
    <t>https://scholar.google.co.uk/scholar?q="Dynamic Service Placement in Hybrid Wireless Networks"&amp;btnG=&amp;hl=en&amp;as_sdt=0,5</t>
  </si>
  <si>
    <t>citation:doc-2785-01</t>
  </si>
  <si>
    <t>https://scholar.google.co.uk/scholar?q="Dynamic Multi-Layer Management of Service Based Systems in Hybrid Wireless Networks"&amp;btnG=&amp;hl=en&amp;as_sdt=0,5</t>
  </si>
  <si>
    <t>citation:doc-2787-01</t>
  </si>
  <si>
    <t>https://scholar.google.co.uk/scholar?q="Assessing the credibility of information in collaborative intelligence analysis"&amp;btnG=&amp;hl=en&amp;as_sdt=0,5</t>
  </si>
  <si>
    <t>citation:doc-2788-01</t>
  </si>
  <si>
    <t>https://scholar.google.co.uk/scholar?q="Source Selection and Fusion in Resource-Constrained Environments"&amp;btnG=&amp;hl=en&amp;as_sdt=0,5</t>
  </si>
  <si>
    <t>citation:doc-2791-01</t>
  </si>
  <si>
    <t>https://scholar.google.co.uk/scholar?q="Scalable Routing for Tag-Based Information-Centric Networking"&amp;btnG=&amp;hl=en&amp;as_sdt=0,5</t>
  </si>
  <si>
    <t>citation:doc-2792-01</t>
  </si>
  <si>
    <t>https://scholar.google.co.uk/scholar?q="An approach to argumentation-based reasoning under uncertainty"&amp;btnG=&amp;hl=en&amp;as_sdt=0,5</t>
  </si>
  <si>
    <t>citation:doc-2793a-01</t>
  </si>
  <si>
    <t>https://scholar.google.co.uk/scholar?q="Optimal multicast in dense multi-channel multi-radio wireless networks"&amp;btnG=&amp;hl=en&amp;as_sdt=0,5</t>
  </si>
  <si>
    <t>citation:doc-2794-01</t>
  </si>
  <si>
    <t>https://scholar.google.co.uk/scholar?q="Understanding the Information Flow Dynamics in Coalition Networks: A Game Theoretic Analysis"&amp;btnG=&amp;hl=en&amp;as_sdt=0,5</t>
  </si>
  <si>
    <t>citation:doc-2796-01</t>
  </si>
  <si>
    <t>https://scholar.google.co.uk/scholar?q="Accountability as a Service"&amp;btnG=&amp;hl=en&amp;as_sdt=0,5</t>
  </si>
  <si>
    <t>citation:doc-2798-01</t>
  </si>
  <si>
    <t>https://scholar.google.co.uk/scholar?q="Multi-layer Human-in-the-loop Service Management Utilizing Rule-based Policies and Set Theoretic Expressions"&amp;btnG=&amp;hl=en&amp;as_sdt=0,5</t>
  </si>
  <si>
    <t>citation:doc-2804-01</t>
  </si>
  <si>
    <t>https://scholar.google.co.uk/scholar?q="Assessing the Applicability of Commercial Cloud Distributed Processing Techniques to Mobile Micro-Cloud Deployments"&amp;btnG=&amp;hl=en&amp;as_sdt=0,5</t>
  </si>
  <si>
    <t>citation:doc-2810-01</t>
  </si>
  <si>
    <t>citation:doc-2811-01</t>
  </si>
  <si>
    <t>citation:doc-2812-01</t>
  </si>
  <si>
    <t>https://scholar.google.co.uk/scholar?q="On the Complexity of Optimal Routing and Content Caching in Heterogeneous Networks"&amp;btnG=&amp;hl=en&amp;as_sdt=0,5</t>
  </si>
  <si>
    <t>citation:doc-2815-01</t>
  </si>
  <si>
    <t>https://scholar.google.co.uk/scholar?q="Distributed Route Aggregation on the Global Network"&amp;btnG=&amp;hl=en&amp;as_sdt=0,5</t>
  </si>
  <si>
    <t>citation:doc-2829-01</t>
  </si>
  <si>
    <t>https://scholar.google.co.uk/scholar?q="Truth Discovery under Resource Constraints"&amp;btnG=&amp;hl=en&amp;as_sdt=0,5</t>
  </si>
  <si>
    <t>citation:doc-2830-01</t>
  </si>
  <si>
    <t>https://scholar.google.co.uk/scholar?q="Debiasing crowdsourced quantitative characteristics in local businesses and services"&amp;btnG=&amp;hl=en&amp;as_sdt=0,5</t>
  </si>
  <si>
    <t>citation:doc-2833-01</t>
  </si>
  <si>
    <t>https://scholar.google.co.uk/scholar?q="More complex semantics in ELICIT sentences"&amp;btnG=&amp;hl=en&amp;as_sdt=0,5</t>
  </si>
  <si>
    <t>citation:doc-2834-01</t>
  </si>
  <si>
    <t>https://scholar.google.co.uk/scholar?q="Solving the Three Ties Problem in Controlled English"&amp;btnG=&amp;hl=en&amp;as_sdt=0,5</t>
  </si>
  <si>
    <t>citation:doc-2835-01</t>
  </si>
  <si>
    <t>https://scholar.google.co.uk/scholar?q="AFM 2014 demonstration of fact extraction and NL processing"&amp;btnG=&amp;hl=en&amp;as_sdt=0,5</t>
  </si>
  <si>
    <t>citation:doc-2836-01</t>
  </si>
  <si>
    <t>https://scholar.google.co.uk/scholar?q="Rich Explanation when performing CE reasoning"&amp;btnG=&amp;hl=en&amp;as_sdt=0,5</t>
  </si>
  <si>
    <t>citation:doc-2837-01</t>
  </si>
  <si>
    <t>https://scholar.google.co.uk/scholar?q="Node Failure Localization in Communication Networks via Network Tomography"&amp;btnG=&amp;hl=en&amp;as_sdt=0,5</t>
  </si>
  <si>
    <t>citation:doc-2838-01</t>
  </si>
  <si>
    <t>https://scholar.google.co.uk/scholar?q="Experiment Design for Link Loss Tomography"&amp;btnG=&amp;hl=en&amp;as_sdt=0,5</t>
  </si>
  <si>
    <t>citation:doc-2839-01</t>
  </si>
  <si>
    <t>https://scholar.google.co.uk/scholar?q="Monitor Placement for Maximizing Network Identifiability via End-to-end Path Measurements"&amp;btnG=&amp;hl=en&amp;as_sdt=0,5</t>
  </si>
  <si>
    <t>citation:doc-2840-01</t>
  </si>
  <si>
    <t>citation:doc-2841-01</t>
  </si>
  <si>
    <t>https://scholar.google.co.uk/scholar?q="Dynamic Service Placement for Mobile Micro-Clouds with Predicted Future Costs"&amp;btnG=&amp;hl=en&amp;as_sdt=0,5</t>
  </si>
  <si>
    <t>citation:doc-2842-01</t>
  </si>
  <si>
    <t>https://scholar.google.co.uk/scholar?q="Authorization Information Leakage Control in Collaborative Distributed Query Processing"&amp;btnG=&amp;hl=en&amp;as_sdt=0,5</t>
  </si>
  <si>
    <t>https://scholar.google.co.uk/scholar?q="Enforcement of Autonomous Authorizations in Collaborative Distributed Query Evaluation"&amp;btnG=&amp;hl=en&amp;as_sdt=0,5</t>
  </si>
  <si>
    <t>citation:doc-2844-01</t>
  </si>
  <si>
    <t>https://scholar.google.co.uk/scholar?q="Improving Energy Efficiency of MPTCP"&amp;btnG=&amp;hl=en&amp;as_sdt=0,5</t>
  </si>
  <si>
    <t>citation:doc-2845-01</t>
  </si>
  <si>
    <t>https://scholar.google.co.uk/scholar?q=%22On Enhancing Multipath Data Transport via Traffic Splitting%22&amp;btnG=&amp;hl=en&amp;as_sdt=0%2C5</t>
  </si>
  <si>
    <t>citation:doc-2846-01</t>
  </si>
  <si>
    <t>https://scholar.google.co.uk/scholar?q="MSPlayer: Multi-Source Multi-Path Video Streaming"&amp;btnG=&amp;hl=en&amp;as_sdt=0,5</t>
  </si>
  <si>
    <t>citation:doc-2847-01</t>
  </si>
  <si>
    <t>https://scholar.google.co.uk/scholar?q="Global Approximations for Principal Agent Theory"&amp;btnG=&amp;hl=en&amp;as_sdt=0,5</t>
  </si>
  <si>
    <t>citation:doc-2848-01</t>
  </si>
  <si>
    <t>https://scholar.google.co.uk/scholar?q="An Inference Management Architecture for Risk-Aware Data Sharing in Mobile Networks"&amp;btnG=&amp;hl=en&amp;as_sdt=0,5</t>
  </si>
  <si>
    <t>citation:doc-2849a-01</t>
  </si>
  <si>
    <t>https://scholar.google.co.uk/scholar?q="Conversational Sensemaking"&amp;btnG=&amp;hl=en&amp;as_sdt=0,5</t>
  </si>
  <si>
    <t>citation:doc-2850-01</t>
  </si>
  <si>
    <t>https://scholar.google.co.uk/scholar?q="Tasking the Tweeters: Obtaining Actionable Information from Human Sensors"&amp;btnG=&amp;hl=en&amp;as_sdt=0,5</t>
  </si>
  <si>
    <t>citation:doc-2851-01</t>
  </si>
  <si>
    <t>https://scholar.google.co.uk/scholar?q="Markov Argumentation Random Fields-based Linchpin Sensitivity Analysis"&amp;btnG=&amp;hl=en&amp;as_sdt=0,5</t>
  </si>
  <si>
    <t>citation:doc-2852-01</t>
  </si>
  <si>
    <t>https://scholar.google.co.uk/scholar?q="Collaborative human-machine analysis using a Controlled Natural Language"&amp;btnG=&amp;hl=en&amp;as_sdt=0,5</t>
  </si>
  <si>
    <t>citation:doc-2853-01</t>
  </si>
  <si>
    <t>https://scholar.google.co.uk/scholar?q="Robust Multicast in Mobility-induced Dynamic Networks"&amp;btnG=&amp;hl=en&amp;as_sdt=0,5</t>
  </si>
  <si>
    <t>citation:doc-2856-01</t>
  </si>
  <si>
    <t>https://scholar.google.co.uk/scholar?q="On the zero-additional leak privacy of location traces using model-based falsification of data"&amp;btnG=&amp;hl=en&amp;as_sdt=0,5</t>
  </si>
  <si>
    <t>citation:doc-2857b-01</t>
  </si>
  <si>
    <t>https://scholar.google.co.uk/scholar?q="Detecting Distributed Signature-based Intrusion: The Case of Multi-Path Routing Attacks"&amp;btnG=&amp;hl=en&amp;as_sdt=0,5</t>
  </si>
  <si>
    <t>citation:doc-2858-01</t>
  </si>
  <si>
    <t>https://scholar.google.co.uk/scholar?q="Towards Making Network Function Virtualization a Cloud Computing Service"&amp;btnG=&amp;hl=en&amp;as_sdt=0,5</t>
  </si>
  <si>
    <t>citation:doc-2860-01</t>
  </si>
  <si>
    <t>https://scholar.google.co.uk/scholar?q="Strategies for Truth Discovery under Resource Constraints"&amp;btnG=&amp;hl=en&amp;as_sdt=0,5</t>
  </si>
  <si>
    <t>citation:doc-2861-01</t>
  </si>
  <si>
    <t>https://scholar.google.co.uk/scholar?q="Agent support to reasoning with different types of evidence in intelligence analysis"&amp;btnG=&amp;hl=en&amp;as_sdt=0,5</t>
  </si>
  <si>
    <t>citation:doc-2862-01</t>
  </si>
  <si>
    <t>https://scholar.google.co.uk/scholar?q="GeoSpatial Access Control for Mobile Devices"&amp;btnG=&amp;hl=en&amp;as_sdt=0,5</t>
  </si>
  <si>
    <t>citation:doc-2863-01</t>
  </si>
  <si>
    <t>https://scholar.google.co.uk/scholar?q="GhostRider: A Hardware-Software System for Memory Trace Oblivious Computation"&amp;btnG=&amp;hl=en&amp;as_sdt=0,5</t>
  </si>
  <si>
    <t>citation:doc-2866-01</t>
  </si>
  <si>
    <t>https://scholar.google.co.uk/scholar?q="Revocation in Publicly Verifiable Outsourced Computation"&amp;btnG=&amp;hl=en&amp;as_sdt=0,5</t>
  </si>
  <si>
    <t>citation:doc-2870-01</t>
  </si>
  <si>
    <t>https://scholar.google.co.uk/scholar?q="Minimum Delay Stream Routing and Content Caching in Hybrid Coalition Networks"&amp;btnG=&amp;hl=en&amp;as_sdt=0,5</t>
  </si>
  <si>
    <t>citation:doc-2871-01</t>
  </si>
  <si>
    <t>https://scholar.google.co.uk/scholar?q="Adaptive stream query planning for hybrid coalition networks"&amp;btnG=&amp;hl=en&amp;as_sdt=0,5</t>
  </si>
  <si>
    <t>citation:doc-2872-01</t>
  </si>
  <si>
    <t>https://scholar.google.co.uk/scholar?q="Lightweight Authentication of Freshness in Outsourced Key-Value Stores"&amp;btnG=&amp;hl=en&amp;as_sdt=0,5</t>
  </si>
  <si>
    <t>citation:doc-2884-01</t>
  </si>
  <si>
    <t>citation:doc-2889-01</t>
  </si>
  <si>
    <t>https://scholar.google.co.uk/scholar?q="Fisher Information-based Experiment Design for Network Tomgoraphy"&amp;btnG=&amp;hl=en&amp;as_sdt=0,5</t>
  </si>
  <si>
    <t>citation:doc-2891-01</t>
  </si>
  <si>
    <t>https://scholar.google.co.uk/scholar?q="Access Control in Publicly Verifiable Outsourced Computation"&amp;btnG=&amp;hl=en&amp;as_sdt=0,5</t>
  </si>
  <si>
    <t>citation:doc-2893-01</t>
  </si>
  <si>
    <t>https://scholar.google.co.uk/scholar?q="Picking v.s. Guessing Secrets: A Game-Theoretic Analysis"&amp;btnG=&amp;hl=en&amp;as_sdt=0,5</t>
  </si>
  <si>
    <t>citation:doc-2894-01</t>
  </si>
  <si>
    <t>https://scholar.google.co.uk/scholar?q="Experimentation on Controlled English based on Logic Reasoning"&amp;btnG=&amp;hl=en&amp;as_sdt=0,5</t>
  </si>
  <si>
    <t>citation:doc-2895-01</t>
  </si>
  <si>
    <t>citation:doc-2899-01</t>
  </si>
  <si>
    <t>https://scholar.google.co.uk/scholar?q="Supporting Situation Understanding For The 2014 Nato Summit Through Human-Information Interaction"&amp;btnG=&amp;hl=en&amp;as_sdt=0,5</t>
  </si>
  <si>
    <t>citation:doc-2900-01</t>
  </si>
  <si>
    <t>https://scholar.google.co.uk/scholar?q="When is Lying the Right Choice?"&amp;btnG=&amp;hl=en&amp;as_sdt=0,5</t>
  </si>
  <si>
    <t>citation:doc-2901-01</t>
  </si>
  <si>
    <t>https://scholar.google.co.uk/scholar?q="Representative Agents and the Contract Negotiation Cold Start Problem"&amp;btnG=&amp;hl=en&amp;as_sdt=0,5</t>
  </si>
  <si>
    <t>citation:doc-2902-01</t>
  </si>
  <si>
    <t>https://scholar.google.co.uk/scholar?q="Results of Experimental Realization of Inference Management Firewall on Information Fabric"&amp;btnG=&amp;hl=en&amp;as_sdt=0,5</t>
  </si>
  <si>
    <t>citation:doc-2903-01</t>
  </si>
  <si>
    <t>https://scholar.google.co.uk/scholar?q="Markov Argumentation Random Fields"&amp;btnG=&amp;hl=en&amp;as_sdt=0,5</t>
  </si>
  <si>
    <t>citation:doc-2904-01</t>
  </si>
  <si>
    <t>https://scholar.google.co.uk/scholar?q="Dynamic Service Migration in Mobile Edge-Clouds"&amp;btnG=&amp;hl=en&amp;as_sdt=0,5</t>
  </si>
  <si>
    <t>https://scholar.google.co.uk/scholar?q=%22Online Workload Placement with Provable Performance Guarantees in Cloud Environments%22&amp;btnG=&amp;hl=en&amp;as_sdt=0%2C5</t>
  </si>
  <si>
    <t>citation:doc-2906-01</t>
  </si>
  <si>
    <t>https://scholar.google.co.uk/scholar?q="An online method for minimizing network monitoring overhead"&amp;btnG=&amp;hl=en&amp;as_sdt=0,5</t>
  </si>
  <si>
    <t>citation:doc-2908-01</t>
  </si>
  <si>
    <t>https://scholar.google.co.uk/scholar?q="Self-Adaptive Resource Allocation for Event Monitoring with Uncertainty in Sensor Networks"&amp;btnG=&amp;hl=en&amp;as_sdt=0,5</t>
  </si>
  <si>
    <t>citation:doc-2909-01</t>
  </si>
  <si>
    <t>https://scholar.google.co.uk/scholar?q=%22Building+a+%22living+database%22+for+human-machine+intelligence+analysis%22&amp;btnG=&amp;hl=en&amp;as_sdt=0%2C5</t>
  </si>
  <si>
    <t>citation:doc-2910-01</t>
  </si>
  <si>
    <t>https://scholar.google.co.uk/scholar?q="Using a Cognitive Architecture to Control the Behaviour of Virtual Robots"&amp;btnG=&amp;hl=en&amp;as_sdt=0,5</t>
  </si>
  <si>
    <t>https://scholar.google.co.uk/scholar?q=%22Using a Cognitive Architecture to Control the Behaviour of Virtual Robots%22&amp;btnG=&amp;hl=en&amp;as_sdt=0%2C5</t>
  </si>
  <si>
    <t>citation:doc-2911-01</t>
  </si>
  <si>
    <t>https://scholar.google.co.uk/scholar?q="Integrating ACT-R Cognitive Models with the Unity Game Engine"&amp;btnG=&amp;hl=en&amp;as_sdt=0,5</t>
  </si>
  <si>
    <t>citation:doc-2912-01</t>
  </si>
  <si>
    <t>https://scholar.google.co.uk/scholar?q="Cognitive and Probabilistic Models of Group Decision Making"&amp;btnG=&amp;hl=en&amp;as_sdt=0,5</t>
  </si>
  <si>
    <t>https://scholar.google.co.uk/scholar?q="Declarative Framework for Specification, Simulation and Analysis of Distributed Applications"&amp;btnG=&amp;hl=en&amp;as_sdt=0,5</t>
  </si>
  <si>
    <t>citation:doc-2915a-01</t>
  </si>
  <si>
    <t>https://scholar.google.co.uk/scholar?q="Rateless and Pollution Attack-Resilient Network Coding"&amp;btnG=&amp;hl=en&amp;as_sdt=0,5</t>
  </si>
  <si>
    <t>citation:doc-2915b-01</t>
  </si>
  <si>
    <t>https://scholar.google.co.uk/scholar?q="Crowdsourcing for Argument Verification in Intelligence Analysis: A Position Paper"&amp;btnG=&amp;hl=en&amp;as_sdt=0,5</t>
  </si>
  <si>
    <t>https://scholar.google.co.uk/scholar?q="Partial Observable Update for Subjective Logic and Its Application for Trust Estimation"&amp;btnG=&amp;hl=en&amp;as_sdt=0,5</t>
  </si>
  <si>
    <t>citation:doc-2998-01</t>
  </si>
  <si>
    <t>https://scholar.google.co.uk/scholar?q=%22Use of Controlled English to Bridge the Gap Between Tactical and Strategic Echelons%22&amp;btnG=&amp;hl=en&amp;as_sdt=0%2C5</t>
  </si>
  <si>
    <t>citation:doc-805-01</t>
  </si>
  <si>
    <t>https://scholar.google.co.uk/scholar?q="Understanding Robustness of Mobile Networks through Temporal Network Measures"&amp;btnG=&amp;hl=en&amp;as_sdt=0,5</t>
  </si>
  <si>
    <t>citation:doc-806a-01</t>
  </si>
  <si>
    <t>https://scholar.google.co.uk/scholar?q=%22Position Paper: Ontological Logic Programming%22&amp;btnG=&amp;hl=en&amp;as_sdt=0%2C5</t>
  </si>
  <si>
    <t>citation:doc-806b-01</t>
  </si>
  <si>
    <t>https://scholar.google.co.uk/scholar?q="Ontological Logic Programming"&amp;btnG=&amp;hl=en&amp;as_sdt=0,5</t>
  </si>
  <si>
    <t>citation:doc-807a-01</t>
  </si>
  <si>
    <t>https://scholar.google.co.uk/scholar?q="Probabilistic plan recognition for intelligent information agents: Towards proactive software assistant agents"&amp;btnG=&amp;hl=en&amp;as_sdt=0,5</t>
  </si>
  <si>
    <t>citation:doc-808-01</t>
  </si>
  <si>
    <t>https://scholar.google.co.uk/scholar?q="Trust Decision Making in Delegation Relationships"&amp;btnG=&amp;hl=en&amp;as_sdt=0,5</t>
  </si>
  <si>
    <t>citation:doc-809-01</t>
  </si>
  <si>
    <t>https://scholar.google.co.uk/scholar?q="Incremental, Team-Oriented Activity and Plan Recognition for Software Agents"&amp;btnG=&amp;hl=en&amp;as_sdt=0,5</t>
  </si>
  <si>
    <t>citation:doc-811-01</t>
  </si>
  <si>
    <t>https://scholar.google.co.uk/scholar?q="Keyless Channel Hopping against Jamming Attack in Wireless Networks"&amp;btnG=&amp;hl=en&amp;as_sdt=0,5</t>
  </si>
  <si>
    <t>citation:doc-812-01</t>
  </si>
  <si>
    <t>https://scholar.google.co.uk/scholar?q="On the Universal Generation of Mobility Models"&amp;btnG=&amp;hl=en&amp;as_sdt=0,5</t>
  </si>
  <si>
    <t>citation:doc-813-01</t>
  </si>
  <si>
    <t>https://scholar.google.co.uk/scholar?q="Towards quantification of utility in the OODA loop"&amp;btnG=&amp;hl=en&amp;as_sdt=0,5</t>
  </si>
  <si>
    <t>citation:doc-814a-01</t>
  </si>
  <si>
    <t>https://scholar.google.co.uk/scholar?q="OWL-POLAR: Semantic Policies for Agent Reasoning"&amp;btnG=&amp;hl=en&amp;as_sdt=0,5</t>
  </si>
  <si>
    <t>citation:doc-815-01</t>
  </si>
  <si>
    <t>https://scholar.google.co.uk/scholar?q="Path Heuristics using ACO for Inter-Domain Routing in Mobile Ad Hoc and Sensor Networks"&amp;btnG=&amp;hl=en&amp;as_sdt=0,5</t>
  </si>
  <si>
    <t>citation:doc-816-01</t>
  </si>
  <si>
    <t>https://scholar.google.co.uk/scholar?q="Urban-X: Towards Distributed Channel Assignment in Cognitive Multi-Radio Mesh Networks"&amp;btnG=&amp;hl=en&amp;as_sdt=0,5</t>
  </si>
  <si>
    <t>citation:doc-817-01</t>
  </si>
  <si>
    <t>https://scholar.google.co.uk/scholar?q="Cognitive Multi-Radio Mesh Networks on ISM Bands: A Cross-Layer Architecture"&amp;btnG=&amp;hl=en&amp;as_sdt=0,5</t>
  </si>
  <si>
    <t>citation:doc-819-01</t>
  </si>
  <si>
    <t>https://scholar.google.co.uk/scholar?q="Content Centric Networking in Tactical and Emergency MANETs"&amp;btnG=&amp;hl=en&amp;as_sdt=0,5</t>
  </si>
  <si>
    <t>citation:doc-820a-01</t>
  </si>
  <si>
    <t>https://scholar.google.co.uk/scholar?q="Distributed Abductive Reasoning with Constraints"&amp;btnG=&amp;hl=en&amp;as_sdt=0,5</t>
  </si>
  <si>
    <t>citation:doc-820b-01</t>
  </si>
  <si>
    <t>citation:doc-820c-01</t>
  </si>
  <si>
    <t>citation:doc-821-01</t>
  </si>
  <si>
    <t>https://scholar.google.co.uk/scholar?q="Adaptive Negotiation In Managing Wireless Sensor Networks"&amp;btnG=&amp;hl=en&amp;as_sdt=0,5</t>
  </si>
  <si>
    <t>citation:doc-822-01</t>
  </si>
  <si>
    <t>https://scholar.google.co.uk/scholar?q="Intelligent Resource Selection for Sensor-Task Assignment: A Knowledge Based Approach"&amp;btnG=&amp;hl=en&amp;as_sdt=0,5</t>
  </si>
  <si>
    <t>citation:doc-826-01</t>
  </si>
  <si>
    <t>citation:doc-828-01</t>
  </si>
  <si>
    <t>https://scholar.google.co.uk/scholar?q="Constructing Minimal Overlay to Support Policy-Based Access Control Groups"&amp;btnG=&amp;hl=en&amp;as_sdt=0,5</t>
  </si>
  <si>
    <t>citation:doc-830-01</t>
  </si>
  <si>
    <t>https://scholar.google.co.uk/scholar?q="Listen First, Broadcast Later: Topology-Agnostic Forwarding under High Dynamics"&amp;btnG=&amp;hl=en&amp;as_sdt=0,5</t>
  </si>
  <si>
    <t>citation:doc-831-01</t>
  </si>
  <si>
    <t>https://scholar.google.co.uk/scholar?q="Dynamic Gateway Assignment to Support Inter-domain Networking in MANETs"&amp;btnG=&amp;hl=en&amp;as_sdt=0,5</t>
  </si>
  <si>
    <t>citation:doc-833-01</t>
  </si>
  <si>
    <t>https://scholar.google.co.uk/scholar?q="Self-tuning routing algorithms"&amp;btnG=&amp;hl=en&amp;as_sdt=0,5</t>
  </si>
  <si>
    <t>citation:doc-836-01</t>
  </si>
  <si>
    <t>https://scholar.google.co.uk/scholar?q="Obtaining Generic Mobility Models from Network Properties and Trace Data"&amp;btnG=&amp;hl=en&amp;as_sdt=0,5</t>
  </si>
  <si>
    <t>citation:doc-848-01</t>
  </si>
  <si>
    <t>https://scholar.google.co.uk/scholar?q="Inferring Trust in Uncertain Information"&amp;btnG=&amp;hl=en&amp;as_sdt=0,5</t>
  </si>
  <si>
    <t>citation:doc-849-01</t>
  </si>
  <si>
    <t>https://scholar.google.co.uk/scholar?q="Fine-grained access control of personal data"&amp;btnG=&amp;hl=en&amp;as_sdt=0,5</t>
  </si>
  <si>
    <t>citation:doc-858-01</t>
  </si>
  <si>
    <t>https://scholar.google.co.uk/scholar?q="Robust Bayesian Methods for Stackelberg Security Games"&amp;btnG=&amp;hl=en&amp;as_sdt=0,5</t>
  </si>
  <si>
    <t>citation:doc-863-01</t>
  </si>
  <si>
    <t>citation:doc-864-01</t>
  </si>
  <si>
    <t>https://scholar.google.co.uk/scholar?q="Acting in Partially Observable Domains with Delayed Observations"&amp;btnG=&amp;hl=en&amp;as_sdt=0,5</t>
  </si>
  <si>
    <t>citation:doc-877-01</t>
  </si>
  <si>
    <t>citation:doc-878-01</t>
  </si>
  <si>
    <t>https://scholar.google.co.uk/scholar?q="Configuration of Actuated Camera Networks for Multi-target Coverage"&amp;btnG=&amp;hl=en&amp;as_sdt=0,5</t>
  </si>
  <si>
    <t>citation:doc-881-01</t>
  </si>
  <si>
    <t>https://scholar.google.co.uk/scholar?q="Single Sensor Scheduling with Refocusing Delays"&amp;btnG=&amp;hl=en&amp;as_sdt=0,5</t>
  </si>
  <si>
    <t>citation:doc-886-01</t>
  </si>
  <si>
    <t>https://scholar.google.co.uk/scholar?q="Joint Assignment of Timeslot and Transmission Rate for Data-Item Scheduling in Mobile WSNs"&amp;btnG=&amp;hl=en&amp;as_sdt=0,5</t>
  </si>
  <si>
    <t>citation:doc-915-01</t>
  </si>
  <si>
    <t>https://scholar.google.co.uk/scholar?q=%22Security-capacity trade-off in large wireless networks using keyless secrecy%22&amp;btnG=&amp;hl=en&amp;as_sdt=0%2C5</t>
  </si>
  <si>
    <t>citation:doc-916-01</t>
  </si>
  <si>
    <t>https://scholar.google.co.uk/scholar?q="Secrecy in Wireless Networks Through Cooperative Chatter"&amp;btnG=&amp;hl=en&amp;as_sdt=0,5</t>
  </si>
  <si>
    <t>citation:doc-917-01</t>
  </si>
  <si>
    <t>https://scholar.google.co.uk/scholar?q="Frequency Quorum Rendezvous for Fast and Resilient Key Establishment under Jamming Attack"&amp;btnG=&amp;hl=en&amp;as_sdt=0,5</t>
  </si>
  <si>
    <t>citation:doc-918-01</t>
  </si>
  <si>
    <t>https://scholar.google.co.uk/scholar?q="Multiple Metric Gateway Election in Heterogeneous MANETs"&amp;btnG=&amp;hl=en&amp;as_sdt=0,5</t>
  </si>
  <si>
    <t>citation:doc-919-01</t>
  </si>
  <si>
    <t>https://scholar.google.co.uk/scholar?q="Connectivity Improvement for Inter-Domain Routing in MANETs"&amp;btnG=&amp;hl=en&amp;as_sdt=0,5</t>
  </si>
  <si>
    <t>citation:doc-920-01</t>
  </si>
  <si>
    <t>https://scholar.google.co.uk/scholar?q="InterMR: Inter-MANET Routing in Heterogeneous MANETs"&amp;btnG=&amp;hl=en&amp;as_sdt=0,5</t>
  </si>
  <si>
    <t>citation:doc-921-01</t>
  </si>
  <si>
    <t>https://scholar.google.co.uk/scholar?q="Adaptive Forwarding Rate Control for Network Coding in Tactical MANETs"&amp;btnG=&amp;hl=en&amp;as_sdt=0,5</t>
  </si>
  <si>
    <t>citation:doc-924-01</t>
  </si>
  <si>
    <t>https://scholar.google.co.uk/scholar?q="Ad Hoc Networking via Named Data"&amp;btnG=&amp;hl=en&amp;as_sdt=0,5</t>
  </si>
  <si>
    <t>citation:doc-925-01</t>
  </si>
  <si>
    <t>https://scholar.google.co.uk/scholar?q="Speculative Abduction Reasoning for Hierarchical Agent Systems"&amp;btnG=&amp;hl=en&amp;as_sdt=0,5</t>
  </si>
  <si>
    <t>citation:doc-926-01</t>
  </si>
  <si>
    <t>https://scholar.google.co.uk/scholar?q="Decomposition Techniques for Policy Refinement"&amp;btnG=&amp;hl=en&amp;as_sdt=0,5</t>
  </si>
  <si>
    <t>citation:doc-927b-01</t>
  </si>
  <si>
    <t>https://scholar.google.co.uk/scholar?q="Time-Specific Encryption"&amp;btnG=&amp;hl=en&amp;as_sdt=0,5</t>
  </si>
  <si>
    <t>citation:doc-928-01</t>
  </si>
  <si>
    <t>https://scholar.google.co.uk/scholar?q="Assessing Trust in Uncertain Information using Bayesian Description Logics"&amp;btnG=&amp;hl=en&amp;as_sdt=0,5</t>
  </si>
  <si>
    <t>citation:doc-929-01</t>
  </si>
  <si>
    <t>citation:doc-930-01</t>
  </si>
  <si>
    <t>https://scholar.google.co.uk/scholar?q="Assessing Trust in Uncertain Information"&amp;btnG=&amp;hl=en&amp;as_sdt=0,5</t>
  </si>
  <si>
    <t>citation:doc-931-01</t>
  </si>
  <si>
    <t>https://scholar.google.co.uk/scholar?q="A Decision Theoretic Approach to Data Leakage Prevention"&amp;btnG=&amp;hl=en&amp;as_sdt=0,5</t>
  </si>
  <si>
    <t>citation:doc-932b-01</t>
  </si>
  <si>
    <t>https://scholar.google.co.uk/scholar?q="Information-Theoretic Detection of Masquerade Mimicry Attacks"&amp;btnG=&amp;hl=en&amp;as_sdt=0,5</t>
  </si>
  <si>
    <t>citation:doc-933-01</t>
  </si>
  <si>
    <t>https://scholar.google.co.uk/scholar?q="Networks of Trust and Distrust: Towards Logical Reputation Systems"&amp;btnG=&amp;hl=en&amp;as_sdt=0,5</t>
  </si>
  <si>
    <t>citation:doc-934-01</t>
  </si>
  <si>
    <t>https://scholar.google.co.uk/scholar?q="Multi-Target Tracking Using Proximity Sensors"&amp;btnG=&amp;hl=en&amp;as_sdt=0,5</t>
  </si>
  <si>
    <t>citation:doc-935-01</t>
  </si>
  <si>
    <t>https://scholar.google.co.uk/scholar?q="Quality Tradeoffs in Object Tracking with Duty-Cycled Sensor Networks"&amp;btnG=&amp;hl=en&amp;as_sdt=0,5</t>
  </si>
  <si>
    <t>citation:doc-936-01</t>
  </si>
  <si>
    <t>https://scholar.google.co.uk/scholar?q="An Ontological Approach to Integrating Task Representations in Sensor Networks"&amp;btnG=&amp;hl=en&amp;as_sdt=0,5</t>
  </si>
  <si>
    <t>citation:doc-937-01</t>
  </si>
  <si>
    <t>https://scholar.google.co.uk/scholar?q="You Can't Get There From Here: Sensor Scheduling with Refocusing Delays"&amp;btnG=&amp;hl=en&amp;as_sdt=0,5</t>
  </si>
  <si>
    <t>citation:doc-938-01</t>
  </si>
  <si>
    <t>https://scholar.google.co.uk/scholar?q="Utility-Driven, Energy-Aware In-Network Processing for Mission-oriented Wireless Sensor Networks"&amp;btnG=&amp;hl=en&amp;as_sdt=0,5</t>
  </si>
  <si>
    <t>citation:doc-939-01</t>
  </si>
  <si>
    <t>https://scholar.google.co.uk/scholar?q="Intelligent information assistance for coalition operations"&amp;btnG=&amp;hl=en&amp;as_sdt=0,5</t>
  </si>
  <si>
    <t>citation:doc-940-01</t>
  </si>
  <si>
    <t>https://scholar.google.co.uk/scholar?q="Dynamic Networks and Distributed Problem-Solving"&amp;btnG=&amp;hl=en&amp;as_sdt=0,5</t>
  </si>
  <si>
    <t>citation:doc-941-01</t>
  </si>
  <si>
    <t>https://scholar.google.co.uk/scholar?q="Making Plans Alive"&amp;btnG=&amp;hl=en&amp;as_sdt=0,5</t>
  </si>
  <si>
    <t>citation:doc-942-01</t>
  </si>
  <si>
    <t>https://scholar.google.co.uk/scholar?q="Service Discovery for Delay Tolerant Networks"&amp;btnG=&amp;hl=en&amp;as_sdt=0,5</t>
  </si>
  <si>
    <t>citation:doc-943-01</t>
  </si>
  <si>
    <t>https://scholar.google.co.uk/scholar?q="Efficient Routing in Delay Tolerant Networks with Correlated Node Mobility"&amp;btnG=&amp;hl=en&amp;as_sdt=0,5</t>
  </si>
  <si>
    <t>citation:doc-944-01</t>
  </si>
  <si>
    <t>https://scholar.google.co.uk/scholar?q="A Negotiation Framework for Negotiation of Coalition Policies"&amp;btnG=&amp;hl=en&amp;as_sdt=0,5</t>
  </si>
  <si>
    <t>citation:doc-945-01</t>
  </si>
  <si>
    <t>https://scholar.google.co.uk/scholar?q=%22Behavior+Modeling+with+Probabilistic+Context+Free+Grammars%22&amp;btnG=&amp;hl=en&amp;as_sdt=0%2C5</t>
  </si>
  <si>
    <t>citation:doc-946-01</t>
  </si>
  <si>
    <t>https://scholar.google.co.uk/scholar?q="Dynamic Composition of Services in Sensor Networks"&amp;btnG=&amp;hl=en&amp;as_sdt=0,5</t>
  </si>
  <si>
    <t>citation:doc-947b-01</t>
  </si>
  <si>
    <t>https://scholar.google.co.uk/scholar?q="Sensors as a Service Oriented Architecture: Middleware for Sensor Networks"&amp;btnG=&amp;hl=en&amp;as_sdt=0,5</t>
  </si>
  <si>
    <t>citation:doc-948-01</t>
  </si>
  <si>
    <t>https://scholar.google.co.uk/scholar?q="Risk Based Access Control with Uncertain and Time-dependent Sensitivity"&amp;btnG=&amp;hl=en&amp;as_sdt=0,5</t>
  </si>
  <si>
    <t>citation:doc-949-01</t>
  </si>
  <si>
    <t>https://scholar.google.co.uk/scholar?q="Secure, Selective Group Broadcast in Vehicular Networks using Dynamic Attribute Based Encryption"&amp;btnG=&amp;hl=en&amp;as_sdt=0,5</t>
  </si>
  <si>
    <t>citation:doc-950-01</t>
  </si>
  <si>
    <t>https://scholar.google.co.uk/scholar?q="Utility-based Gateway Deployment for Supporting Multi-domain DTNs"&amp;btnG=&amp;hl=en&amp;as_sdt=0,5</t>
  </si>
  <si>
    <t>citation:doc-952-01</t>
  </si>
  <si>
    <t>https://scholar.google.co.uk/scholar?q="Group Detection in Mobility Traces"&amp;btnG=&amp;hl=en&amp;as_sdt=0,5</t>
  </si>
  <si>
    <t>citation:doc-953-01</t>
  </si>
  <si>
    <t>https://scholar.google.co.uk/scholar?q="Effect of Limited Topology Knowledge on Opportunistic Forwarding in Ad Hoc Wireless Networks"&amp;btnG=&amp;hl=en&amp;as_sdt=0,5</t>
  </si>
  <si>
    <t>citation:doc-954a-01</t>
  </si>
  <si>
    <t>https://scholar.google.co.uk/scholar?q="Okamoto-Tanaka Revisited: Fully Authenticated Diffie-Hellman with Minimal Overhead"&amp;btnG=&amp;hl=en&amp;as_sdt=0,5</t>
  </si>
  <si>
    <t>citation:doc-955b-01</t>
  </si>
  <si>
    <t>https://scholar.google.co.uk/scholar?q="Learning Autonomic Security Reconfiguration Policies"&amp;btnG=&amp;hl=en&amp;as_sdt=0,5</t>
  </si>
  <si>
    <t>citation:doc-956-01</t>
  </si>
  <si>
    <t>https://scholar.google.co.uk/scholar?q="High-Resolution, Low-Power Time Synchronization an Oxymoron No More"&amp;btnG=&amp;hl=en&amp;as_sdt=0,5</t>
  </si>
  <si>
    <t>citation:doc-957-01</t>
  </si>
  <si>
    <t>https://scholar.google.co.uk/scholar?q="Target Tracking with Packet Delays and Losses - QoI amid Latencies and Missing Data"&amp;btnG=&amp;hl=en&amp;as_sdt=0,5</t>
  </si>
  <si>
    <t>citation:doc-958-01</t>
  </si>
  <si>
    <t>https://scholar.google.co.uk/scholar?q="An Ontology-based Framework for Designing a Sensor Quality of Information Software Library"&amp;btnG=&amp;hl=en&amp;as_sdt=0,5</t>
  </si>
  <si>
    <t>citation:doc-959-01</t>
  </si>
  <si>
    <t>https://scholar.google.co.uk/scholar?q="Compressive Oversampling for Robust Data Transmission in Sensor Network"&amp;btnG=&amp;hl=en&amp;as_sdt=0,5</t>
  </si>
  <si>
    <t>citation:doc-960d-01</t>
  </si>
  <si>
    <t>https://scholar.google.co.uk/scholar?q="Flexible Task Resourcing for Intelligent Agents"&amp;btnG=&amp;hl=en&amp;as_sdt=0,5</t>
  </si>
  <si>
    <t>citation:doc-961-01</t>
  </si>
  <si>
    <t>https://scholar.google.co.uk/scholar?q="Cooperative Data Dissemination to Mission Sites"&amp;btnG=&amp;hl=en&amp;as_sdt=0,5</t>
  </si>
  <si>
    <t>citation:doc-962-01</t>
  </si>
  <si>
    <t>https://scholar.google.co.uk/scholar?q="Implementation of utility based resource optimization protocols on ITA sensor fabric"&amp;btnG=&amp;hl=en&amp;as_sdt=0,5</t>
  </si>
  <si>
    <t>citation:doc-963-01</t>
  </si>
  <si>
    <t>https://scholar.google.co.uk/scholar?q="The Effect of Neighbor Graph Connectivity on Coverage Redundancy in Wireless Sensor Networks"&amp;btnG=&amp;hl=en&amp;as_sdt=0,5</t>
  </si>
  <si>
    <t>citation:doc-964-01</t>
  </si>
  <si>
    <t>https://scholar.google.co.uk/scholar?q="Cost Efficient Erasure Coding based Routing in Delay Tolerant Networks"&amp;btnG=&amp;hl=en&amp;as_sdt=0,5</t>
  </si>
  <si>
    <t>citation:doc-965-01</t>
  </si>
  <si>
    <t>https://scholar.google.co.uk/scholar?q="Bootstrapping trust evaluations through stereotypes"&amp;btnG=&amp;hl=en&amp;as_sdt=0,5</t>
  </si>
  <si>
    <t>citation:doc-966-01</t>
  </si>
  <si>
    <t>https://scholar.google.co.uk/scholar?q="Learning policies through argumentation-derived evidence"&amp;btnG=&amp;hl=en&amp;as_sdt=0,5</t>
  </si>
  <si>
    <t>citation:doc-967-01</t>
  </si>
  <si>
    <t>https://scholar.google.co.uk/scholar?q="Encryption schemes secure against chosen-ciphertext selective opening attacks"&amp;btnG=&amp;hl=en&amp;as_sdt=0,5</t>
  </si>
  <si>
    <t>citation:doc-968-01</t>
  </si>
  <si>
    <t>https://scholar.google.co.uk/scholar?q="Design and Implementation of a Robust Sensor Data Fusion System for Unknown Signals"&amp;btnG=&amp;hl=en&amp;as_sdt=0,5</t>
  </si>
  <si>
    <t>citation:doc-969-01</t>
  </si>
  <si>
    <t>https://scholar.google.co.uk/scholar?q="Warfighter decision making performance analysis as an investment priority driver"&amp;btnG=&amp;hl=en&amp;as_sdt=0,5</t>
  </si>
  <si>
    <t>citation:doc-970-01</t>
  </si>
  <si>
    <t>https://scholar.google.co.uk/scholar?q="Sensor Allocation in Diverse Environments"&amp;btnG=&amp;hl=en&amp;as_sdt=0,5</t>
  </si>
  <si>
    <t>citation:doc-971-01</t>
  </si>
  <si>
    <t>https://scholar.google.co.uk/scholar?q="Conditional Shortest Path Routing in Delay Tolerant Networks"&amp;btnG=&amp;hl=en&amp;as_sdt=0,5</t>
  </si>
  <si>
    <t>citation:doc-972-01</t>
  </si>
  <si>
    <t>https://scholar.google.co.uk/scholar?q="An Energy Efficient Location Service for Mobile Ad Hoc Networks"&amp;btnG=&amp;hl=en&amp;as_sdt=0,5</t>
  </si>
  <si>
    <t>citation:doc-974-01</t>
  </si>
  <si>
    <t>https://scholar.google.co.uk/scholar?q="Reflections on Provenance Ontology Encodings"&amp;btnG=&amp;hl=en&amp;as_sdt=0,5</t>
  </si>
  <si>
    <t>citation:doc-975a-01</t>
  </si>
  <si>
    <t>https://scholar.google.co.uk/scholar?q="Non-Interactive Verifiable Computing: Outsourcing Computation to Untrusted Workers"&amp;btnG=&amp;hl=en&amp;as_sdt=0,5</t>
  </si>
  <si>
    <t>citation:doc-976-01</t>
  </si>
  <si>
    <t>https://scholar.google.co.uk/scholar?q="On MySpace Account Spans and Double Pareto-Like Distribution of Friends"&amp;btnG=&amp;hl=en&amp;as_sdt=0,5</t>
  </si>
  <si>
    <t>citation:doc-977-01</t>
  </si>
  <si>
    <t>https://scholar.google.co.uk/scholar?q="Towards Learning Risk Estimation Functions for Access Control"&amp;btnG=&amp;hl=en&amp;as_sdt=0,5</t>
  </si>
  <si>
    <t>citation:doc-978-01</t>
  </si>
  <si>
    <t>https://scholar.google.co.uk/scholar?q="Green Wave: Latency and Capacity-Efficient Sleep Scheduling for Wireless Networks"&amp;btnG=&amp;hl=en&amp;as_sdt=0,5</t>
  </si>
  <si>
    <t>citation:doc-979-01</t>
  </si>
  <si>
    <t>https://scholar.google.co.uk/scholar?q="Neighbor Discovery with Reception Status Feedback to Transmitters"&amp;btnG=&amp;hl=en&amp;as_sdt=0,5</t>
  </si>
  <si>
    <t>citation:doc-980-01</t>
  </si>
  <si>
    <t>https://scholar.google.co.uk/scholar?q="On the Application of Cooperative Transmission to Wireless Broadcast Channels"&amp;btnG=&amp;hl=en&amp;as_sdt=0,5</t>
  </si>
  <si>
    <t>citation:doc-981-01</t>
  </si>
  <si>
    <t>https://scholar.google.co.uk/scholar?q="Wireless Interrupt: Inter-Device Signaling in Next Generation Wireless Networks"&amp;btnG=&amp;hl=en&amp;as_sdt=0,5</t>
  </si>
  <si>
    <t>citation:doc-983-01</t>
  </si>
  <si>
    <t>https://scholar.google.co.uk/scholar?q="Dynamic Control of Data Ferries under Partial Observations"&amp;btnG=&amp;hl=en&amp;as_sdt=0,5</t>
  </si>
  <si>
    <t>citation:doc-984-01</t>
  </si>
  <si>
    <t>https://scholar.google.co.uk/scholar?q="Morphogenesis in Computer Networks"&amp;btnG=&amp;hl=en&amp;as_sdt=0,5</t>
  </si>
  <si>
    <t>citation:doc-985-01</t>
  </si>
  <si>
    <t>citation:doc-986a-01</t>
  </si>
  <si>
    <t>https://scholar.google.co.uk/scholar?q="Secure Network Coding over the Integers"&amp;btnG=&amp;hl=en&amp;as_sdt=0,5</t>
  </si>
  <si>
    <t>citation:doc-987-01</t>
  </si>
  <si>
    <t>https://scholar.google.co.uk/scholar?q="Risk-sensitive Planning in Partially Observable Environments"&amp;btnG=&amp;hl=en&amp;as_sdt=0,5</t>
  </si>
  <si>
    <t>citation:doc-988-01</t>
  </si>
  <si>
    <t>https://scholar.google.co.uk/scholar?q="Robust Bayesian Methods for Stackelberg Games"&amp;btnG=&amp;hl=en&amp;as_sdt=0,5</t>
  </si>
  <si>
    <t>citation:doc-989-01</t>
  </si>
  <si>
    <t>https://scholar.google.co.uk/scholar?q="Bounds on Network Coding and Multi-Rate Diversity Gain in Multicast Wireless Applications"&amp;btnG=&amp;hl=en&amp;as_sdt=0,5</t>
  </si>
  <si>
    <t>citation:doc-990-01</t>
  </si>
  <si>
    <t>https://scholar.google.co.uk/scholar?q="Protecting Network Coded Packets in Coalition Networks"&amp;btnG=&amp;hl=en&amp;as_sdt=0,5</t>
  </si>
  <si>
    <t>citation:doc-991-01</t>
  </si>
  <si>
    <t>https://scholar.google.co.uk/scholar?q="Learning Policy Constraints through Dialogue"&amp;btnG=&amp;hl=en&amp;as_sdt=0,5</t>
  </si>
  <si>
    <t>citation:doc-992-01</t>
  </si>
  <si>
    <t>https://scholar.google.co.uk/scholar?q="Interpreting Team Collaboration"&amp;btnG=&amp;hl=en&amp;as_sdt=0,5</t>
  </si>
  <si>
    <t>citation:doc-994-01</t>
  </si>
  <si>
    <t>https://scholar.google.co.uk/scholar?q="On the recognition of compromise in sensing systems: rewired acoustic arrays and distorted route estimation and classification"&amp;btnG=&amp;hl=en&amp;as_sdt=0,5</t>
  </si>
  <si>
    <t>citation:doc-995-01</t>
  </si>
  <si>
    <t>https://scholar.google.co.uk/scholar?q="Semantic History: Towards Modeling and Publishing Changes of Online Semantic Data"&amp;btnG=&amp;hl=en&amp;as_sdt=0,5</t>
  </si>
  <si>
    <t>citation:doc-996-01</t>
  </si>
  <si>
    <t>https://scholar.google.co.uk/scholar?q=%22A+Semantic+Wiki+Based+Light-Weight+Web+Application+Model%22&amp;btnG=&amp;hl=en&amp;as_sdt=0%2C5</t>
  </si>
  <si>
    <t>citation:doc-997-01</t>
  </si>
  <si>
    <t>https://scholar.google.co.uk/scholar?q="Transmission Capacity of Decode-and-Forward Cooperation in Overlaid Wireless Networks"&amp;btnG=&amp;hl=en&amp;as_sdt=0,5</t>
  </si>
  <si>
    <t>citation:doc-998-01</t>
  </si>
  <si>
    <t>https://scholar.google.co.uk/scholar?q="Full Connectivity and Percolation in Large Cooperative Wireless Networks"&amp;btnG=&amp;hl=en&amp;as_sdt=0,5</t>
  </si>
  <si>
    <t>citation:doc-999a-01</t>
  </si>
  <si>
    <t>https://scholar.google.co.uk/scholar?q="CoCast: Multicast Mobile Ad Hoc Networks using Cognitive Radio"&amp;btnG=&amp;hl=en&amp;as_sdt=0,5</t>
  </si>
  <si>
    <t>citation:doc-x0001-01</t>
  </si>
  <si>
    <t>https://scholar.google.co.uk/scholar?q=%22Advances in Network Sciences via Collaborative Multi-Disciplinary Research%22&amp;btnG=&amp;hl=en&amp;as_sdt=0%2C5</t>
  </si>
  <si>
    <t>citation:doc-x0002-01</t>
  </si>
  <si>
    <t>https://scholar.google.co.uk/scholar?q=%22An end-to-end life cycle for ISR in coalition networks%22&amp;btnG=&amp;hl=en&amp;as_sdt=0%2C5</t>
  </si>
  <si>
    <t>citation:doc-x0003-01</t>
  </si>
  <si>
    <t>https://scholar.google.co.uk/scholar?q=%22Intelligence, Surveillance, and Reconnaissance fusion for coalition operations%22&amp;btnG=&amp;hl=en&amp;as_sdt=0%2C5</t>
  </si>
  <si>
    <t>citation:doc-x0004-01</t>
  </si>
  <si>
    <t>https://scholar.google.co.uk/scholar?q=%22Policy-enabled ITA sensor fabric for the validation of experimental algorithms using real and simulated sensors%22&amp;btnG=&amp;hl=en&amp;as_sdt=0%2C5</t>
  </si>
  <si>
    <t>citation:doc-x0005-01</t>
  </si>
  <si>
    <t>https://scholar.google.co.uk/scholar?q=%22Policy-enabled interconnection of sensor networks%22&amp;btnG=&amp;hl=en&amp;as_sdt=0%2C5</t>
  </si>
  <si>
    <t>https://scholar.google.co.uk/scholar?q=%22Dynamic Service Migration and Workload Scheduling in Edge-Clouds%22&amp;btnG=&amp;hl=en&amp;as_sdt=0%2C5</t>
  </si>
  <si>
    <t>citation:doc-x0007-01</t>
  </si>
  <si>
    <t>https://scholar.google.co.uk/scholar?q=%22Emulation-Based Study of Dynamic Service Placement in Mobile Micro-Clouds%22&amp;btnG=&amp;hl=en&amp;as_sdt=0%2C5</t>
  </si>
  <si>
    <t>citation:doc-x0008-01</t>
  </si>
  <si>
    <t>https://scholar.google.co.uk/scholar?q=%22Security aware Service Migration for Tactical Mobile-Micro Clouds%22&amp;btnG=&amp;hl=en&amp;as_sdt=0%2C5</t>
  </si>
  <si>
    <t>https://scholar.google.co.uk/scholar?q=%22Network Capability in Localizing Node Failures via End-to-end Path Measurements%22&amp;btnG=&amp;hl=en&amp;as_sdt=0%2C5</t>
  </si>
  <si>
    <t>https://scholar.google.co.uk/scholar?q=%22Inferring Link Metrics from End-to-End Path Measurements: Identifiability and Monitor Placement%22&amp;btnG=&amp;hl=en&amp;as_sdt=0%2C5</t>
  </si>
  <si>
    <t>citation:doc-x0011-01</t>
  </si>
  <si>
    <t>https://scholar.google.co.uk/scholar?q=%22Robust monitor placement for network tomography in dynamic networks%22&amp;btnG=&amp;hl=en&amp;as_sdt=0%2C5</t>
  </si>
  <si>
    <t>citation:doc-x0012-01</t>
  </si>
  <si>
    <t>https://scholar.google.co.uk/scholar?q=%22Optimization Framework with Reduced Complexity for Sensor Networks with In-Network Processing%22&amp;btnG=&amp;hl=en&amp;as_sdt=0%2C5</t>
  </si>
  <si>
    <t>citation:doc-x0013-01</t>
  </si>
  <si>
    <t>https://scholar.google.co.uk/scholar?q=%22Multicast vs. Unicast for Loss Tomography on Tree Topologies%22&amp;btnG=&amp;hl=en&amp;as_sdt=0%2C5</t>
  </si>
  <si>
    <t>citation:doc-x0014-01</t>
  </si>
  <si>
    <t>https://scholar.google.co.uk/scholar?q=%22Inferring Network Topologies in MANETs Applied to Service Redeployment%22&amp;btnG=&amp;hl=en&amp;as_sdt=0%2C5</t>
  </si>
  <si>
    <t>citation:doc-x0015-01</t>
  </si>
  <si>
    <t>https://scholar.google.co.uk/scholar?q=%22A distributed, energy-efficient and QoI-aware framework for in-network processing%22&amp;btnG=&amp;hl=en&amp;as_sdt=0%2C5</t>
  </si>
  <si>
    <t>citation:doc-x0016-01</t>
  </si>
  <si>
    <t>https://scholar.google.co.uk/scholar?q=%22Switch-and-Navigate: Controlling Data Ferry Mobility for Delay-Bounded Messages%22&amp;btnG=&amp;hl=en&amp;as_sdt=0%2C5</t>
  </si>
  <si>
    <t>citation:doc-x0017-01</t>
  </si>
  <si>
    <t>https://scholar.google.co.uk/scholar?q=%22Dispatch-and-Search: Dynamic Multi-Ferry Control in Partitioned Mobile Networks%22&amp;btnG=&amp;hl=en&amp;as_sdt=0%2C5</t>
  </si>
  <si>
    <t>citation:doc-x0018-01</t>
  </si>
  <si>
    <t>https://scholar.google.co.uk/scholar?q=%22Power efficiency of decode-and-forward cooperative relaying%22&amp;btnG=&amp;hl=en&amp;as_sdt=0%2C5</t>
  </si>
  <si>
    <t>citation:doc-x0019-01</t>
  </si>
  <si>
    <t>https://scholar.google.co.uk/scholar?q=%22Flying in the dark: controlling autonomous data ferries with partial observations%22&amp;btnG=&amp;hl=en&amp;as_sdt=0%2C5</t>
  </si>
  <si>
    <t>citation:doc-x0020-01</t>
  </si>
  <si>
    <t>https://scholar.google.co.uk/scholar?q=%22Analyzing Finite MANETs by Transformations to Equivalent Static Graphs%22&amp;btnG=&amp;hl=en&amp;as_sdt=0%2C5</t>
  </si>
  <si>
    <t>citation:doc-x0021-01</t>
  </si>
  <si>
    <t>https://scholar.google.co.uk/scholar?q=%22Data gathering capacity of large scale multihop wireless networks%22&amp;btnG=&amp;hl=en&amp;as_sdt=0%2C5</t>
  </si>
  <si>
    <t>https://scholar.google.co.uk/scholar?q=%22Aggregating Crowdsourced Quantitative Claims: Additive and Multiplicative Models%22&amp;btnG=&amp;hl=en&amp;as_sdt=0%2C5</t>
  </si>
  <si>
    <t>https://scholar.google.co.uk/scholar?q=%22A+new+paradigm+in+International+Collaboration%3A+The+US-UK+International+Technology+Alliance+in+Network+and+Information+Sciences%22&amp;btnG=&amp;hl=en&amp;as_sdt=0%2C5</t>
  </si>
  <si>
    <t>https://scholar.google.co.uk/scholar?hl=en&amp;q=%22You+Can%27t+Get+There+From+Here%3A+Sensor+Scheduling+with+Refocusing+Delays%22&amp;btnG=&amp;as_sdt=1%2C5&amp;as_sdtp=</t>
  </si>
  <si>
    <t>citation:doc-x0025-01</t>
  </si>
  <si>
    <t>https://scholar.google.co.uk/scholar?q=%22Quality+of+Sensor-originated+Information+in+Coalition+Information+Networks%22&amp;btnG=&amp;hl=en&amp;as_sdt=0%2C5</t>
  </si>
  <si>
    <t>citation:doc-x0026-01</t>
  </si>
  <si>
    <t>https://scholar.google.co.uk/scholar?q=%22FUSE-BEE%3A+Fusion+of+Subjective+Opinions+through+Behavior+Estimation%22&amp;btnG=&amp;hl=en&amp;as_sdt=0%2C5</t>
  </si>
  <si>
    <t>citation:doc-x0027-01</t>
  </si>
  <si>
    <t>https://scholar.google.co.uk/scholar?hl=en&amp;q=%22Hybrid+Rationale+and+Controlled+Natural+Language+for+Shared+Understanding%22&amp;btnG=&amp;as_sdt=1%2C5&amp;as_sdtp=</t>
  </si>
  <si>
    <t>citation:doc-x0028-01</t>
  </si>
  <si>
    <t>https://scholar.google.co.uk/scholar?hl=en&amp;q=%22Lessons+Learned+from+an+Evaluation+of+a+Shared+Representation+to+Support+Collaborative+Planning%22&amp;btnG=&amp;as_sdt=1%2C5&amp;as_sdtp=</t>
  </si>
  <si>
    <t>https://scholar.google.co.uk/scholar?q=An+Approach+to+Knowledge+Management+for+Coalition+Information+Sharing+at+the+Network+Edge&amp;btnG=&amp;hl=en&amp;as_sdt=0%2C5</t>
  </si>
  <si>
    <t>citation:doc-x0030-01</t>
  </si>
  <si>
    <t>https://scholar.google.co.uk/scholar?q=%22The+Network-Extended+Mind%22&amp;btnG=&amp;hl=en&amp;as_sdt=0%2C5</t>
  </si>
  <si>
    <t>citation:doc-x0031-01</t>
  </si>
  <si>
    <t>https://scholar.google.co.uk/scholar?q=%22Formulating Conceptual Models for Reasoning about a Civil-Military Domain using ITA Controlled English%22&amp;btnG=&amp;hl=en&amp;as_sdt=0%2C5</t>
  </si>
  <si>
    <t>https://scholar.google.co.uk/scholar?q=%22Sensor-Mission+Assignment+in+Constrained+Environments%22&amp;btnG=&amp;hl=en&amp;as_sdt=0%2C5</t>
  </si>
  <si>
    <t>citation:doc-x0035-01</t>
  </si>
  <si>
    <t>https://scholar.google.co.uk/scholar?q=%22Layered Percolation%22&amp;btnG=&amp;hl=en&amp;as_sdt=0%2C5</t>
  </si>
  <si>
    <t>citation:doc-x0037-01</t>
  </si>
  <si>
    <t>https://scholar.google.co.uk/scholar?q=%22Controlled and Uncontrolled English for Ontology Editing%22&amp;btnG=&amp;hl=en&amp;as_sdt=0%2C5</t>
  </si>
  <si>
    <t>citation:doc-x0038-01</t>
  </si>
  <si>
    <t>https://scholar.google.co.uk/scholar?q=%22Sensor and Information Fusion for Actionable Intelligence at the Tactical Edge%22&amp;btnG=&amp;hl=en&amp;as_sdt=0%2C5</t>
  </si>
  <si>
    <t>citation:doc-x0039-01</t>
  </si>
  <si>
    <t>https://scholar.google.co.uk/scholar?q=%22Interest-based Negotiation for Asset Sharing Policies%22&amp;btnG=&amp;hl=en&amp;as_sdt=0%2C5</t>
  </si>
  <si>
    <t>citation:doc-x0040-01</t>
  </si>
  <si>
    <t>https://scholar.google.co.uk/scholar?q=%22Distributed Decision Making at the Tactical Edge: An Agile Hybrid Human-Machine Processing Approach%22&amp;btnG=&amp;hl=en&amp;as_sdt=0%2C5</t>
  </si>
  <si>
    <t>https://scholar.google.co.uk/scholar?q=%22Efficient solutions framework for optimal multitask resource assignments for data fusion in wireless sensor networks%22&amp;btnG=&amp;hl=en&amp;as_sdt=0%2C5</t>
  </si>
  <si>
    <t>citation:doc-x0042-01</t>
  </si>
  <si>
    <t>https://scholar.google.co.uk/scholar?q=%22Coalition Warfare Program (CWP): secure policy controlled information query and dissemination over a Bices network%22&amp;btnG=&amp;hl=en&amp;as_sdt=0%2C5</t>
  </si>
  <si>
    <t>citation:doc-x0043-01</t>
  </si>
  <si>
    <t>https://scholar.google.co.uk/scholar?q=%22UK MoD Land Open Systems Architecture and Coalition Interoperability with the U.S.%22&amp;btnG=&amp;hl=en&amp;as_sdt=0%2C5</t>
  </si>
  <si>
    <t>citation:doc-x0044-01</t>
  </si>
  <si>
    <t>https://scholar.google.co.uk/scholar?q=%22Data, Information and Knowledge Collaboration, Shared Awareness, and Decision Making%22&amp;btnG=&amp;hl=en&amp;as_sdt=0%2C5</t>
  </si>
  <si>
    <t>citation:doc-x0045-01</t>
  </si>
  <si>
    <t>https://scholar.google.co.uk/scholar?q=%22Intent-based resource deployment in wireless sensor networks%22&amp;btnG=&amp;hl=en&amp;as_sdt=0%2C5</t>
  </si>
  <si>
    <t>citation:doc-x0046-01</t>
  </si>
  <si>
    <t>https://scholar.google.co.uk/scholar?q=%22Networking %26 Interoperability of Disparate Coalition Assets - A Coalition Warfare Program (CWP) Project%22&amp;btnG=&amp;hl=en&amp;as_sdt=0%2C5</t>
  </si>
  <si>
    <t>citation:doc-x0047-01</t>
  </si>
  <si>
    <t>https://scholar.google.co.uk/scholar?q=%22Coalition Warfare Program (CWP) Project on Policy Controlled Information Query &amp; Dissemination%22&amp;btnG=&amp;hl=en&amp;as_sdt=0%2C5</t>
  </si>
  <si>
    <t>citation:doc-x0048-01</t>
  </si>
  <si>
    <t>https://scholar.google.co.uk/scholar?q=%22Data and Information Sharing for Coalition Operations%22&amp;btnG=&amp;hl=en&amp;as_sdt=0%2C5</t>
  </si>
  <si>
    <t>citation:doc-x0049-01</t>
  </si>
  <si>
    <t>https://scholar.google.co.uk/scholar?q=%22Autonomous UAV Persistent Surveillance using Bio-Inspired Strategies with Distributed Sensor Networks, the Sensor Network Fabric, Phenomenology Based Sensing and Optimal Sensor Placement%22&amp;btnG=&amp;hl=en&amp;as_sdt=0%2C5</t>
  </si>
  <si>
    <t>citation:doc-x0050-01</t>
  </si>
  <si>
    <t>https://scholar.google.co.uk/scholar?q=%22QoI-based resource allocation for multi-target tracking in energy constrained sensor networks%22&amp;btnG=&amp;hl=en&amp;as_sdt=0%2C5</t>
  </si>
  <si>
    <t>citation:doc-x0051-01</t>
  </si>
  <si>
    <t>https://scholar.google.co.uk/scholar?q=%22The ITA Sensor Fabric %26 Policy Management Toolkit%22&amp;btnG=&amp;hl=en&amp;as_sdt=0%2C5</t>
  </si>
  <si>
    <t>citation:doc-x0052-01</t>
  </si>
  <si>
    <t>https://scholar.google.co.uk/scholar?q=%22Semantically enriched data for effective sensor data fusion%22&amp;btnG=&amp;hl=en&amp;as_sdt=0%2C5</t>
  </si>
  <si>
    <t>citation:doc-x0054-01</t>
  </si>
  <si>
    <t>https://scholar.google.co.uk/scholar?q=%22Policy enabled interconnection of sensor networks using a message queue infrastructure%22&amp;btnG=&amp;hl=en&amp;as_sdt=0%2C5</t>
  </si>
  <si>
    <t>citation:doc-x0055-01</t>
  </si>
  <si>
    <t>https://scholar.google.co.uk/scholar?q=%22The challenge of sensor information processing and delivery within network and information science research%22&amp;btnG=&amp;hl=en&amp;as_sdt=0%2C5</t>
  </si>
  <si>
    <t>citation:doc-x0056-01</t>
  </si>
  <si>
    <t>https://scholar.google.co.uk/scholar?q=%22US-UK ITA Sensor Information Processing %26 Delivery%22&amp;btnG=&amp;hl=en&amp;as_sdt=0%2C5</t>
  </si>
  <si>
    <t>citation:doc-x0057-01</t>
  </si>
  <si>
    <t>https://scholar.google.co.uk/scholar?q=%22Information Sharing for Collective Sensemaking%22&amp;btnG=&amp;hl=en&amp;as_sdt=0%2C5</t>
  </si>
  <si>
    <t>citation:doc-x0058-01</t>
  </si>
  <si>
    <t>https://scholar.google.co.uk/scholar?q=%22Place Recognition and Topological Map Learning in a Virtual Cognitive Robot%22&amp;btnG=&amp;hl=en&amp;as_sdt=0%2C5</t>
  </si>
  <si>
    <t>citation:doc-x0059-01</t>
  </si>
  <si>
    <t>https://scholar.google.co.uk/scholar?q=%22Situating Cognition within the Virtual World%22&amp;btnG=&amp;hl=en&amp;as_sdt=0%2C5</t>
  </si>
  <si>
    <t>citation:doc-x0060-01</t>
  </si>
  <si>
    <t>https://scholar.google.co.uk/scholar?q=%22Understanding and Shared Understanding in Military Coalitions%22&amp;btnG=&amp;hl=en&amp;as_sdt=0%2C5</t>
  </si>
  <si>
    <t>citation:doc-x0061-01</t>
  </si>
  <si>
    <t>https://scholar.google.co.uk/scholar?q=%22A Formal Context Representation Framework for Network-Enabled Recognition%22&amp;btnG=&amp;hl=en&amp;as_sdt=0%2C5</t>
  </si>
  <si>
    <t>citation:doc-x0062-01</t>
  </si>
  <si>
    <t>https://scholar.google.co.uk/scholar?q=%22Context Representation for the Semantic Web%22&amp;btnG=&amp;hl=en&amp;as_sdt=0%2C5</t>
  </si>
  <si>
    <t>citation:doc-x0063-01</t>
  </si>
  <si>
    <t>https://scholar.google.co.uk/scholar?q=%22The Cognitive Virtues of Dynamic Networks%22&amp;btnG=&amp;hl=en&amp;as_sdt=0%2C5</t>
  </si>
  <si>
    <t>citation:doc-x0064-01</t>
  </si>
  <si>
    <t>https://scholar.google.co.uk/scholar?q=%22Cultural Network Analysis: A Cognitive Approach to Cultural Modeling%22&amp;btnG=&amp;hl=en&amp;as_sdt=0%2C5</t>
  </si>
  <si>
    <t>citation:doc-x0065-01</t>
  </si>
  <si>
    <t>https://scholar.google.co.uk/scholar?q=%22Idea Propagation in Social Networks: The Role of \‘Cognitive Advantage\’%22&amp;btnG=&amp;hl=en&amp;as_sdt=0%2C5</t>
  </si>
  <si>
    <t>citation:doc-x0066-01</t>
  </si>
  <si>
    <t>https://scholar.google.co.uk/scholar?q=%22Cognition and the Web%22&amp;btnG=&amp;hl=en&amp;as_sdt=0%2C5</t>
  </si>
  <si>
    <t>citation:doc-x0067-01</t>
  </si>
  <si>
    <t>https://scholar.google.co.uk/scholar?q=%22Extended Memory, the Extended Mind, and the Nature of Technology-Mediated Memory Enhancement%22&amp;btnG=&amp;hl=en&amp;as_sdt=0%2C5</t>
  </si>
  <si>
    <t>citation:doc-x0068-01</t>
  </si>
  <si>
    <t>https://scholar.google.co.uk/scholar?q=%22Supporting Distributed Coalition Planning with Semantic Wiki Technology%22&amp;btnG=&amp;hl=en&amp;as_sdt=0%2C5</t>
  </si>
  <si>
    <t>citation:doc-x0069-01</t>
  </si>
  <si>
    <t>https://scholar.google.co.uk/scholar?q=%22Collective Cognition: Exploring the Dynamics of Belief Propagation and Collective Problem Solving in Multi-Agent Systems%22&amp;btnG=&amp;hl=en&amp;as_sdt=0%2C5</t>
  </si>
  <si>
    <t>citation:doc-x0070-01</t>
  </si>
  <si>
    <t>https://scholar.google.co.uk/scholar?q=%22Modelling the Dynamics of Collective Cognition: A Network-Based Approach to Socially-Mediated Cognitive Change%22&amp;btnG=&amp;hl=en&amp;as_sdt=0%2C5</t>
  </si>
  <si>
    <t>citation:doc-x0072-01</t>
  </si>
  <si>
    <t>https://scholar.google.co.uk/scholar?q=%22Generic Vehicle Architecture for the integration and sharing of in-vehicle and extra-vehicle sensors%22&amp;btnG=&amp;hl=en&amp;as_sdt=0%2C5</t>
  </si>
  <si>
    <t>citation:doc-x0073-01</t>
  </si>
  <si>
    <t>https://scholar.google.co.uk/scholar?q=%22Forecasting routes and self-adaptation in multi-hop wireless sensor networks%22&amp;btnG=&amp;hl=en&amp;as_sdt=0%2C5</t>
  </si>
  <si>
    <t>citation:doc-x0074-01</t>
  </si>
  <si>
    <t>https://scholar.google.co.uk/scholar?q=%22ITA/CWP and ICB technology demonstrator: a practical integration of disparate ISR/ISTAR assets and technologies%22&amp;btnG=&amp;hl=en&amp;as_sdt=0%2C5</t>
  </si>
  <si>
    <t>https://scholar.google.co.uk/scholar?q=%22Utility-based Bandwidth Adaptation in Mission-Oriented Wireless Sensor Networks%22&amp;btnG=&amp;hl=en&amp;as_sdt=0%2C5</t>
  </si>
  <si>
    <t>citation:doc-x0076-01</t>
  </si>
  <si>
    <t>https://scholar.google.co.uk/scholar?q=%22Practical experience in deploying and controlling the data sharing interoperability layer at the U.K. Land Open Systems Architecture (LOSA) field trials in October 2012%22&amp;btnG=&amp;hl=en&amp;as_sdt=0%2C5</t>
  </si>
  <si>
    <t>citation:doc-x0077-01</t>
  </si>
  <si>
    <t>https://scholar.google.co.uk/scholar?q=%22Characterization and definition of a software stack for a reference experimental framework%22&amp;btnG=&amp;hl=en&amp;as_sdt=0%2C5</t>
  </si>
  <si>
    <t>citation:doc-x0078-01</t>
  </si>
  <si>
    <t>https://scholar.google.co.uk/scholar?q=%22Practical use of a framework for network science experimentation%22&amp;btnG=&amp;hl=en&amp;as_sdt=0%2C5</t>
  </si>
  <si>
    <t>citation:doc-x0079-01</t>
  </si>
  <si>
    <t>https://scholar.google.co.uk/scholar?q=%22Computing on encrypted data and its applicability to a coalition operations environment%22&amp;btnG=&amp;hl=en&amp;as_sdt=0%2C5</t>
  </si>
  <si>
    <t>citation:doc-x0080-01</t>
  </si>
  <si>
    <t>https://scholar.google.co.uk/scholar?q=%22Network Science collaborative experimentation methods and tools to accelerate network science innovation within the ITA and NS-CTA%22&amp;btnG=&amp;hl=en&amp;as_sdt=0%2C5</t>
  </si>
  <si>
    <t>citation:doc-x0086-01</t>
  </si>
  <si>
    <t>https://scholar.google.co.uk/scholar?q=%22A cultural belief network simulator.%22&amp;btnG=&amp;hl=en&amp;as_sdt=0%2C5</t>
  </si>
  <si>
    <t>citation:doc-x0087-01</t>
  </si>
  <si>
    <t>https://scholar.google.co.uk/scholar?q=%22A case against routing-integrated time synchronization%22&amp;btnG=&amp;hl=en&amp;as_sdt=0%2C5</t>
  </si>
  <si>
    <t>citation:doc-x0088-01</t>
  </si>
  <si>
    <t>https://scholar.google.co.uk/scholar?q=%22A data-intensive lightweight semantic wrapper approach to aid information integration%22&amp;btnG=&amp;hl=en&amp;as_sdt=0%2C5</t>
  </si>
  <si>
    <t>citation:doc-x0089-01</t>
  </si>
  <si>
    <t>https://scholar.google.co.uk/scholar?q=%22A dialogue mechanism for public argumentation using conversation policies%22&amp;btnG=&amp;hl=en&amp;as_sdt=0%2C5</t>
  </si>
  <si>
    <t>citation:doc-x0090-01</t>
  </si>
  <si>
    <t>https://scholar.google.co.uk/scholar?q=%22A framework for culturally adaptive policy management in ad hoc collaborative contexts%22&amp;btnG=&amp;hl=en&amp;as_sdt=0%2C5</t>
  </si>
  <si>
    <t>citation:doc-x0091-01</t>
  </si>
  <si>
    <t>https://scholar.google.co.uk/scholar?q=%22A letter soup for the quality of information in sensor networks%22&amp;btnG=&amp;hl=en&amp;as_sdt=0%2C5</t>
  </si>
  <si>
    <t>citation:doc-x0092-01</t>
  </si>
  <si>
    <t>https://scholar.google.co.uk/scholar?q=%22A metadata calculus for secure information sharing%22&amp;btnG=&amp;hl=en&amp;as_sdt=0%2C5</t>
  </si>
  <si>
    <t>citation:doc-x0093-01</t>
  </si>
  <si>
    <t>https://scholar.google.co.uk/scholar?q=%22A model for integrating dialogue and the execution of joint plans%22&amp;btnG=&amp;hl=en&amp;as_sdt=0%2C5</t>
  </si>
  <si>
    <t>citation:doc-x0094-01</t>
  </si>
  <si>
    <t>https://scholar.google.co.uk/scholar?q=%22A new approach to architecture of sensor networks for mission-oriented applications%22&amp;btnG=&amp;hl=en&amp;as_sdt=0%2C5</t>
  </si>
  <si>
    <t>citation:doc-x0095-01</t>
  </si>
  <si>
    <t>https://scholar.google.co.uk/scholar?q=%22A new schema for security in dynamic uncertain environments%22&amp;btnG=&amp;hl=en&amp;as_sdt=0%2C5</t>
  </si>
  <si>
    <t>citation:doc-x0096-01</t>
  </si>
  <si>
    <t>https://scholar.google.co.uk/scholar?q=%22A note on information-theoretic secret key exchange over wireless channels%22&amp;btnG=&amp;hl=en&amp;as_sdt=0%2C5</t>
  </si>
  <si>
    <t>citation:doc-x0097-01</t>
  </si>
  <si>
    <t>https://scholar.google.co.uk/scholar?q=%22A perspective on trust, security and autonomous systems%22&amp;btnG=&amp;hl=en&amp;as_sdt=0%2C5</t>
  </si>
  <si>
    <t>citation:doc-x0098-01</t>
  </si>
  <si>
    <t>https://scholar.google.co.uk/scholar?q=%22A scalable micro wireless interconnect structure for CMPs%22&amp;btnG=&amp;hl=en&amp;as_sdt=0%2C5</t>
  </si>
  <si>
    <t>citation:doc-x0099-01</t>
  </si>
  <si>
    <t>https://scholar.google.co.uk/scholar?q=%22A sensor placement algorithm for redundant covering based on riesz energy minimization%22&amp;btnG=&amp;hl=en&amp;as_sdt=0%2C5</t>
  </si>
  <si>
    <t>citation:doc-x0100-01</t>
  </si>
  <si>
    <t>https://scholar.google.co.uk/scholar?q=%22A Study on Transmission Delay with Finite Coding Length in Wireless Cooperative Networks%22&amp;btnG=&amp;hl=en&amp;as_sdt=0%2C5</t>
  </si>
  <si>
    <t>citation:doc-x0101-01</t>
  </si>
  <si>
    <t>https://scholar.google.co.uk/scholar?q=%22A survey of sensor selection schemes in wireless sensor networks%22&amp;btnG=&amp;hl=en&amp;as_sdt=0%2C5</t>
  </si>
  <si>
    <t>citation:doc-x0102-01</t>
  </si>
  <si>
    <t>https://scholar.google.co.uk/scholar?q=%22A visual approach to semantic query design using a web-based graphical query designer%22&amp;btnG=&amp;hl=en&amp;as_sdt=0%2C5</t>
  </si>
  <si>
    <t>citation:doc-x0103-01</t>
  </si>
  <si>
    <t>https://scholar.google.co.uk/scholar?q=%22Adaptive packet prioritisation for wireless sensor networks%22&amp;btnG=&amp;hl=en&amp;as_sdt=0%2C5</t>
  </si>
  <si>
    <t>citation:doc-x0104-01</t>
  </si>
  <si>
    <t>https://scholar.google.co.uk/scholar?q=%22Agent Support for Policy-Driven Mission Planning Under Constraints%22&amp;btnG=&amp;hl=en&amp;as_sdt=0%2C5</t>
  </si>
  <si>
    <t>citation:doc-x0105-01</t>
  </si>
  <si>
    <t>https://scholar.google.co.uk/scholar?q=%22An analysis of the origin of ontology mismatches on the semantic web%22&amp;btnG=&amp;hl=en&amp;as_sdt=0%2C5</t>
  </si>
  <si>
    <t>citation:doc-x0106-01</t>
  </si>
  <si>
    <t>https://scholar.google.co.uk/scholar?q=%22An auto-delegation mechanism for access control systems%22&amp;btnG=&amp;hl=en&amp;as_sdt=0%2C5</t>
  </si>
  <si>
    <t>citation:doc-x0107-01</t>
  </si>
  <si>
    <t>https://scholar.google.co.uk/scholar?q=%22Analyzing the AIR language: a semantic web (production) rule language%22&amp;btnG=&amp;hl=en&amp;as_sdt=0%2C5</t>
  </si>
  <si>
    <t>citation:doc-x0108-01</t>
  </si>
  <si>
    <t>https://scholar.google.co.uk/scholar?q=%22Application of halftoning algorithms to location dependent sensor placement%22&amp;btnG=&amp;hl=en&amp;as_sdt=0%2C5</t>
  </si>
  <si>
    <t>citation:doc-x0109-01</t>
  </si>
  <si>
    <t>https://scholar.google.co.uk/scholar?q=%22Assessing the transmission of Commander's Intent%22&amp;btnG=&amp;hl=en&amp;as_sdt=0%2C5</t>
  </si>
  <si>
    <t>citation:doc-x0110-01</t>
  </si>
  <si>
    <t>https://scholar.google.co.uk/scholar?q=%22Assigning sensors to missions with demands%22&amp;btnG=&amp;hl=en&amp;as_sdt=0%2C5</t>
  </si>
  <si>
    <t>citation:doc-x0112-01</t>
  </si>
  <si>
    <t>https://scholar.google.co.uk/scholar?q=%22Authenticated broadcast with a partially compromised public-key infrastructure%22&amp;btnG=&amp;hl=en&amp;as_sdt=0%2C5</t>
  </si>
  <si>
    <t>citation:doc-x0114-01</t>
  </si>
  <si>
    <t>https://scholar.google.co.uk/scholar?q=%22Bounds on the gain of network coding and broadcasting in wireless networks%22&amp;btnG=&amp;hl=en&amp;as_sdt=0%2C5</t>
  </si>
  <si>
    <t>citation:doc-x0115-01</t>
  </si>
  <si>
    <t>https://scholar.google.co.uk/scholar?q=%22Brief announcement: configuration of actuated camera networks for multi-target coverage%22&amp;btnG=&amp;hl=en&amp;as_sdt=0%2C5</t>
  </si>
  <si>
    <t>citation:doc-x0116-01</t>
  </si>
  <si>
    <t>https://scholar.google.co.uk/scholar?q=%22Broadcast encryption with multiple trust authorities%22&amp;btnG=&amp;hl=en&amp;as_sdt=0%2C5</t>
  </si>
  <si>
    <t>citation:doc-x0118-01</t>
  </si>
  <si>
    <t>https://scholar.google.co.uk/scholar?q=%22Computing argumentation in polynomial number of bdd operations: A preliminary report%22&amp;btnG=&amp;hl=en&amp;as_sdt=0%2C5</t>
  </si>
  <si>
    <t>citation:doc-x0120-01</t>
  </si>
  <si>
    <t>https://scholar.google.co.uk/scholar?q=%22CORNER: a realistic urban propagation model for VANET%22&amp;btnG=&amp;hl=en&amp;as_sdt=0%2C5</t>
  </si>
  <si>
    <t>citation:doc-x0121-01</t>
  </si>
  <si>
    <t>https://scholar.google.co.uk/scholar?q=%22Cultural Issues in Coalition Planning%22&amp;btnG=&amp;hl=en&amp;as_sdt=0%2C5</t>
  </si>
  <si>
    <t>citation:doc-x0122-01</t>
  </si>
  <si>
    <t>https://scholar.google.co.uk/scholar?q=%22Cultural variations in collaborative decision making: driven by beliefs or social norms?%22&amp;btnG=&amp;hl=en&amp;as_sdt=0%2C5</t>
  </si>
  <si>
    <t>citation:doc-x0123-01</t>
  </si>
  <si>
    <t>https://scholar.google.co.uk/scholar?q=%22Dependable connection setup for network capabilities%22&amp;btnG=&amp;hl=en&amp;as_sdt=0%2C5</t>
  </si>
  <si>
    <t>citation:doc-x0124-01</t>
  </si>
  <si>
    <t>https://scholar.google.co.uk/scholar?q=%22Disentangling wireless sensing from mesh networking%22&amp;btnG=&amp;hl=en&amp;as_sdt=0%2C5</t>
  </si>
  <si>
    <t>citation:doc-x0125-01</t>
  </si>
  <si>
    <t>https://scholar.google.co.uk/scholar?q=%22Dynamic security policy learning%22&amp;btnG=&amp;hl=en&amp;as_sdt=0%2C5</t>
  </si>
  <si>
    <t>citation:doc-x0127-01</t>
  </si>
  <si>
    <t>https://scholar.google.co.uk/scholar?q=%22Efficient handling of adversary attacks in aggregation applications%22&amp;btnG=&amp;hl=en&amp;as_sdt=0%2C5</t>
  </si>
  <si>
    <t>citation:doc-x0128-01</t>
  </si>
  <si>
    <t>https://scholar.google.co.uk/scholar?q=%22Empirical study of topology effects on diagnosis in computer networks%22&amp;btnG=&amp;hl=en&amp;as_sdt=0%2C5</t>
  </si>
  <si>
    <t>citation:doc-x0129-01</t>
  </si>
  <si>
    <t>https://scholar.google.co.uk/scholar?q=%22Energy efficient sampling for event detection in wireless sensor networks%22&amp;btnG=&amp;hl=en&amp;as_sdt=0%2C5</t>
  </si>
  <si>
    <t>citation:doc-x0130-01</t>
  </si>
  <si>
    <t>https://scholar.google.co.uk/scholar?q=%22Energy saving in joint acoustic-video target detection and tracking%22&amp;btnG=&amp;hl=en&amp;as_sdt=0%2C5</t>
  </si>
  <si>
    <t>citation:doc-x0131-01</t>
  </si>
  <si>
    <t>https://scholar.google.co.uk/scholar?q=%22Enhanced perimeter routing for geographic forwarding protocols in urban vehicular scenarios%22&amp;btnG=&amp;hl=en&amp;as_sdt=0%2C5</t>
  </si>
  <si>
    <t>citation:doc-x0132-01</t>
  </si>
  <si>
    <t>https://scholar.google.co.uk/scholar?q=%22Enhancing Energy Efficiency for Routing in Sensor Networks with a Detection Mission%22&amp;btnG=&amp;hl=en&amp;as_sdt=0%2C5</t>
  </si>
  <si>
    <t>citation:doc-x0133-01</t>
  </si>
  <si>
    <t>https://scholar.google.co.uk/scholar?q=%22Error performance bounds for routing algorithms in wireless cooperative networks%22&amp;btnG=&amp;hl=en&amp;as_sdt=0%2C5</t>
  </si>
  <si>
    <t>citation:doc-x0134-01</t>
  </si>
  <si>
    <t>https://scholar.google.co.uk/scholar?q=%22FLoc: Dependable link access for legitimate traffic in flooding attacks%22&amp;btnG=&amp;hl=en&amp;as_sdt=0%2C5</t>
  </si>
  <si>
    <t>citation:doc-x0135-01</t>
  </si>
  <si>
    <t>https://scholar.google.co.uk/scholar?q=%22Friendship based routing in delay tolerant mobile social networks%22&amp;btnG=&amp;hl=en&amp;as_sdt=0%2C5</t>
  </si>
  <si>
    <t>citation:doc-x0136-01</t>
  </si>
  <si>
    <t>https://scholar.google.co.uk/scholar?q=%22Gconnect: A connectivity index for massive disk-resident graphs%22&amp;btnG=&amp;hl=en&amp;as_sdt=0%2C5</t>
  </si>
  <si>
    <t>citation:doc-x0138-01</t>
  </si>
  <si>
    <t>https://scholar.google.co.uk/scholar?q=%22Geometric considerations distribution of sensors in ad-hoc sensor networks%22&amp;btnG=&amp;hl=en&amp;as_sdt=0%2C5</t>
  </si>
  <si>
    <t>citation:doc-x0139-01</t>
  </si>
  <si>
    <t>https://scholar.google.co.uk/scholar?q=%22Inconsistency tolerance in weighted argument systems%22&amp;btnG=&amp;hl=en&amp;as_sdt=0%2C5</t>
  </si>
  <si>
    <t>citation:doc-x0141-01</t>
  </si>
  <si>
    <t>https://scholar.google.co.uk/scholar?q=%22Key establishment in heterogeneous self-organized networks%22&amp;btnG=&amp;hl=en&amp;as_sdt=0%2C5</t>
  </si>
  <si>
    <t>citation:doc-x0142-01</t>
  </si>
  <si>
    <t>https://scholar.google.co.uk/scholar?q=%22Management of coalition sensor networks%22&amp;btnG=&amp;hl=en&amp;as_sdt=0%2C5</t>
  </si>
  <si>
    <t>citation:doc-x0143-01</t>
  </si>
  <si>
    <t>https://scholar.google.co.uk/scholar?q=%22Managing Sensors and Information Sources Using Semantic Matchmaking and Argumentation%22&amp;btnG=&amp;hl=en&amp;as_sdt=0%2C5</t>
  </si>
  <si>
    <t>citation:doc-x0144-01</t>
  </si>
  <si>
    <t>https://scholar.google.co.uk/scholar?q=%22Markov process modeling and simulation for wireless sensor network life estimation with QoS constraints%22&amp;btnG=&amp;hl=en&amp;as_sdt=0%2C5</t>
  </si>
  <si>
    <t>citation:doc-x0145-01</t>
  </si>
  <si>
    <t>https://scholar.google.co.uk/scholar?q=%22Maximizing the data utility of a data archiving &amp; querying system through joint coding and scheduling%22&amp;btnG=&amp;hl=en&amp;as_sdt=0%2C5</t>
  </si>
  <si>
    <t>citation:doc-x0146-01</t>
  </si>
  <si>
    <t>https://scholar.google.co.uk/scholar?q=%22Maximum throughput of clandestine relay%22&amp;btnG=&amp;hl=en&amp;as_sdt=0%2C5</t>
  </si>
  <si>
    <t>citation:doc-x0147-01</t>
  </si>
  <si>
    <t>https://scholar.google.co.uk/scholar?q=%22Mobile Agents and the Deus Ex Machina%22&amp;btnG=&amp;hl=en&amp;as_sdt=0%2C5</t>
  </si>
  <si>
    <t>citation:doc-x0148-01</t>
  </si>
  <si>
    <t>https://scholar.google.co.uk/scholar?q=%22Mobility models for wireless networks: Challenges, Pitfalls, and Successes%22&amp;btnG=&amp;hl=en&amp;as_sdt=0%2C5</t>
  </si>
  <si>
    <t>citation:doc-x0149-01</t>
  </si>
  <si>
    <t>https://scholar.google.co.uk/scholar?q=%22Modeling distributed beamforming in wireless networks%22&amp;btnG=&amp;hl=en&amp;as_sdt=0%2C5</t>
  </si>
  <si>
    <t>citation:doc-x0150-01</t>
  </si>
  <si>
    <t>https://scholar.google.co.uk/scholar?q=%22Modeling of a bus-based disruption tolerant network trace%22&amp;btnG=&amp;hl=en&amp;as_sdt=0%2C5</t>
  </si>
  <si>
    <t>citation:doc-x0151-01</t>
  </si>
  <si>
    <t>https://scholar.google.co.uk/scholar?q=%22Modeling TCP in a Multi-rate Multi-user CDMA System%22&amp;btnG=&amp;hl=en&amp;as_sdt=0%2C5</t>
  </si>
  <si>
    <t>citation:doc-x0152-01</t>
  </si>
  <si>
    <t>https://scholar.google.co.uk/scholar?q=%22Modelling Uncertain and Time-Dependent Security Labels in MLS Systems%22&amp;btnG=&amp;hl=en&amp;as_sdt=0%2C5</t>
  </si>
  <si>
    <t>citation:doc-x0154-01</t>
  </si>
  <si>
    <t>https://scholar.google.co.uk/scholar?q=%22Multistatic Pulse-Wave Angle-of-arrival-assisted relative interferometric RADAR%22&amp;btnG=&amp;hl=en&amp;as_sdt=0%2C5</t>
  </si>
  <si>
    <t>citation:doc-x0155-01</t>
  </si>
  <si>
    <t>https://scholar.google.co.uk/scholar?q=%22On black-box constructions of predicate encryption from trapdoor permutations%22&amp;btnG=&amp;hl=en&amp;as_sdt=0%2C5</t>
  </si>
  <si>
    <t>citation:doc-x0156-01</t>
  </si>
  <si>
    <t>https://scholar.google.co.uk/scholar?q=%22On control of networks of dynamical systems%22&amp;btnG=&amp;hl=en&amp;as_sdt=0%2C5</t>
  </si>
  <si>
    <t>citation:doc-x0157-01</t>
  </si>
  <si>
    <t>https://scholar.google.co.uk/scholar?q=%22On high dimensional projected clustering of uncertain data streams%22&amp;btnG=&amp;hl=en&amp;as_sdt=0%2C5</t>
  </si>
  <si>
    <t>citation:doc-x0158-01</t>
  </si>
  <si>
    <t>https://scholar.google.co.uk/scholar?q=%22On optimising personal network size to manage information flow%22&amp;btnG=&amp;hl=en&amp;as_sdt=0%2C5</t>
  </si>
  <si>
    <t>citation:doc-x0159-01</t>
  </si>
  <si>
    <t>https://scholar.google.co.uk/scholar?q=%22On Segment-Based Stream Modeling and Its Applications.%22&amp;btnG=&amp;hl=en&amp;as_sdt=0%2C5</t>
  </si>
  <si>
    <t>citation:doc-x0160-01</t>
  </si>
  <si>
    <t>https://scholar.google.co.uk/scholar?q=%22On the application of network coding with diversity to opportunistic scheduling%22&amp;btnG=&amp;hl=en&amp;as_sdt=0%2C5</t>
  </si>
  <si>
    <t>citation:doc-x0161-01</t>
  </si>
  <si>
    <t>https://scholar.google.co.uk/scholar?q=%22On the benefits of argumentation-derived evidence in learning policies%22&amp;btnG=&amp;hl=en&amp;as_sdt=0%2C5</t>
  </si>
  <si>
    <t>citation:doc-x0162-01</t>
  </si>
  <si>
    <t>https://scholar.google.co.uk/scholar?q=%22On the maximum throughput of clandestine sensor networking%22&amp;btnG=&amp;hl=en&amp;as_sdt=0%2C5</t>
  </si>
  <si>
    <t>citation:doc-x0163-01</t>
  </si>
  <si>
    <t>https://scholar.google.co.uk/scholar?q=%22PCFG based synthetic mobility trace generation%22&amp;btnG=&amp;hl=en&amp;as_sdt=0%2C5</t>
  </si>
  <si>
    <t>citation:doc-x0165-01</t>
  </si>
  <si>
    <t>https://scholar.google.co.uk/scholar?q=%22POAF: Portable ontology aligned fragments%22&amp;btnG=&amp;hl=en&amp;as_sdt=0%2C5</t>
  </si>
  <si>
    <t>citation:doc-x0168-01</t>
  </si>
  <si>
    <t>https://scholar.google.co.uk/scholar?q=%22Privacy-preserving integrity-assured data aggregation in sensor networks%22&amp;btnG=&amp;hl=en&amp;as_sdt=0%2C5</t>
  </si>
  <si>
    <t>citation:doc-x0169-01</t>
  </si>
  <si>
    <t>https://scholar.google.co.uk/scholar?q=%22QoI-Aware Wireless Sensor Network Management for Dynamic Multi-Task Operations.%22&amp;btnG=&amp;hl=en&amp;as_sdt=0%2C5</t>
  </si>
  <si>
    <t>citation:doc-x0173-01</t>
  </si>
  <si>
    <t>https://scholar.google.co.uk/scholar?q=%22Route capacity estimation based admission control and QoS routing for mesh networks%22&amp;btnG=&amp;hl=en&amp;as_sdt=0%2C5</t>
  </si>
  <si>
    <t>citation:doc-x0174-01</t>
  </si>
  <si>
    <t>https://scholar.google.co.uk/scholar?q=%22Secure incentives for commercial ad dissemination in vehicular networks%22&amp;btnG=&amp;hl=en&amp;as_sdt=0%2C5</t>
  </si>
  <si>
    <t>citation:doc-x0175-01</t>
  </si>
  <si>
    <t>https://scholar.google.co.uk/scholar?q=%22Securing grid workflows with trusted computing%22&amp;btnG=&amp;hl=en&amp;as_sdt=0%2C5</t>
  </si>
  <si>
    <t>citation:doc-x0178-01</t>
  </si>
  <si>
    <t>https://scholar.google.co.uk/scholar?q=%22SET: Detecting node clones in sensor networks%22&amp;btnG=&amp;hl=en&amp;as_sdt=0%2C5</t>
  </si>
  <si>
    <t>citation:doc-x0179-01</t>
  </si>
  <si>
    <t>https://scholar.google.co.uk/scholar?q=%22Shipping to Streaming: Is this shift green?%22&amp;btnG=&amp;hl=en&amp;as_sdt=0%2C5</t>
  </si>
  <si>
    <t>citation:doc-x0180-01</t>
  </si>
  <si>
    <t>https://scholar.google.co.uk/scholar?q=%22Signing a linear subspace: Signature schemes for network coding%22&amp;btnG=&amp;hl=en&amp;as_sdt=0%2C5</t>
  </si>
  <si>
    <t>citation:doc-x0181-01</t>
  </si>
  <si>
    <t>https://scholar.google.co.uk/scholar?q=%22Size matters: variation in personal network size, personality and effect on information transmission%22&amp;btnG=&amp;hl=en&amp;as_sdt=0%2C5</t>
  </si>
  <si>
    <t>citation:doc-x0182-01</t>
  </si>
  <si>
    <t>https://scholar.google.co.uk/scholar?q=%22StochKit-FF: Efficient systems biology on multicore architectures%22&amp;btnG=&amp;hl=en&amp;as_sdt=0%2C5</t>
  </si>
  <si>
    <t>citation:doc-x0183-01</t>
  </si>
  <si>
    <t>https://scholar.google.co.uk/scholar?q=%22TCP performance in coded wireless mesh networks%22&amp;btnG=&amp;hl=en&amp;as_sdt=0%2C5</t>
  </si>
  <si>
    <t>citation:doc-x0184-01</t>
  </si>
  <si>
    <t>https://scholar.google.co.uk/scholar?q=%22The fable of the bees: incentivizing robust revocation decision making in ad hoc networks%22&amp;btnG=&amp;hl=en&amp;as_sdt=0%2C5</t>
  </si>
  <si>
    <t>citation:doc-x0185-01</t>
  </si>
  <si>
    <t>https://scholar.google.co.uk/scholar?q=%22Thin layer approach to increase reliability in ad hoc network%22&amp;btnG=&amp;hl=en&amp;as_sdt=0%2C5</t>
  </si>
  <si>
    <t>citation:doc-x0186-01</t>
  </si>
  <si>
    <t>https://scholar.google.co.uk/scholar?q=%22TO-GO: TOpology-assist geo-opportunistic routing in urban vehicular grids%22&amp;btnG=&amp;hl=en&amp;as_sdt=0%2C5</t>
  </si>
  <si>
    <t>citation:doc-x0187-01</t>
  </si>
  <si>
    <t>https://scholar.google.co.uk/scholar?q=%22Toward quality of information aware rate control for sensor networks%22&amp;btnG=&amp;hl=en&amp;as_sdt=0%2C5</t>
  </si>
  <si>
    <t>citation:doc-x0188-01</t>
  </si>
  <si>
    <t>https://scholar.google.co.uk/scholar?q=%22Trading in risk: Using markets to improve access control%22&amp;btnG=&amp;hl=en&amp;as_sdt=0%2C5</t>
  </si>
  <si>
    <t>citation:doc-x0189-01</t>
  </si>
  <si>
    <t>https://scholar.google.co.uk/scholar?q=%22Traffic analysis in anonymous MANETs%22&amp;btnG=&amp;hl=en&amp;as_sdt=0%2C5</t>
  </si>
  <si>
    <t>citation:doc-x0191-01</t>
  </si>
  <si>
    <t>https://scholar.google.co.uk/scholar?q=%22Universally-composable two-party computation in two rounds%22&amp;btnG=&amp;hl=en&amp;as_sdt=0%2C5</t>
  </si>
  <si>
    <t>citation:doc-x0192-01</t>
  </si>
  <si>
    <t>https://scholar.google.co.uk/scholar?q=%22Using Sensors Sensability Toward Sensor Localization and K-Coverage Problems%22&amp;btnG=&amp;hl=en&amp;as_sdt=0%2C5</t>
  </si>
  <si>
    <t>citation:doc-x0193-01</t>
  </si>
  <si>
    <t>https://scholar.google.co.uk/scholar?q=%22Utility Sampling for Trust Metrics in PKI.%22&amp;btnG=&amp;hl=en&amp;as_sdt=0%2C5</t>
  </si>
  <si>
    <t>citation:doc-x0194-01</t>
  </si>
  <si>
    <t>https://scholar.google.co.uk/scholar?q=%22XCXO: An ultra-low cost ultra-high accuracy clock system for wireless sensor networks in harsh remote outdoor environments%22&amp;btnG=&amp;hl=en&amp;as_sdt=0%2C5</t>
  </si>
  <si>
    <t>https://scholar.google.co.uk/scholar?q=%224GM@ 4GW: Implementing 4G in the Military Mobile Ad-Hoc Network Environment%22&amp;btnG=&amp;hl=en&amp;as_sdt=0%2C5</t>
  </si>
  <si>
    <t>https://scholar.google.co.uk/scholar?q=%22A cluster based approach toward sensor localization and K-coverage problems%22&amp;btnG=&amp;hl=en&amp;as_sdt=0%2C5</t>
  </si>
  <si>
    <t>https://scholar.google.co.uk/scholar?q=%22A guide to trust in mobile ad hoc networks%22&amp;btnG=&amp;hl=en&amp;as_sdt=0%2C5</t>
  </si>
  <si>
    <t>https://scholar.google.co.uk/scholar?q=%22A survey of uncertain data algorithms and applications%22&amp;btnG=&amp;hl=en&amp;as_sdt=0%2C5</t>
  </si>
  <si>
    <t>https://scholar.google.co.uk/scholar?q=%22ASR: anonymous and secure reporting of traffic forwarding activity in mobile ad hoc networks%22&amp;btnG=&amp;hl=en&amp;as_sdt=0%2C5</t>
  </si>
  <si>
    <t>https://scholar.google.co.uk/scholar?q=%22Computing with time: from neural networks to sensor networks%22&amp;btnG=&amp;hl=en&amp;as_sdt=0%2C5</t>
  </si>
  <si>
    <t>https://scholar.google.co.uk/scholar?q=%22Constrained-path labellings on graphs of bounded clique-width%22&amp;btnG=&amp;hl=en&amp;as_sdt=0%2C5</t>
  </si>
  <si>
    <t>https://scholar.google.co.uk/scholar?q=%22CORA: Collaborative Opportunistic Recovery Algorithm for loss controlled, delay bounded ad hoc multicast%22&amp;btnG=&amp;hl=en&amp;as_sdt=0%2C5</t>
  </si>
  <si>
    <t>https://scholar.google.co.uk/scholar?q=%22Dissemination and harvesting of urban data using vehicular sensing platforms%22&amp;btnG=&amp;hl=en&amp;as_sdt=0%2C5</t>
  </si>
  <si>
    <t>https://scholar.google.co.uk/scholar?q=%22Distributed energy-efficient target tracking with binary sensor networks%22&amp;btnG=&amp;hl=en&amp;as_sdt=0%2C5</t>
  </si>
  <si>
    <t>https://scholar.google.co.uk/scholar?q=%22Exploiting manufacturing variations for compensating environment-induced clock drift in time synchronization%22&amp;btnG=&amp;hl=en&amp;as_sdt=0%2C5</t>
  </si>
  <si>
    <t>https://scholar.google.co.uk/scholar?q=%22FleaNet: A virtual market place on vehicular networks%22&amp;btnG=&amp;hl=en&amp;as_sdt=0%2C5</t>
  </si>
  <si>
    <t>https://scholar.google.co.uk/scholar?q=%22GeoDTN+ Nav: geographic DTN routing with navigator prediction for urban vehicular environments%22&amp;btnG=&amp;hl=en&amp;as_sdt=0%2C5</t>
  </si>
  <si>
    <t>https://scholar.google.co.uk/scholar?q=%22Identity crisis: on the problem of namespace design for ID-PKC and MANETs%22&amp;btnG=&amp;hl=en&amp;as_sdt=0%2C5</t>
  </si>
  <si>
    <t>https://scholar.google.co.uk/scholar?q=%22Impact of network coding on system delay for multisource-multidestination scenarios%22&amp;btnG=&amp;hl=en&amp;as_sdt=0%2C5</t>
  </si>
  <si>
    <t>https://scholar.google.co.uk/scholar?q=%22Introduction to the Special Issue on Advances in Sensing, Information Processing and Decision Making for Coalition Operations within the US/UK%22&amp;btnG=&amp;hl=en&amp;as_sdt=0%2C5</t>
  </si>
  <si>
    <t>https://scholar.google.co.uk/scholar?q=%22More is more: The benefits of dense sensor deployment.%22&amp;btnG=&amp;hl=en&amp;as_sdt=0%2C5</t>
  </si>
  <si>
    <t>https://scholar.google.co.uk/scholar?q=%22On classification and segmentation of massive audio data streams%22&amp;btnG=&amp;hl=en&amp;as_sdt=0%2C5</t>
  </si>
  <si>
    <t>https://scholar.google.co.uk/scholar?q=%22On the interaction of clocks, power, and synchronization in duty-cycled embedded sensor nodes%22&amp;btnG=&amp;hl=en&amp;as_sdt=0%2C5</t>
  </si>
  <si>
    <t>https://scholar.google.co.uk/scholar?q=%22P2P content distribution to mobile bluetooth users%22&amp;btnG=&amp;hl=en&amp;as_sdt=0%2C5</t>
  </si>
  <si>
    <t>https://scholar.google.co.uk/scholar?q=%22Secure time synchronization in sensor networks%22&amp;btnG=&amp;hl=en&amp;as_sdt=0%2C5</t>
  </si>
  <si>
    <t>https://scholar.google.co.uk/scholar?q=%22Sensor-mission assignment in wireless sensor networks%22&amp;btnG=&amp;hl=en&amp;as_sdt=0%2C5</t>
  </si>
  <si>
    <t>https://scholar.google.co.uk/scholar?q=%22Temperature compensated time synchronization%22&amp;btnG=&amp;hl=en&amp;as_sdt=0%2C5</t>
  </si>
  <si>
    <t>https://scholar.google.co.uk/scholar?q=%22The Extended Mind and Network-Enabled Cognition%22&amp;btnG=&amp;hl=en&amp;as_sdt=0%2C5</t>
  </si>
  <si>
    <t>https://scholar.google.co.uk/scholar?q=%22Time-critical underwater sensor diffusion with no proactive exchanges and negligible reactive floods%22&amp;btnG=&amp;hl=en&amp;as_sdt=0%2C5</t>
  </si>
  <si>
    <t>https://scholar.google.co.uk/scholar?q=%22Transmit power estimation using spatially diverse measurements under wireless fading%22&amp;btnG=&amp;hl=en&amp;as_sdt=0%2C5</t>
  </si>
  <si>
    <t>https://scholar.google.co.uk/scholar?q=%22Two-Level ZigBee-4G Design for Secure and Efficient Communications in the Resources Constrained Military Environment%22&amp;btnG=&amp;hl=en&amp;as_sdt=0%2C5</t>
  </si>
  <si>
    <t>citation:doc-x0308-01</t>
  </si>
  <si>
    <t>https://scholar.google.co.uk/scholar?q=%22A decision-theoretic approach to resourcing plans in joint missions%22&amp;btnG=&amp;hl=en&amp;as_sdt=0%2C5</t>
  </si>
  <si>
    <t>citation:doc-x0309-01</t>
  </si>
  <si>
    <t>https://scholar.google.co.uk/scholar?q=%22A Declarative Framework for the Analysis of Routing Protocols%22&amp;btnG=&amp;hl=en&amp;as_sdt=0%2C5</t>
  </si>
  <si>
    <t>citation:doc-x0313-01</t>
  </si>
  <si>
    <t>https://scholar.google.co.uk/scholar?q=%22A first cut of the military QoI attribute space and hypothesis structure for abductive reasoning%22&amp;btnG=&amp;hl=en&amp;as_sdt=0%2C5</t>
  </si>
  <si>
    <t>citation:doc-x0314-01</t>
  </si>
  <si>
    <t>https://scholar.google.co.uk/scholar?q=%22A Fluid Model Study of Multipath Communication in a Hybrid Network for a Moving Convoy%22&amp;btnG=&amp;hl=en&amp;as_sdt=0%2C5</t>
  </si>
  <si>
    <t>https://scholar.google.co.uk/scholar?q=%22A Generic Admission-Control Methodology for Packet Networks%22&amp;btnG=&amp;hl=en&amp;as_sdt=0%2C5</t>
  </si>
  <si>
    <t>https://scholar.google.co.uk/scholar?q=%22A history of graph entropy measures%22&amp;btnG=&amp;hl=en&amp;as_sdt=0%2C5</t>
  </si>
  <si>
    <t>https://scholar.google.co.uk/scholar?q=%22A Markovian Model for Coarse Timescale Channel Variation in Wireless Networks%22&amp;btnG=&amp;hl=en&amp;as_sdt=0%2C5</t>
  </si>
  <si>
    <t>citation:doc-x0331-01</t>
  </si>
  <si>
    <t>https://scholar.google.co.uk/scholar?q=%22A new distributed optimization framework for hybrid ad-hoc networks%22&amp;btnG=&amp;hl=en&amp;as_sdt=0%2C5</t>
  </si>
  <si>
    <t>https://scholar.google.co.uk/scholar?q=%22A non-convex distributed optimization framework and its application to wireless ad-hoc networks%22&amp;btnG=&amp;hl=en&amp;as_sdt=0%2C5</t>
  </si>
  <si>
    <t>citation:doc-x0333-01</t>
  </si>
  <si>
    <t>https://scholar.google.co.uk/scholar?q=%22A novel relay assisted cooperative transmission protocol for wireless multiple access system%22&amp;btnG=&amp;hl=en&amp;as_sdt=0%2C5</t>
  </si>
  <si>
    <t>citation:doc-x0334-01</t>
  </si>
  <si>
    <t>https://scholar.google.co.uk/scholar?q=%22A performance analysis study of multipath routing in a hybrid network with mobile users%22&amp;btnG=&amp;hl=en&amp;as_sdt=0%2C5</t>
  </si>
  <si>
    <t>https://scholar.google.co.uk/scholar?q=%22Adaptive in-network processing for bandwidth and energy constrained mission-oriented multihop wireless networks%22&amp;btnG=&amp;hl=en&amp;as_sdt=0%2C5</t>
  </si>
  <si>
    <t>https://scholar.google.co.uk/scholar?q=%22Adaptive packet prioritisation for large wireless sensor networks%22&amp;btnG=&amp;hl=en&amp;as_sdt=0%2C5</t>
  </si>
  <si>
    <t>citation:doc-x0350-01</t>
  </si>
  <si>
    <t>https://scholar.google.co.uk/scholar?q=%22Adaptive rate allocation for multiple TCP sources in wireless networks%22&amp;btnG=&amp;hl=en&amp;as_sdt=0%2C5</t>
  </si>
  <si>
    <t>citation:doc-x0351-01</t>
  </si>
  <si>
    <t>https://scholar.google.co.uk/scholar?q=%22Adaptive remote decision making under quality of information requirements%22&amp;btnG=&amp;hl=en&amp;as_sdt=0%2C5</t>
  </si>
  <si>
    <t>citation:doc-x0353-01</t>
  </si>
  <si>
    <t>https://scholar.google.co.uk/scholar?q=%22Adaptively secure broadcast, revisited%22&amp;btnG=&amp;hl=en&amp;as_sdt=0%2C5</t>
  </si>
  <si>
    <t>citation:doc-x0356-01</t>
  </si>
  <si>
    <t>https://scholar.google.co.uk/scholar?q=%22Adversaries' Holy Grail: access control analytics%22&amp;btnG=&amp;hl=en&amp;as_sdt=0%2C5</t>
  </si>
  <si>
    <t>citation:doc-x0362-01</t>
  </si>
  <si>
    <t>https://scholar.google.co.uk/scholar?q=%22Agent-oriented incremental team and activity recognition%22&amp;btnG=&amp;hl=en&amp;as_sdt=0%2C5</t>
  </si>
  <si>
    <t>citation:doc-x0372-01</t>
  </si>
  <si>
    <t>https://scholar.google.co.uk/scholar?q=%22An Interoperable Framework for Distributed Coalition Planning: The Collaborative Planning Model%22&amp;btnG=&amp;hl=en&amp;as_sdt=0%2C5</t>
  </si>
  <si>
    <t>citation:doc-x0375-01</t>
  </si>
  <si>
    <t>https://scholar.google.co.uk/scholar?q=%22An operational framework to reason about policy behavior in trust management systems (High-level Work)%22&amp;btnG=&amp;hl=en&amp;as_sdt=0%2C5</t>
  </si>
  <si>
    <t>citation:doc-x0377-01</t>
  </si>
  <si>
    <t>https://scholar.google.co.uk/scholar?q=%22Analysis and Refinement of Temporal Relation Aggregation%22&amp;btnG=&amp;hl=en&amp;as_sdt=0%2C5</t>
  </si>
  <si>
    <t>citation:doc-x0380-01</t>
  </si>
  <si>
    <t>https://scholar.google.co.uk/scholar?q=%22Analysis of IT resource performance to business organization%22&amp;btnG=&amp;hl=en&amp;as_sdt=0%2C5</t>
  </si>
  <si>
    <t>https://scholar.google.co.uk/scholar?q=%22Anomaly detection in information streams without prior domain knowledge%22&amp;btnG=&amp;hl=en&amp;as_sdt=0%2C5</t>
  </si>
  <si>
    <t>citation:doc-x0383-01</t>
  </si>
  <si>
    <t>https://scholar.google.co.uk/scholar?q=%22AnonyCast: privacy-preserving location distribution for anonymous crowd tracking systems%22&amp;btnG=&amp;hl=en&amp;as_sdt=0%2C5</t>
  </si>
  <si>
    <t>citation:doc-x0384-01</t>
  </si>
  <si>
    <t>https://scholar.google.co.uk/scholar?q=%22Anonymizing Location Information of a Mobile Device%22&amp;btnG=&amp;hl=en&amp;as_sdt=0%2C5</t>
  </si>
  <si>
    <t>citation:doc-x0385-01</t>
  </si>
  <si>
    <t>https://scholar.google.co.uk/scholar?q=%22Anonymous broadcast encryption: Adaptive security and efficient constructions in the standard model%22&amp;btnG=&amp;hl=en&amp;as_sdt=0%2C5</t>
  </si>
  <si>
    <t>citation:doc-x0389-01</t>
  </si>
  <si>
    <t>https://scholar.google.co.uk/scholar?q=%22Approximation methods for infinite Bayesian Stackelberg games: Modeling distributional payoff uncertainty%22&amp;btnG=&amp;hl=en&amp;as_sdt=0%2C5</t>
  </si>
  <si>
    <t>citation:doc-x0391-01</t>
  </si>
  <si>
    <t>https://scholar.google.co.uk/scholar?q=%22Argumentation strategies for plan resourcing%22&amp;btnG=&amp;hl=en&amp;as_sdt=0%2C5</t>
  </si>
  <si>
    <t>https://scholar.google.co.uk/scholar?q=%22Artificial noise generation from cooperative relays for everlasting secrecy in two-hop wireless networks%22&amp;btnG=&amp;hl=en&amp;as_sdt=0%2C5</t>
  </si>
  <si>
    <t>citation:doc-x0396-01</t>
  </si>
  <si>
    <t>https://scholar.google.co.uk/scholar?q=%22Assessing response routes in a network%22&amp;btnG=&amp;hl=en&amp;as_sdt=0%2C5</t>
  </si>
  <si>
    <t>citation:doc-x0401-01</t>
  </si>
  <si>
    <t>https://scholar.google.co.uk/scholar?q=%22Assigning gateways for heterogeneous wireless mobile networks%22&amp;btnG=&amp;hl=en&amp;as_sdt=0%2C5</t>
  </si>
  <si>
    <t>citation:doc-x0403-01</t>
  </si>
  <si>
    <t>https://scholar.google.co.uk/scholar?q=%22Automated data conversion and route tracking in distributed databases%22&amp;btnG=&amp;hl=en&amp;as_sdt=0%2C5</t>
  </si>
  <si>
    <t>citation:doc-x0404-01</t>
  </si>
  <si>
    <t>https://scholar.google.co.uk/scholar?q=%22Automated data source assurance in distributed databases%22&amp;btnG=&amp;hl=en&amp;as_sdt=0%2C5</t>
  </si>
  <si>
    <t>citation:doc-x0406-01</t>
  </si>
  <si>
    <t>https://scholar.google.co.uk/scholar?q=%22Automated propagation of non-conflicting queries in distributed databases%22&amp;btnG=&amp;hl=en&amp;as_sdt=0%2C5</t>
  </si>
  <si>
    <t>citation:doc-x0407-01</t>
  </si>
  <si>
    <t>https://scholar.google.co.uk/scholar?q=%22Automated query path reporting in distributed databases%22&amp;btnG=&amp;hl=en&amp;as_sdt=0%2C5</t>
  </si>
  <si>
    <t>citation:doc-x0408-01</t>
  </si>
  <si>
    <t>https://scholar.google.co.uk/scholar?q=%22Autonomous configuration of spatially aware sensor services in service oriented WSNs%22&amp;btnG=&amp;hl=en&amp;as_sdt=0%2C5</t>
  </si>
  <si>
    <t>citation:doc-x0416-01</t>
  </si>
  <si>
    <t>https://scholar.google.co.uk/scholar?q=%22Bounded-budget monitor deployment in monitoring networks via end-to-end probes%22&amp;btnG=&amp;hl=en&amp;as_sdt=0%2C5</t>
  </si>
  <si>
    <t>https://scholar.google.co.uk/scholar?q=%22Bounds on the moduli of polynomial zeros%22&amp;btnG=&amp;hl=en&amp;as_sdt=0%2C5</t>
  </si>
  <si>
    <t>citation:doc-x0419-01</t>
  </si>
  <si>
    <t>https://scholar.google.co.uk/scholar?q=%22Broadcast scheduling with data bundles%22&amp;btnG=&amp;hl=en&amp;as_sdt=0%2C5</t>
  </si>
  <si>
    <t>https://scholar.google.co.uk/scholar?q=%22Broadcasting info-pages to sensors: efficiency versus energy conservation%22&amp;btnG=&amp;hl=en&amp;as_sdt=0%2C5</t>
  </si>
  <si>
    <t>citation:doc-x0426-01</t>
  </si>
  <si>
    <t>https://scholar.google.co.uk/scholar?q=%22CAreDroid: Adaptation Framework for Android Context-Aware Applications%22&amp;btnG=&amp;hl=en&amp;as_sdt=0%2C5</t>
  </si>
  <si>
    <t>citation:doc-x0429-01</t>
  </si>
  <si>
    <t>https://scholar.google.co.uk/scholar?q=%22Characterizing and selecting providers of relevant information based on quality of information metrics%22&amp;btnG=&amp;hl=en&amp;as_sdt=0%2C5</t>
  </si>
  <si>
    <t>citation:doc-x0430-01</t>
  </si>
  <si>
    <t>https://scholar.google.co.uk/scholar?q=%22Clustering in cooperative networks%22&amp;btnG=&amp;hl=en&amp;as_sdt=0%2C5</t>
  </si>
  <si>
    <t>https://scholar.google.co.uk/scholar?q=%22Cognitive and self-selective routing for sensor networks%22&amp;btnG=&amp;hl=en&amp;as_sdt=0%2C5</t>
  </si>
  <si>
    <t>citation:doc-x0434-01</t>
  </si>
  <si>
    <t>https://scholar.google.co.uk/scholar?q=%22Combining semantic web and logic programming for agent reasoning%22&amp;btnG=&amp;hl=en&amp;as_sdt=0%2C5</t>
  </si>
  <si>
    <t>https://scholar.google.co.uk/scholar?q=%22ComboCoding: Combined Intra/Inter-Flow Network Coding for TCP over Multihop Lossy Wireless Networks%22&amp;btnG=&amp;hl=en&amp;as_sdt=0%2C5</t>
  </si>
  <si>
    <t>https://scholar.google.co.uk/scholar?q=%22Control-theoretic utility maximization in multihop wireless networks under mission dynamics%22&amp;btnG=&amp;hl=en&amp;as_sdt=0%2C5</t>
  </si>
  <si>
    <t>citation:doc-x0457-01</t>
  </si>
  <si>
    <t>https://scholar.google.co.uk/scholar?q=%22Conversational intelligence analysis%22&amp;btnG=&amp;hl=en&amp;as_sdt=0%2C5</t>
  </si>
  <si>
    <t>citation:doc-x0458-01</t>
  </si>
  <si>
    <t>https://scholar.google.co.uk/scholar?q=%22Cooperative jamming to improve the connectivity of the 1-D secrecy graph%22&amp;btnG=&amp;hl=en&amp;as_sdt=0%2C5</t>
  </si>
  <si>
    <t>https://scholar.google.co.uk/scholar?q=%22Cooperative sensor anomaly detection using global information%22&amp;btnG=&amp;hl=en&amp;as_sdt=0%2C5</t>
  </si>
  <si>
    <t>https://scholar.google.co.uk/scholar?q=%22Cooperative wireless networks: from radio to network protocol designs%22&amp;btnG=&amp;hl=en&amp;as_sdt=0%2C5</t>
  </si>
  <si>
    <t>citation:doc-x0466-01</t>
  </si>
  <si>
    <t>https://scholar.google.co.uk/scholar?q=%22Crowdsourcing for Argument Verification in Intelligence Analysis%22&amp;btnG=&amp;hl=en&amp;as_sdt=0%2C5</t>
  </si>
  <si>
    <t>citation:doc-x0469-01</t>
  </si>
  <si>
    <t>https://scholar.google.co.uk/scholar?q=%22Data collection from networked devices%22&amp;btnG=&amp;hl=en&amp;as_sdt=0%2C5</t>
  </si>
  <si>
    <t>citation:doc-x0474-01</t>
  </si>
  <si>
    <t>https://scholar.google.co.uk/scholar?q=%22Decorrelating WSN traffic patterns with maximally uninformative constrained routing%22&amp;btnG=&amp;hl=en&amp;as_sdt=0%2C5</t>
  </si>
  <si>
    <t>citation:doc-x0478-01</t>
  </si>
  <si>
    <t>https://scholar.google.co.uk/scholar?q=%22Delay Tolerant Harvesting of Monitoring Data for MANET-Hosted Service-Based Systems%22&amp;btnG=&amp;hl=en&amp;as_sdt=0%2C5</t>
  </si>
  <si>
    <t>citation:doc-x0480-01</t>
  </si>
  <si>
    <t>https://scholar.google.co.uk/scholar?q=%22Delegatable homomorphic encryption with applications to secure outsourcing of computation%22&amp;btnG=&amp;hl=en&amp;as_sdt=0%2C5</t>
  </si>
  <si>
    <t>citation:doc-x0482-01</t>
  </si>
  <si>
    <t>https://scholar.google.co.uk/scholar?q=%22Demystifying privacy in sensory data: A qoi based approach%22&amp;btnG=&amp;hl=en&amp;as_sdt=0%2C5</t>
  </si>
  <si>
    <t>citation:doc-x0483-01</t>
  </si>
  <si>
    <t>https://scholar.google.co.uk/scholar?q=%22Dependence Makes You Vulnerable: Differential Privacy Under Dependent Tuples%22&amp;btnG=&amp;hl=en&amp;as_sdt=0%2C5</t>
  </si>
  <si>
    <t>citation:doc-x0484-01</t>
  </si>
  <si>
    <t>https://scholar.google.co.uk/scholar?q=%22Design and Evaluation of SensorSafe: A Framework for Achieving Behavioral Privacy in Sharing Personal Sensory Information%22&amp;btnG=&amp;hl=en&amp;as_sdt=0%2C5</t>
  </si>
  <si>
    <t>citation:doc-x0486-01</t>
  </si>
  <si>
    <t>https://scholar.google.co.uk/scholar?q=%22Design, Implementation, and Evaluation of Energy-Aware Multi-Path TCP%22&amp;btnG=&amp;hl=en&amp;as_sdt=0%2C5</t>
  </si>
  <si>
    <t>citation:doc-x0487-01</t>
  </si>
  <si>
    <t>https://scholar.google.co.uk/scholar?q=%22Development of a controlled natural language interface for semantic mediawiki%22&amp;btnG=&amp;hl=en&amp;as_sdt=0%2C5</t>
  </si>
  <si>
    <t>citation:doc-x0492-01</t>
  </si>
  <si>
    <t>https://scholar.google.co.uk/scholar?q=%22Discovering network topology from routing information%22&amp;btnG=&amp;hl=en&amp;as_sdt=0%2C5</t>
  </si>
  <si>
    <t>citation:doc-x0497-01</t>
  </si>
  <si>
    <t>https://scholar.google.co.uk/scholar?q=%22Distributed Overlay Construction to Support Policy-Based Access Control%22&amp;btnG=&amp;hl=en&amp;as_sdt=0%2C5</t>
  </si>
  <si>
    <t>citation:doc-x0499-01</t>
  </si>
  <si>
    <t>https://scholar.google.co.uk/scholar?q=%22Distributed policy based access to networked heterogeneous ISR data sources%22&amp;btnG=&amp;hl=en&amp;as_sdt=0%2C5</t>
  </si>
  <si>
    <t>https://scholar.google.co.uk/scholar?q=%22Distributed stochastic cross-layer optimization for multi-hop wireless networks with cooperative communications%22&amp;btnG=&amp;hl=en&amp;as_sdt=0%2C5</t>
  </si>
  <si>
    <t>citation:doc-x0507-01</t>
  </si>
  <si>
    <t>https://scholar.google.co.uk/scholar?q=%22Dynamic context definitions in distributed databases%22&amp;btnG=&amp;hl=en&amp;as_sdt=0%2C5</t>
  </si>
  <si>
    <t>citation:doc-x0509-01</t>
  </si>
  <si>
    <t>https://scholar.google.co.uk/scholar?q=%22Dynamic graph properties of mobile networks under levy walk mobility%22&amp;btnG=&amp;hl=en&amp;as_sdt=0%2C5</t>
  </si>
  <si>
    <t>citation:doc-x0512-01</t>
  </si>
  <si>
    <t>https://scholar.google.co.uk/scholar?q=%22Dynamic placement of composite software services in hybrid wireless networks%22&amp;btnG=&amp;hl=en&amp;as_sdt=0%2C5</t>
  </si>
  <si>
    <t>citation:doc-x0523-01</t>
  </si>
  <si>
    <t>https://scholar.google.co.uk/scholar?q=%22Enabling connections for use with a network%22&amp;btnG=&amp;hl=en&amp;as_sdt=0%2C5</t>
  </si>
  <si>
    <t>citation:doc-x0524-01</t>
  </si>
  <si>
    <t>https://scholar.google.co.uk/scholar?q=%22Enabling Intelligence Analysis through Agent-Support: the CISpaces Toolkit%22&amp;btnG=&amp;hl=en&amp;as_sdt=0%2C5</t>
  </si>
  <si>
    <t>https://scholar.google.co.uk/scholar?q=%22Evaluating temporal robustness of mobile networks%22&amp;btnG=&amp;hl=en&amp;as_sdt=0%2C5</t>
  </si>
  <si>
    <t>citation:doc-x0543-01</t>
  </si>
  <si>
    <t>https://scholar.google.co.uk/scholar?q=%22Examining the Perception of Miscommunication in a Coalition Environment ID# 072%22&amp;btnG=&amp;hl=en&amp;as_sdt=0%2C5</t>
  </si>
  <si>
    <t>citation:doc-x0544-01</t>
  </si>
  <si>
    <t>https://scholar.google.co.uk/scholar?q=%22Experiences Deploying a Transparent Split TCP Middlebox and the Implications for NFV%22&amp;btnG=&amp;hl=en&amp;as_sdt=0%2C5</t>
  </si>
  <si>
    <t>citation:doc-x0548-01</t>
  </si>
  <si>
    <t>https://scholar.google.co.uk/scholar?q=%22Experimental Results on the use of Genetic Algorithms for Scaling Virtualized Network Functions%22&amp;btnG=&amp;hl=en&amp;as_sdt=0%2C5</t>
  </si>
  <si>
    <t>citation:doc-x0551-01</t>
  </si>
  <si>
    <t>https://scholar.google.co.uk/scholar?q=%22Exploiting domain knowledge in making delegation decisions%22&amp;btnG=&amp;hl=en&amp;as_sdt=0%2C5</t>
  </si>
  <si>
    <t>https://scholar.google.co.uk/scholar?q=%22Federating Policy-Driven Autonomous Systems: Interaction Specification and Management Patterns%22&amp;btnG=&amp;hl=en&amp;as_sdt=0%2C5</t>
  </si>
  <si>
    <t>citation:doc-x0560-01</t>
  </si>
  <si>
    <t>https://scholar.google.co.uk/scholar?q=%22Fine-grained policy control in US Army Research Laboratory (ARL) multimodal signatures database%22&amp;btnG=&amp;hl=en&amp;as_sdt=0%2C5</t>
  </si>
  <si>
    <t>https://scholar.google.co.uk/scholar?q=%22Frequency quorum rendezvous for fast and resilient key establishment under jamming attack%22&amp;btnG=&amp;hl=en&amp;as_sdt=0%2C5</t>
  </si>
  <si>
    <t>citation:doc-x0572-01</t>
  </si>
  <si>
    <t>https://scholar.google.co.uk/scholar?q=%22Functional encryption for threshold functions (or fuzzy ibe) from lattices%22&amp;btnG=&amp;hl=en&amp;as_sdt=0%2C5</t>
  </si>
  <si>
    <t>https://scholar.google.co.uk/scholar?q=%22Generalized graph entropies%22&amp;btnG=&amp;hl=en&amp;as_sdt=0%2C5</t>
  </si>
  <si>
    <t>https://scholar.google.co.uk/scholar?q=%22Generalized Sequential Slotted Amplify and Forward Strategy in Cooperative Communications%22&amp;btnG=&amp;hl=en&amp;as_sdt=0%2C5</t>
  </si>
  <si>
    <t>citation:doc-x0581-01</t>
  </si>
  <si>
    <t>https://scholar.google.co.uk/scholar?q=%22Global attestation of location in mobile devices%22&amp;btnG=&amp;hl=en&amp;as_sdt=0%2C5</t>
  </si>
  <si>
    <t>citation:doc-x0586-01</t>
  </si>
  <si>
    <t>https://scholar.google.co.uk/scholar?q=%22Handling Uncertainty: An Extension of DL-Lite with Subjective Logic%22&amp;btnG=&amp;hl=en&amp;as_sdt=0%2C5</t>
  </si>
  <si>
    <t>citation:doc-x0588-01</t>
  </si>
  <si>
    <t>https://scholar.google.co.uk/scholar?q=%22Hardness of learning problems over Burnside groups of exponent 3%22&amp;btnG=&amp;hl=en&amp;as_sdt=0%2C5</t>
  </si>
  <si>
    <t>citation:doc-x0594-01</t>
  </si>
  <si>
    <t>https://scholar.google.co.uk/scholar?q=%22How to aggregate the cl signature scheme%22&amp;btnG=&amp;hl=en&amp;as_sdt=0%2C5</t>
  </si>
  <si>
    <t>https://scholar.google.co.uk/scholar?q=%22Impact of imperfect channel state information on bi-directional communications with relay selection%22&amp;btnG=&amp;hl=en&amp;as_sdt=0%2C5</t>
  </si>
  <si>
    <t>https://scholar.google.co.uk/scholar?q=%22Improving acoustic vehicle classification by information fusion%22&amp;btnG=&amp;hl=en&amp;as_sdt=0%2C5</t>
  </si>
  <si>
    <t>citation:doc-x0612-01</t>
  </si>
  <si>
    <t>https://scholar.google.co.uk/scholar?q=%22Improving WSN application QoS and network lifetime management using SOA strategies%22&amp;btnG=&amp;hl=en&amp;as_sdt=0%2C5</t>
  </si>
  <si>
    <t>citation:doc-x0614-01</t>
  </si>
  <si>
    <t>https://scholar.google.co.uk/scholar?q=%22Increasing resilience of a network service%22&amp;btnG=&amp;hl=en&amp;as_sdt=0%2C5</t>
  </si>
  <si>
    <t>citation:doc-x0624-01</t>
  </si>
  <si>
    <t>https://scholar.google.co.uk/scholar?q=%22Integridb: Verifiable SQL for outsourced databases%22&amp;btnG=&amp;hl=en&amp;as_sdt=0%2C5</t>
  </si>
  <si>
    <t>citation:doc-x0627-01</t>
  </si>
  <si>
    <t>https://scholar.google.co.uk/scholar?q=%22Inter-Domain Path Authentication in Tactical MANETs%22&amp;btnG=&amp;hl=en&amp;as_sdt=0%2C5</t>
  </si>
  <si>
    <t>citation:doc-x0628-01</t>
  </si>
  <si>
    <t>https://scholar.google.co.uk/scholar?q=%22Interest propagation in named data manets%22&amp;btnG=&amp;hl=en&amp;as_sdt=0%2C5</t>
  </si>
  <si>
    <t>citation:doc-x0630-01</t>
  </si>
  <si>
    <t>https://scholar.google.co.uk/scholar?q=%22ipShield: A Framework For Enforcing Context-Aware Privacy on Android%22&amp;btnG=&amp;hl=en&amp;as_sdt=0%2C5</t>
  </si>
  <si>
    <t>citation:doc-x0634-01</t>
  </si>
  <si>
    <t>https://scholar.google.co.uk/scholar?q=%22Joint beamforming and power allocation for MIMO two-way relaying channels%22&amp;btnG=&amp;hl=en&amp;as_sdt=0%2C5</t>
  </si>
  <si>
    <t>https://scholar.google.co.uk/scholar?q=%22Joint beamforming and power management for nonregenerative MIMO two-way relaying channels%22&amp;btnG=&amp;hl=en&amp;as_sdt=0%2C5</t>
  </si>
  <si>
    <t>https://scholar.google.co.uk/scholar?q=%22Limitations of generating a secret key using wireless fading under active adversary%22&amp;btnG=&amp;hl=en&amp;as_sdt=0%2C5</t>
  </si>
  <si>
    <t>https://scholar.google.co.uk/scholar?q=%22Linear precoded cooperative transmission protocol for wireless broadcast channels%22&amp;btnG=&amp;hl=en&amp;as_sdt=0%2C5</t>
  </si>
  <si>
    <t>citation:doc-x0657-01</t>
  </si>
  <si>
    <t>https://scholar.google.co.uk/scholar?q=%22Low-Overhead Gaussian-Process Training for Indoor Positioning Systems%22&amp;btnG=&amp;hl=en&amp;as_sdt=0%2C5</t>
  </si>
  <si>
    <t>citation:doc-x0660-01</t>
  </si>
  <si>
    <t>https://scholar.google.co.uk/scholar?q=%22Management of logical statements in a distributed database environment%22&amp;btnG=&amp;hl=en&amp;as_sdt=0%2C5</t>
  </si>
  <si>
    <t>https://scholar.google.co.uk/scholar?q=%22Masquerade mimicry attack detection: A randomised approach%22&amp;btnG=&amp;hl=en&amp;as_sdt=0%2C5</t>
  </si>
  <si>
    <t>citation:doc-x0668-01</t>
  </si>
  <si>
    <t>https://scholar.google.co.uk/scholar?q=%22MECA: Mobile Edge Capture and Analysis Middleware for Social Sensing Applications%22&amp;btnG=&amp;hl=en&amp;as_sdt=0%2C5</t>
  </si>
  <si>
    <t>citation:doc-x0669-01</t>
  </si>
  <si>
    <t>https://scholar.google.co.uk/scholar?q=%22Mechanism for content management in wireless mobile networks%22&amp;btnG=&amp;hl=en&amp;as_sdt=0%2C5</t>
  </si>
  <si>
    <t>citation:doc-x0670-01</t>
  </si>
  <si>
    <t>https://scholar.google.co.uk/scholar?q=%22Method and apparatus for detection of malicious behavior in mobile ad-hoc networks%22&amp;btnG=&amp;hl=en&amp;as_sdt=0%2C5</t>
  </si>
  <si>
    <t>citation:doc-x0671-01</t>
  </si>
  <si>
    <t>https://scholar.google.co.uk/scholar?q=%22Method and system for deducing network routes by querying routers%22&amp;btnG=&amp;hl=en&amp;as_sdt=0%2C5</t>
  </si>
  <si>
    <t>citation:doc-x0672-01</t>
  </si>
  <si>
    <t>https://scholar.google.co.uk/scholar?q=%22Method and system for optimizing wireless networks through feedback and adaptation%22&amp;btnG=&amp;hl=en&amp;as_sdt=0%2C5</t>
  </si>
  <si>
    <t>citation:doc-x0673-01</t>
  </si>
  <si>
    <t>https://scholar.google.co.uk/scholar?q=%22Method and system for providing operator guidance in network and systems management%22&amp;btnG=&amp;hl=en&amp;as_sdt=0%2C5</t>
  </si>
  <si>
    <t>citation:doc-x0674-01</t>
  </si>
  <si>
    <t>https://scholar.google.co.uk/scholar?q=%22Method and system for self-organizing computer systems%22&amp;btnG=&amp;hl=en&amp;as_sdt=0%2C5</t>
  </si>
  <si>
    <t>citation:doc-x0677-01</t>
  </si>
  <si>
    <t>https://scholar.google.co.uk/scholar?q=%22Minimum congestion mapping in a cloud%22&amp;btnG=&amp;hl=en&amp;as_sdt=0%2C5</t>
  </si>
  <si>
    <t>citation:doc-x0691-01</t>
  </si>
  <si>
    <t>https://scholar.google.co.uk/scholar?q=%22Modeling data flow in socio-information networks: a risk estimation approach%22&amp;btnG=&amp;hl=en&amp;as_sdt=0%2C5</t>
  </si>
  <si>
    <t>citation:doc-x0705-01</t>
  </si>
  <si>
    <t>https://scholar.google.co.uk/scholar?q=%22Multi-tier indexing methodology for scalable mobile device data collection%22&amp;btnG=&amp;hl=en&amp;as_sdt=0%2C5</t>
  </si>
  <si>
    <t>citation:doc-x0707-01</t>
  </si>
  <si>
    <t>https://scholar.google.co.uk/scholar?q=%22Multiagent communication security in adversarial settings%22&amp;btnG=&amp;hl=en&amp;as_sdt=0%2C5</t>
  </si>
  <si>
    <t>https://scholar.google.co.uk/scholar?q=%22MUSE: asset risk scoring in enterprise network with mutually reinforced reputation propagation%22&amp;btnG=&amp;hl=en&amp;as_sdt=0%2C5</t>
  </si>
  <si>
    <t>citation:doc-x0711-01</t>
  </si>
  <si>
    <t>https://scholar.google.co.uk/scholar?q=%22NaaS: Network-as-a-Service in the Cloud%22&amp;btnG=&amp;hl=en&amp;as_sdt=0%2C5</t>
  </si>
  <si>
    <t>citation:doc-x0716-01</t>
  </si>
  <si>
    <t>https://scholar.google.co.uk/scholar?q=%22Network coding for facilitating secrecy in large wireless networks%22&amp;btnG=&amp;hl=en&amp;as_sdt=0%2C5</t>
  </si>
  <si>
    <t>citation:doc-x0720-01</t>
  </si>
  <si>
    <t>https://scholar.google.co.uk/scholar?q=%22Next place predictions based on user mobility traces%22&amp;btnG=&amp;hl=en&amp;as_sdt=0%2C5</t>
  </si>
  <si>
    <t>citation:doc-x0722-01</t>
  </si>
  <si>
    <t>https://scholar.google.co.uk/scholar?q=%22Node-level sub-queries in distributed databases%22&amp;btnG=&amp;hl=en&amp;as_sdt=0%2C5</t>
  </si>
  <si>
    <t>citation:doc-x0723-01</t>
  </si>
  <si>
    <t>https://scholar.google.co.uk/scholar?q=%22Non-interactive hierarchical identity-based key-agreement%22&amp;btnG=&amp;hl=en&amp;as_sdt=0%2C5</t>
  </si>
  <si>
    <t>citation:doc-x0725-01</t>
  </si>
  <si>
    <t>https://scholar.google.co.uk/scholar?q=%22Oblivious Group Storage%22&amp;btnG=&amp;hl=en&amp;as_sdt=0%2C5</t>
  </si>
  <si>
    <t>https://scholar.google.co.uk/scholar?q=%22On the design of network coding for multiple two-way relaying channels%22&amp;btnG=&amp;hl=en&amp;as_sdt=0%2C5</t>
  </si>
  <si>
    <t>https://scholar.google.co.uk/scholar?q=%22On-demand discovery of software service dependencies in MANETs%22&amp;btnG=&amp;hl=en&amp;as_sdt=0%2C5</t>
  </si>
  <si>
    <t>https://scholar.google.co.uk/scholar?q=%22Opportunistic relaying for secrecy communications: Cooperative jamming vs. relay chatting%22&amp;btnG=&amp;hl=en&amp;as_sdt=0%2C5</t>
  </si>
  <si>
    <t>citation:doc-x0745-01</t>
  </si>
  <si>
    <t>https://scholar.google.co.uk/scholar?q=%22Optimal gateway selection in multi-domain wireless networks: a potential game perspective%22&amp;btnG=&amp;hl=en&amp;as_sdt=0%2C5</t>
  </si>
  <si>
    <t>citation:doc-x0750-01</t>
  </si>
  <si>
    <t>https://scholar.google.co.uk/scholar?q=%22Optimising the deployment of airborne heterogeneous sensors for persistent ISR missions%22&amp;btnG=&amp;hl=en&amp;as_sdt=0%2C5</t>
  </si>
  <si>
    <t>https://scholar.google.co.uk/scholar?q=%22Optimization-based resource allocation in communication networks%22&amp;btnG=&amp;hl=en&amp;as_sdt=0%2C5</t>
  </si>
  <si>
    <t>citation:doc-x0752-01</t>
  </si>
  <si>
    <t>https://scholar.google.co.uk/scholar?q=%22Optimizing a policy authoring framework for security and privacy policies%22&amp;btnG=&amp;hl=en&amp;as_sdt=0%2C5</t>
  </si>
  <si>
    <t>citation:doc-x0753-01</t>
  </si>
  <si>
    <t>https://scholar.google.co.uk/scholar?q=%22Optimizing Control Overhead for Power-aware Routing in Wireless Networks%22&amp;btnG=&amp;hl=en&amp;as_sdt=0%2C5</t>
  </si>
  <si>
    <t>citation:doc-x0754-01</t>
  </si>
  <si>
    <t>https://scholar.google.co.uk/scholar?q=%22Outsourcing multi-version key-value stores with verifiable data freshness%22&amp;btnG=&amp;hl=en&amp;as_sdt=0%2C5</t>
  </si>
  <si>
    <t>citation:doc-x0755-01</t>
  </si>
  <si>
    <t>https://scholar.google.co.uk/scholar?q=%22Pan and scan: Configuring cameras for coverage%22&amp;btnG=&amp;hl=en&amp;as_sdt=0%2C5</t>
  </si>
  <si>
    <t>https://scholar.google.co.uk/scholar?q=%22Parallel and Streaming Truth Discovery in Large-Scale Quantitative Crowdsourcing%22&amp;btnG=&amp;hl=en&amp;as_sdt=0%2C5</t>
  </si>
  <si>
    <t>citation:doc-x0759-01</t>
  </si>
  <si>
    <t>https://scholar.google.co.uk/scholar?q=%22Performance evaluation of secure network coding using homomorphic signature%22&amp;btnG=&amp;hl=en&amp;as_sdt=0%2C5</t>
  </si>
  <si>
    <t>citation:doc-x0760-01</t>
  </si>
  <si>
    <t>https://scholar.google.co.uk/scholar?q=%22Performing value and context aware communications networking%22&amp;btnG=&amp;hl=en&amp;as_sdt=0%2C5</t>
  </si>
  <si>
    <t>citation:doc-x0765-01</t>
  </si>
  <si>
    <t>https://scholar.google.co.uk/scholar?q=%22Planning over MDPs through HTNs%22&amp;btnG=&amp;hl=en&amp;as_sdt=0%2C5</t>
  </si>
  <si>
    <t>citation:doc-x0766-01</t>
  </si>
  <si>
    <t>https://scholar.google.co.uk/scholar?q=%22Planning over MDPs through Probabilistic HTNs%22&amp;btnG=&amp;hl=en&amp;as_sdt=0%2C5</t>
  </si>
  <si>
    <t>citation:doc-x0771-01</t>
  </si>
  <si>
    <t>https://scholar.google.co.uk/scholar?q=%22Policy evolution with machine learning%22&amp;btnG=&amp;hl=en&amp;as_sdt=0%2C5</t>
  </si>
  <si>
    <t>citation:doc-x0773-01</t>
  </si>
  <si>
    <t>https://scholar.google.co.uk/scholar?q=%22Policy refinement of network services for MANETs%22&amp;btnG=&amp;hl=en&amp;as_sdt=0%2C5</t>
  </si>
  <si>
    <t>citation:doc-x0779-01</t>
  </si>
  <si>
    <t>https://scholar.google.co.uk/scholar?q=%22Predicate encryption supporting disjunctions, polynomial equations, and inner products%22&amp;btnG=&amp;hl=en&amp;as_sdt=0%2C5</t>
  </si>
  <si>
    <t>citation:doc-x0780-01</t>
  </si>
  <si>
    <t>https://scholar.google.co.uk/scholar?q=%22Privacy Preserving Query Method and System for Use in Federated Coalition Networks%22&amp;btnG=&amp;hl=en&amp;as_sdt=0%2C5</t>
  </si>
  <si>
    <t>https://scholar.google.co.uk/scholar?q=%22Privacy-Preserving Information Brokering in Distributed Information Sharing.(2013)%22&amp;btnG=&amp;hl=en&amp;as_sdt=0%2C5</t>
  </si>
  <si>
    <t>citation:doc-x0784-01</t>
  </si>
  <si>
    <t>https://scholar.google.co.uk/scholar?q=%22ProbeCast: MANET admission control via probing%22&amp;btnG=&amp;hl=en&amp;as_sdt=0%2C5</t>
  </si>
  <si>
    <t>citation:doc-x0786-01</t>
  </si>
  <si>
    <t>https://scholar.google.co.uk/scholar?q=%22Propagating a query in a federated database%22&amp;btnG=&amp;hl=en&amp;as_sdt=0%2C5</t>
  </si>
  <si>
    <t>citation:doc-x0788-01</t>
  </si>
  <si>
    <t>https://scholar.google.co.uk/scholar?q=%22Providing a Sensor Composite Service Based on Operational and Spatial Constraints%22&amp;btnG=&amp;hl=en&amp;as_sdt=0%2C5</t>
  </si>
  <si>
    <t>citation:doc-x0789-01</t>
  </si>
  <si>
    <t>https://scholar.google.co.uk/scholar?q=%22QA Based on Context Aware, Real-Time Information from Mobile Devices%22&amp;btnG=&amp;hl=en&amp;as_sdt=0%2C5</t>
  </si>
  <si>
    <t>citation:doc-x0794-01</t>
  </si>
  <si>
    <t>https://scholar.google.co.uk/scholar?q=%22Quality of information assessment in dynamic sensor networks%22&amp;btnG=&amp;hl=en&amp;as_sdt=0%2C5</t>
  </si>
  <si>
    <t>citation:doc-x0796-01</t>
  </si>
  <si>
    <t>https://scholar.google.co.uk/scholar?q=%22Quantifying information flow for dynamic secrets%22&amp;btnG=&amp;hl=en&amp;as_sdt=0%2C5</t>
  </si>
  <si>
    <t>citation:doc-x0798-01</t>
  </si>
  <si>
    <t>https://scholar.google.co.uk/scholar?q=%22Quantitative evaluation of secure network coding using homomorphic signature/hashing%22&amp;btnG=&amp;hl=en&amp;as_sdt=0%2C5</t>
  </si>
  <si>
    <t>citation:doc-x0806-01</t>
  </si>
  <si>
    <t>https://scholar.google.co.uk/scholar?q=%22Rate adaptive transmission of wireless broadcast packets%22&amp;btnG=&amp;hl=en&amp;as_sdt=0%2C5</t>
  </si>
  <si>
    <t>citation:doc-x0809-01</t>
  </si>
  <si>
    <t>https://scholar.google.co.uk/scholar?q=%22Rateless Pollution-Attack-Resilient Network Coding for Data Streams in Hybrid Coalition Networks%22&amp;btnG=&amp;hl=en&amp;as_sdt=0%2C5</t>
  </si>
  <si>
    <t>citation:doc-x0812-01</t>
  </si>
  <si>
    <t>https://scholar.google.co.uk/scholar?q=%22Reasoning about Policy Behavior in Logic-Based Trust Management Systems: Some Complexity Results and an Operational Framework%22&amp;btnG=&amp;hl=en&amp;as_sdt=0%2C5</t>
  </si>
  <si>
    <t>https://scholar.google.co.uk/scholar?q=%22Reasoning support for flexible task resourcing%22&amp;btnG=&amp;hl=en&amp;as_sdt=0%2C5</t>
  </si>
  <si>
    <t>citation:doc-x0817-01</t>
  </si>
  <si>
    <t>https://scholar.google.co.uk/scholar?q=%22Recognizing team context during simulated missions%22&amp;btnG=&amp;hl=en&amp;as_sdt=0%2C5</t>
  </si>
  <si>
    <t>citation:doc-x0818-01</t>
  </si>
  <si>
    <t>https://scholar.google.co.uk/scholar?q=%22Reconciling network management data%22&amp;btnG=&amp;hl=en&amp;as_sdt=0%2C5</t>
  </si>
  <si>
    <t>citation:doc-x0826-01</t>
  </si>
  <si>
    <t>https://scholar.google.co.uk/scholar?q=%22Reliability gain of network coding in lossy wireless networks%22&amp;btnG=&amp;hl=en&amp;as_sdt=0%2C5</t>
  </si>
  <si>
    <t>citation:doc-x0827-01</t>
  </si>
  <si>
    <t>https://scholar.google.co.uk/scholar?q=%22Reliable multicast broadcast in wireless networks%22&amp;btnG=&amp;hl=en&amp;as_sdt=0%2C5</t>
  </si>
  <si>
    <t>citation:doc-x0842-01</t>
  </si>
  <si>
    <t>https://scholar.google.co.uk/scholar?q=%22Risk-sensitive investment strategies under partially observable market conditions%22&amp;btnG=&amp;hl=en&amp;as_sdt=0%2C5</t>
  </si>
  <si>
    <t>https://scholar.google.co.uk/scholar?q=%22Robust dynamic service composition in sensor networks%22&amp;btnG=&amp;hl=en&amp;as_sdt=0%2C5</t>
  </si>
  <si>
    <t>citation:doc-x0847-01</t>
  </si>
  <si>
    <t>https://scholar.google.co.uk/scholar?q=%22Robust multipath routing in large wireless networks%22&amp;btnG=&amp;hl=en&amp;as_sdt=0%2C5</t>
  </si>
  <si>
    <t>citation:doc-x0852-01</t>
  </si>
  <si>
    <t>https://scholar.google.co.uk/scholar?q=%22Saving bandwidth in transmission of compressed data%22&amp;btnG=&amp;hl=en&amp;as_sdt=0%2C5</t>
  </si>
  <si>
    <t>citation:doc-x0855-01</t>
  </si>
  <si>
    <t>https://scholar.google.co.uk/scholar?q=%22Secret-key exchange for wireless and sensor networks%22&amp;btnG=&amp;hl=en&amp;as_sdt=0%2C5</t>
  </si>
  <si>
    <t>citation:doc-x0859-01</t>
  </si>
  <si>
    <t>https://scholar.google.co.uk/scholar?q=%22Secure user authentication in a dynamic network%22&amp;btnG=&amp;hl=en&amp;as_sdt=0%2C5</t>
  </si>
  <si>
    <t>citation:doc-x0867-01</t>
  </si>
  <si>
    <t>https://scholar.google.co.uk/scholar?q=%22Selecting relevant sensor providers for meeting your quality information needs%22&amp;btnG=&amp;hl=en&amp;as_sdt=0%2C5</t>
  </si>
  <si>
    <t>citation:doc-x0869-01</t>
  </si>
  <si>
    <t>https://scholar.google.co.uk/scholar?q=%22Self-Adaptive Resource Allocation for Event Monitoring with Uncertainty in Sensor Networks%22&amp;btnG=&amp;hl=en&amp;as_sdt=0%2C5</t>
  </si>
  <si>
    <t>citation:doc-x0879-01</t>
  </si>
  <si>
    <t>https://scholar.google.co.uk/scholar?q=%22Sensor service selection through switch options%22&amp;btnG=&amp;hl=en&amp;as_sdt=0%2C5</t>
  </si>
  <si>
    <t>citation:doc-x0881-01</t>
  </si>
  <si>
    <t>https://scholar.google.co.uk/scholar?q=%22Serving time critical information to mobile devices%22&amp;btnG=&amp;hl=en&amp;as_sdt=0%2C5</t>
  </si>
  <si>
    <t>citation:doc-x0883-01</t>
  </si>
  <si>
    <t>https://scholar.google.co.uk/scholar?q=%22Sharing smart environment assets in dynamic multi-partner scenarios%22&amp;btnG=&amp;hl=en&amp;as_sdt=0%2C5</t>
  </si>
  <si>
    <t>citation:doc-x0888-01</t>
  </si>
  <si>
    <t>https://scholar.google.co.uk/scholar?q=%22Social Signal Processing for Real-Time Situational Understanding: A Vision and Approach%22&amp;btnG=&amp;hl=en&amp;as_sdt=0%2C5</t>
  </si>
  <si>
    <t>citation:doc-x0889-01</t>
  </si>
  <si>
    <t>https://scholar.google.co.uk/scholar?q=%22Social spring: encounter-based path refinement for indoor tracking systems%22&amp;btnG=&amp;hl=en&amp;as_sdt=0%2C5</t>
  </si>
  <si>
    <t>citation:doc-x0892-01</t>
  </si>
  <si>
    <t>https://scholar.google.co.uk/scholar?q=%22Solving non-zero sum multiagent network flow security games with attack costs%22&amp;btnG=&amp;hl=en&amp;as_sdt=0%2C5</t>
  </si>
  <si>
    <t>citation:doc-x0896-01</t>
  </si>
  <si>
    <t>https://scholar.google.co.uk/scholar?q=%22Sources of stereotypical trust in multi-agent systems%22&amp;btnG=&amp;hl=en&amp;as_sdt=0%2C5</t>
  </si>
  <si>
    <t>citation:doc-x0898-01</t>
  </si>
  <si>
    <t>https://scholar.google.co.uk/scholar?q=%22Spatial and temporal considerations in next place predictions%22&amp;btnG=&amp;hl=en&amp;as_sdt=0%2C5</t>
  </si>
  <si>
    <t>https://scholar.google.co.uk/scholar?q=%22Stage: Stereotypical trust assessment through graph extraction%22&amp;btnG=&amp;hl=en&amp;as_sdt=0%2C5</t>
  </si>
  <si>
    <t>https://scholar.google.co.uk/scholar?q=%22Stereotypical trust and bias in dynamic multiagent systems%22&amp;btnG=&amp;hl=en&amp;as_sdt=0%2C5</t>
  </si>
  <si>
    <t>https://scholar.google.co.uk/scholar?q=%22Stochastic optimal control for a general class of dynamic resource allocation problems%22&amp;btnG=&amp;hl=en&amp;as_sdt=0%2C5</t>
  </si>
  <si>
    <t>citation:doc-x0902-01</t>
  </si>
  <si>
    <t>https://scholar.google.co.uk/scholar?q=%22Structure based data de-anonymization of social networks and mobility traces%22&amp;btnG=&amp;hl=en&amp;as_sdt=0%2C5</t>
  </si>
  <si>
    <t>citation:doc-x0908-01</t>
  </si>
  <si>
    <t>https://scholar.google.co.uk/scholar?q=%22Supporting reasoning with different types of evidence in intelligence analysis%22&amp;btnG=&amp;hl=en&amp;as_sdt=0%2C5</t>
  </si>
  <si>
    <t>https://scholar.google.co.uk/scholar?q=%22Supporting Trust Assessment and Decision Making in Coalitions%22&amp;btnG=&amp;hl=en&amp;as_sdt=0%2C5</t>
  </si>
  <si>
    <t>citation:doc-x0912-01</t>
  </si>
  <si>
    <t>https://scholar.google.co.uk/scholar?q=%22System and method for obtaining network link state information from sequential distance vector routing tables%22&amp;btnG=&amp;hl=en&amp;as_sdt=0%2C5</t>
  </si>
  <si>
    <t>citation:doc-x0913-01</t>
  </si>
  <si>
    <t>https://scholar.google.co.uk/scholar?q=%22System and method for secure information sharing with untrusted recipients%22&amp;btnG=&amp;hl=en&amp;as_sdt=0%2C5</t>
  </si>
  <si>
    <t>citation:doc-x0914-01</t>
  </si>
  <si>
    <t>https://scholar.google.co.uk/scholar?q=%22System and method for utility sampling for trust metrics in PKI%22&amp;btnG=&amp;hl=en&amp;as_sdt=0%2C5</t>
  </si>
  <si>
    <t>citation:doc-x0917-01</t>
  </si>
  <si>
    <t>https://scholar.google.co.uk/scholar?q=%22Systems and methods for provisioning sensing resources for mobile sensor networks%22&amp;btnG=&amp;hl=en&amp;as_sdt=0%2C5</t>
  </si>
  <si>
    <t>citation:doc-x0920-01</t>
  </si>
  <si>
    <t>https://scholar.google.co.uk/scholar?q=%22TCP-aware resource allocation in wireless networks%22&amp;btnG=&amp;hl=en&amp;as_sdt=0%2C5</t>
  </si>
  <si>
    <t>citation:doc-x0922-01</t>
  </si>
  <si>
    <t>https://scholar.google.co.uk/scholar?q=%22Techniques for Policy Aware Service Composition%22&amp;btnG=&amp;hl=en&amp;as_sdt=0%2C5</t>
  </si>
  <si>
    <t>citation:doc-x0924-01</t>
  </si>
  <si>
    <t>https://scholar.google.co.uk/scholar?q=%22The Base Zone Protection Problem%22&amp;btnG=&amp;hl=en&amp;as_sdt=0%2C5</t>
  </si>
  <si>
    <t>https://scholar.google.co.uk/scholar?q=%22Throughput maximization in mobile WSN scheduling with power control and rate selection%22&amp;btnG=&amp;hl=en&amp;as_sdt=0%2C5</t>
  </si>
  <si>
    <t>citation:doc-x0942-01</t>
  </si>
  <si>
    <t>https://scholar.google.co.uk/scholar?q=%22Toward mission-specific service utility estimation using analytic stochastic process models%22&amp;btnG=&amp;hl=en&amp;as_sdt=0%2C5</t>
  </si>
  <si>
    <t>citation:doc-x0943-01</t>
  </si>
  <si>
    <t>https://scholar.google.co.uk/scholar?q=%22Toward quantification of utility in the OODA loop%22&amp;btnG=&amp;hl=en&amp;as_sdt=0%2C5</t>
  </si>
  <si>
    <t>citation:doc-x0944-01</t>
  </si>
  <si>
    <t>https://scholar.google.co.uk/scholar?q=%22Towards a fair non-convex resource allocation in wireless networks%22&amp;btnG=&amp;hl=en&amp;as_sdt=0%2C5</t>
  </si>
  <si>
    <t>citation:doc-x0946-01</t>
  </si>
  <si>
    <t>https://scholar.google.co.uk/scholar?q=%22Towards a rich sensing stack for IoT devices%22&amp;btnG=&amp;hl=en&amp;as_sdt=0%2C5</t>
  </si>
  <si>
    <t>citation:doc-x0961-01</t>
  </si>
  <si>
    <t>https://scholar.google.co.uk/scholar?q=%22Trust decision-making in multi-agent systems%22&amp;btnG=&amp;hl=en&amp;as_sdt=0%2C5</t>
  </si>
  <si>
    <t>citation:doc-x0965-01</t>
  </si>
  <si>
    <t>https://scholar.google.co.uk/scholar?q=%22Trust management in resource constraint networks%22&amp;btnG=&amp;hl=en&amp;as_sdt=0%2C5</t>
  </si>
  <si>
    <t>citation:doc-x0966-01</t>
  </si>
  <si>
    <t>https://scholar.google.co.uk/scholar?q=%22Trust metric integration in resource constrained networks via data fusion%22&amp;btnG=&amp;hl=en&amp;as_sdt=0%2C5</t>
  </si>
  <si>
    <t>citation:doc-x0967-01</t>
  </si>
  <si>
    <t>https://scholar.google.co.uk/scholar?q=%22Trustworthiness of processed data%22&amp;btnG=&amp;hl=en&amp;as_sdt=0%2C5</t>
  </si>
  <si>
    <t>citation:doc-x0970-01</t>
  </si>
  <si>
    <t>https://scholar.google.co.uk/scholar?q=%22Two-tier framework for sensor fault characterization in sensor networks%22&amp;btnG=&amp;hl=en&amp;as_sdt=0%2C5</t>
  </si>
  <si>
    <t>https://scholar.google.co.uk/scholar?q=%22Understanding processing overheads of network coding-based content distribution in VANETs%22&amp;btnG=&amp;hl=en&amp;as_sdt=0%2C5</t>
  </si>
  <si>
    <t>citation:doc-x0974-01</t>
  </si>
  <si>
    <t>https://scholar.google.co.uk/scholar?q=%22Understanding stateful vs stateless communication strategies for ad hoc networks%22&amp;btnG=&amp;hl=en&amp;as_sdt=0%2C5</t>
  </si>
  <si>
    <t>citation:doc-x0976-01</t>
  </si>
  <si>
    <t>https://scholar.google.co.uk/scholar?q=%22Understanding the Cognitive Impact of Emerging Web Technologies: A Research Focus Area for Embodied, Extended and Distributed Approaches to Cognition%22&amp;btnG=&amp;hl=en&amp;as_sdt=0%2C5</t>
  </si>
  <si>
    <t>citation:doc-x0980-01</t>
  </si>
  <si>
    <t>https://scholar.google.co.uk/scholar?q=%22Understanding user behavior via mobile data analysis%22&amp;btnG=&amp;hl=en&amp;as_sdt=0%2C5</t>
  </si>
  <si>
    <t>citation:doc-x0983-01</t>
  </si>
  <si>
    <t>https://scholar.google.co.uk/scholar?q=%22Usable policy template authoring for iterative policy refinement%22&amp;btnG=&amp;hl=en&amp;as_sdt=0%2C5</t>
  </si>
  <si>
    <t>citation:doc-x0988-01</t>
  </si>
  <si>
    <t>https://scholar.google.co.uk/scholar?q=%22Using penalty and reward to aggregate data to assess trust%22&amp;btnG=&amp;hl=en&amp;as_sdt=0%2C5</t>
  </si>
  <si>
    <t>citation:doc-x0992-01</t>
  </si>
  <si>
    <t>https://scholar.google.co.uk/scholar?q=%22Utility-proportional fairness in wireless networks%22&amp;btnG=&amp;hl=en&amp;as_sdt=0%2C5</t>
  </si>
  <si>
    <t>https://scholar.google.co.uk/scholar?q=%22Why Amazon's Ratings Might Mislead You: The Story of Herding Effects%22&amp;btnG=&amp;hl=en&amp;as_sdt=0%2C5</t>
  </si>
  <si>
    <t>citation:doc-x1001-01</t>
  </si>
  <si>
    <t>https://scholar.google.co.uk/scholar?q=%22Wysteria: A programming language for generic, mixed-mode multiparty computations%22&amp;btnG=&amp;hl=en&amp;as_sdt=0%2C5</t>
  </si>
  <si>
    <t>citation:doc-x1010-01</t>
  </si>
  <si>
    <t>https://scholar.google.co.uk/scholar?q=%22The use of visual programming tools and techniques for rapid in field ad-hoc edge of the network situational application integration in a coalition environment%22&amp;btnG=&amp;hl=en&amp;as_sdt=0%2C5</t>
  </si>
  <si>
    <t>citation:doc-x1011-01</t>
  </si>
  <si>
    <t>https://scholar.google.co.uk/scholar?q=%22Using commercial PC games in defence research%22&amp;btnG=&amp;hl=en&amp;as_sdt=0%2C5</t>
  </si>
  <si>
    <t>https://scholar.google.co.uk/scholar?q=%22General Graph Data De-anonymization:</t>
  </si>
  <si>
    <t>https://scholar.google.co.uk/scholar?q=%22Structural Data De-anonymization: Theory and Practice%22&amp;btnG=&amp;hl=en&amp;as_sdt=0%2C5</t>
  </si>
  <si>
    <t>citation:doc-x1028-01</t>
  </si>
  <si>
    <t>https://scholar.google.co.uk/scholar?q=%22Measuring behavioral trust in social networks%22&amp;btnG=&amp;hl=en&amp;as_sdt=0%2C5</t>
  </si>
  <si>
    <t>https://scholar.google.co.uk/scholar?q=%22Self-organizing systems based on morphogenesis principles%22&amp;btnG=&amp;hl=en&amp;as_sdt=0%2C5</t>
  </si>
  <si>
    <t>citation:doc-x1030-01</t>
  </si>
  <si>
    <t>https://scholar.google.co.uk/scholar?q=%22More is more: The benefits of dense sensor deployment%22&amp;btnG=&amp;hl=en&amp;as_sdt=0%2C5</t>
  </si>
  <si>
    <t>citation:doc-x1031-01</t>
  </si>
  <si>
    <t>citation:doc-x1033-01</t>
  </si>
  <si>
    <t>https://scholar.google.co.uk/scholar?q=%22Holistan: A futuristic scenario for international coalition operations%22&amp;btnG=&amp;hl=en&amp;as_sdt=0%2C5</t>
  </si>
  <si>
    <t>citation:doc-x1034-01</t>
  </si>
  <si>
    <t>https://scholar.google.co.uk/scholar?q=%22Activity recognition for dynamic multi-agent teams%22&amp;btnG=&amp;hl=en&amp;as_sdt=0%2C5</t>
  </si>
  <si>
    <t>https://scholar.google.co.uk/scholar?q=%22Creating physically embodied agents using realistic human motion models%22&amp;btnG=&amp;hl=en&amp;as_sdt=0%2C5</t>
  </si>
  <si>
    <t>https://scholar.google.co.uk/scholar?q=%22A generic framework for automated multi-attribute negotiation%22&amp;btnG=&amp;hl=en&amp;as_sdt=0%2C5</t>
  </si>
  <si>
    <t>citation:doc-x1040-01</t>
  </si>
  <si>
    <t>https://scholar.google.co.uk/scholar?q=%22Prognostic agent assistance for norm-compliant coalition planning%22&amp;btnG=&amp;hl=en&amp;as_sdt=0%2C5</t>
  </si>
  <si>
    <t>citation:doc-x1041-01</t>
  </si>
  <si>
    <t>citation:doc-x1042-01</t>
  </si>
  <si>
    <t>https://scholar.google.co.uk/scholar?q=%22Probabilistic Hierarchical Planning over Markov Decision Processes%22&amp;btnG=&amp;hl=en&amp;as_sdt=0%2C5</t>
  </si>
  <si>
    <t>citation:doc-x1043-01</t>
  </si>
  <si>
    <t>https://scholar.google.co.uk/scholar?q=%22ANTIPA: an agent architecture for intelligent information assistance%22&amp;btnG=&amp;hl=en&amp;as_sdt=0%2C5</t>
  </si>
  <si>
    <t>https://scholar.google.co.uk/scholar?q=%22netCSI: A Generic Fault Diagnosis Algorithm for Large-Scale Failures in Computer Networks%22&amp;btnG=&amp;hl=en&amp;as_sdt=0%2C5</t>
  </si>
  <si>
    <t>citation:doc-x1046-01</t>
  </si>
  <si>
    <t>https://scholar.google.co.uk/scholar?q=%22Policy Supersession in a Coalition ISR Network%22&amp;btnG=&amp;hl=en&amp;as_sdt=0%2C5</t>
  </si>
  <si>
    <t>citation:doc-x1047-01</t>
  </si>
  <si>
    <t>https://scholar.google.co.uk/scholar?q=%22Next-generation neurosynaptic tactical ISR systems%22&amp;btnG=&amp;hl=en&amp;as_sdt=0%2C5</t>
  </si>
  <si>
    <t>citation:doc-x1048-01</t>
  </si>
  <si>
    <t>https://scholar.google.co.uk/scholar?q=%22From Open Source Communications to Knowledge%22&amp;btnG=&amp;hl=en&amp;as_sdt=0%2C5</t>
  </si>
  <si>
    <t>citation:doc-x1049-01</t>
  </si>
  <si>
    <t>https://scholar.google.co.uk/scholar?q=%22Agile Development of Ontologies Through Conversation%22&amp;btnG=&amp;hl=en&amp;as_sdt=0%2C5</t>
  </si>
  <si>
    <t>citation:doc-x1050-01</t>
  </si>
  <si>
    <t>https://scholar.google.co.uk/scholar?q=%22Optimising data transmission in a hypercube network%22&amp;btnG=&amp;hl=en&amp;as_sdt=0%2C5</t>
  </si>
  <si>
    <t>citation:doc-x1051-01</t>
  </si>
  <si>
    <t>https://scholar.google.co.uk/scholar?q=%22Persistent querying in a federated database system%22&amp;btnG=&amp;hl=en&amp;as_sdt=0%2C5</t>
  </si>
  <si>
    <t>citation:doc-x1052-01</t>
  </si>
  <si>
    <t>https://scholar.google.co.uk/scholar?q=%22Efficient two party oblivious transfer using a leveled fully homomorphic encryption%22&amp;btnG=&amp;hl=en&amp;as_sdt=0%2C5</t>
  </si>
  <si>
    <t>citation:doc-x1053-01</t>
  </si>
  <si>
    <t>https://scholar.google.co.uk/scholar?q=%22Performing efficient comparison operations on encrypted data%22&amp;btnG=&amp;hl=en&amp;as_sdt=0%2C5</t>
  </si>
  <si>
    <t>citation:doc-x1054-01</t>
  </si>
  <si>
    <t>https://scholar.google.co.uk/scholar?q=%22Comparison and search operations on encrypted%22&amp;btnG=&amp;hl=en&amp;as_sdt=0%2C5</t>
  </si>
  <si>
    <t>count</t>
  </si>
  <si>
    <t>12/02/2016</t>
  </si>
  <si>
    <t>25/09/2015</t>
  </si>
  <si>
    <t>09/12/2015</t>
  </si>
  <si>
    <t>12/02/2015</t>
  </si>
  <si>
    <t>09/01/2016</t>
  </si>
  <si>
    <t>14/12/2015</t>
  </si>
  <si>
    <t>07/03/2016</t>
  </si>
  <si>
    <t>10/12/2015</t>
  </si>
  <si>
    <t>16/02/2016</t>
  </si>
  <si>
    <t>24/02/2016</t>
  </si>
  <si>
    <t>11/12/2015</t>
  </si>
  <si>
    <t>09/02/2015</t>
  </si>
  <si>
    <t>05/10/2015</t>
  </si>
  <si>
    <t>18/02/2015</t>
  </si>
  <si>
    <t>12/01/2016</t>
  </si>
  <si>
    <t>02/09/2016</t>
  </si>
  <si>
    <t>14/03/2016</t>
  </si>
  <si>
    <t>25/02/2016</t>
  </si>
  <si>
    <t>29/02/2016</t>
  </si>
  <si>
    <t>27/02/2016</t>
  </si>
  <si>
    <t>28/02/2016</t>
  </si>
  <si>
    <t>06/03/2016</t>
  </si>
  <si>
    <t>11/03/2016</t>
  </si>
  <si>
    <t>doc-1000</t>
  </si>
  <si>
    <t>doc-1001</t>
  </si>
  <si>
    <t>doc-1002</t>
  </si>
  <si>
    <t>doc-1004</t>
  </si>
  <si>
    <t>doc-1005</t>
  </si>
  <si>
    <t>doc-1006a</t>
  </si>
  <si>
    <t>doc-1008</t>
  </si>
  <si>
    <t>doc-1010</t>
  </si>
  <si>
    <t>doc-1011</t>
  </si>
  <si>
    <t>doc-1012a</t>
  </si>
  <si>
    <t>doc-1013</t>
  </si>
  <si>
    <t>doc-1014</t>
  </si>
  <si>
    <t>doc-1015a</t>
  </si>
  <si>
    <t>doc-1016</t>
  </si>
  <si>
    <t>doc-1017</t>
  </si>
  <si>
    <t>doc-1018a</t>
  </si>
  <si>
    <t>doc-1019a</t>
  </si>
  <si>
    <t>doc-1020</t>
  </si>
  <si>
    <t>doc-1021</t>
  </si>
  <si>
    <t>doc-1022a</t>
  </si>
  <si>
    <t>doc-1023</t>
  </si>
  <si>
    <t>doc-1024</t>
  </si>
  <si>
    <t>doc-1025</t>
  </si>
  <si>
    <t>doc-1026</t>
  </si>
  <si>
    <t>doc-1028</t>
  </si>
  <si>
    <t>doc-1029a</t>
  </si>
  <si>
    <t>doc-1029b</t>
  </si>
  <si>
    <t>doc-1030</t>
  </si>
  <si>
    <t>doc-1031</t>
  </si>
  <si>
    <t>doc-1032</t>
  </si>
  <si>
    <t>doc-1033</t>
  </si>
  <si>
    <t>doc-1035</t>
  </si>
  <si>
    <t>doc-1037</t>
  </si>
  <si>
    <t>doc-1038</t>
  </si>
  <si>
    <t>doc-1039a</t>
  </si>
  <si>
    <t>doc-1040</t>
  </si>
  <si>
    <t>doc-1041</t>
  </si>
  <si>
    <t>doc-1042a</t>
  </si>
  <si>
    <t>doc-1043a</t>
  </si>
  <si>
    <t>doc-1044a</t>
  </si>
  <si>
    <t>doc-1045a</t>
  </si>
  <si>
    <t>doc-1046a</t>
  </si>
  <si>
    <t>doc-1047a</t>
  </si>
  <si>
    <t>doc-1048a</t>
  </si>
  <si>
    <t>doc-1049a</t>
  </si>
  <si>
    <t>doc-1050a</t>
  </si>
  <si>
    <t>doc-1051</t>
  </si>
  <si>
    <t>doc-1052</t>
  </si>
  <si>
    <t>doc-1053</t>
  </si>
  <si>
    <t>doc-1054</t>
  </si>
  <si>
    <t>doc-1055</t>
  </si>
  <si>
    <t>doc-1056</t>
  </si>
  <si>
    <t>doc-1060</t>
  </si>
  <si>
    <t>doc-1061</t>
  </si>
  <si>
    <t>doc-1062</t>
  </si>
  <si>
    <t>doc-1063</t>
  </si>
  <si>
    <t>doc-1064</t>
  </si>
  <si>
    <t>doc-1065</t>
  </si>
  <si>
    <t>doc-1066</t>
  </si>
  <si>
    <t>doc-1068</t>
  </si>
  <si>
    <t>doc-1072a</t>
  </si>
  <si>
    <t>doc-1074</t>
  </si>
  <si>
    <t>doc-1075</t>
  </si>
  <si>
    <t>doc-1078</t>
  </si>
  <si>
    <t>doc-1079</t>
  </si>
  <si>
    <t>doc-1080</t>
  </si>
  <si>
    <t>doc-1083</t>
  </si>
  <si>
    <t>doc-1085</t>
  </si>
  <si>
    <t>doc-1086</t>
  </si>
  <si>
    <t>doc-1091</t>
  </si>
  <si>
    <t>doc-1092</t>
  </si>
  <si>
    <t>doc-1093</t>
  </si>
  <si>
    <t>doc-1094</t>
  </si>
  <si>
    <t>doc-1097</t>
  </si>
  <si>
    <t>doc-1099</t>
  </si>
  <si>
    <t>doc-1101</t>
  </si>
  <si>
    <t>doc-1103</t>
  </si>
  <si>
    <t>doc-1104</t>
  </si>
  <si>
    <t>doc-1105a</t>
  </si>
  <si>
    <t>doc-1106</t>
  </si>
  <si>
    <t>doc-1107</t>
  </si>
  <si>
    <t>doc-1108a</t>
  </si>
  <si>
    <t>doc-1109</t>
  </si>
  <si>
    <t>doc-1110a</t>
  </si>
  <si>
    <t>doc-1110b</t>
  </si>
  <si>
    <t>doc-1110d</t>
  </si>
  <si>
    <t>doc-1111</t>
  </si>
  <si>
    <t>doc-1113</t>
  </si>
  <si>
    <t>doc-1114</t>
  </si>
  <si>
    <t>doc-1115</t>
  </si>
  <si>
    <t>doc-1116a</t>
  </si>
  <si>
    <t>doc-1119</t>
  </si>
  <si>
    <t>doc-1122</t>
  </si>
  <si>
    <t>doc-1123</t>
  </si>
  <si>
    <t>doc-1124</t>
  </si>
  <si>
    <t>doc-1125</t>
  </si>
  <si>
    <t>doc-1126a</t>
  </si>
  <si>
    <t>doc-1127a</t>
  </si>
  <si>
    <t>doc-1128</t>
  </si>
  <si>
    <t>doc-1129a</t>
  </si>
  <si>
    <t>doc-1131a</t>
  </si>
  <si>
    <t>doc-1133</t>
  </si>
  <si>
    <t>doc-1134a</t>
  </si>
  <si>
    <t>doc-1135</t>
  </si>
  <si>
    <t>doc-1136</t>
  </si>
  <si>
    <t>doc-1137</t>
  </si>
  <si>
    <t>doc-1138</t>
  </si>
  <si>
    <t>doc-1139</t>
  </si>
  <si>
    <t>doc-1141</t>
  </si>
  <si>
    <t>doc-1143a</t>
  </si>
  <si>
    <t>doc-1144a</t>
  </si>
  <si>
    <t>doc-1145a</t>
  </si>
  <si>
    <t>doc-1146</t>
  </si>
  <si>
    <t>doc-1147a</t>
  </si>
  <si>
    <t>doc-1148</t>
  </si>
  <si>
    <t>doc-1149</t>
  </si>
  <si>
    <t>doc-1150a</t>
  </si>
  <si>
    <t>doc-1151</t>
  </si>
  <si>
    <t>doc-1152a</t>
  </si>
  <si>
    <t>doc-1153</t>
  </si>
  <si>
    <t>doc-1154</t>
  </si>
  <si>
    <t>doc-1155</t>
  </si>
  <si>
    <t>doc-1156</t>
  </si>
  <si>
    <t>doc-1157</t>
  </si>
  <si>
    <t>doc-1159</t>
  </si>
  <si>
    <t>doc-1160a</t>
  </si>
  <si>
    <t>doc-1163a</t>
  </si>
  <si>
    <t>doc-1164</t>
  </si>
  <si>
    <t>doc-1165</t>
  </si>
  <si>
    <t>doc-1166a</t>
  </si>
  <si>
    <t>doc-1167a</t>
  </si>
  <si>
    <t>doc-1170</t>
  </si>
  <si>
    <t>doc-1172a</t>
  </si>
  <si>
    <t>doc-1173</t>
  </si>
  <si>
    <t>doc-1174</t>
  </si>
  <si>
    <t>doc-1175</t>
  </si>
  <si>
    <t>doc-1176a</t>
  </si>
  <si>
    <t>doc-1177</t>
  </si>
  <si>
    <t>doc-1178</t>
  </si>
  <si>
    <t>doc-1179</t>
  </si>
  <si>
    <t>doc-1180</t>
  </si>
  <si>
    <t>doc-1181a</t>
  </si>
  <si>
    <t>doc-1182</t>
  </si>
  <si>
    <t>doc-1184</t>
  </si>
  <si>
    <t>doc-1185a</t>
  </si>
  <si>
    <t>doc-1186</t>
  </si>
  <si>
    <t>doc-1188a</t>
  </si>
  <si>
    <t>doc-1189a</t>
  </si>
  <si>
    <t>doc-1190a</t>
  </si>
  <si>
    <t>doc-1192a</t>
  </si>
  <si>
    <t>doc-1193a</t>
  </si>
  <si>
    <t>doc-1194</t>
  </si>
  <si>
    <t>doc-1196a</t>
  </si>
  <si>
    <t>doc-1197</t>
  </si>
  <si>
    <t>doc-1198</t>
  </si>
  <si>
    <t>doc-1199a</t>
  </si>
  <si>
    <t>doc-1201</t>
  </si>
  <si>
    <t>doc-1202</t>
  </si>
  <si>
    <t>doc-1203a</t>
  </si>
  <si>
    <t>doc-1205</t>
  </si>
  <si>
    <t>doc-1206</t>
  </si>
  <si>
    <t>doc-1207</t>
  </si>
  <si>
    <t>doc-1209</t>
  </si>
  <si>
    <t>doc-1210</t>
  </si>
  <si>
    <t>doc-1211a</t>
  </si>
  <si>
    <t>doc-1212</t>
  </si>
  <si>
    <t>doc-1213a</t>
  </si>
  <si>
    <t>doc-1215</t>
  </si>
  <si>
    <t>doc-1216</t>
  </si>
  <si>
    <t>doc-1217a</t>
  </si>
  <si>
    <t>doc-1218a</t>
  </si>
  <si>
    <t>doc-1221</t>
  </si>
  <si>
    <t>doc-1222</t>
  </si>
  <si>
    <t>doc-1224a</t>
  </si>
  <si>
    <t>doc-1224b</t>
  </si>
  <si>
    <t>doc-1226a</t>
  </si>
  <si>
    <t>doc-1227</t>
  </si>
  <si>
    <t>doc-1228a</t>
  </si>
  <si>
    <t>doc-1229</t>
  </si>
  <si>
    <t>doc-1230</t>
  </si>
  <si>
    <t>doc-1232</t>
  </si>
  <si>
    <t>doc-1233a</t>
  </si>
  <si>
    <t>doc-1235</t>
  </si>
  <si>
    <t>doc-1237b</t>
  </si>
  <si>
    <t>doc-1239</t>
  </si>
  <si>
    <t>doc-1240a</t>
  </si>
  <si>
    <t>doc-1241b</t>
  </si>
  <si>
    <t>doc-1242</t>
  </si>
  <si>
    <t>doc-1243a</t>
  </si>
  <si>
    <t>doc-1244</t>
  </si>
  <si>
    <t>doc-1246a</t>
  </si>
  <si>
    <t>doc-1247</t>
  </si>
  <si>
    <t>doc-1249</t>
  </si>
  <si>
    <t>doc-1250</t>
  </si>
  <si>
    <t>doc-1251a</t>
  </si>
  <si>
    <t>doc-1252</t>
  </si>
  <si>
    <t>doc-1253</t>
  </si>
  <si>
    <t>doc-1255</t>
  </si>
  <si>
    <t>doc-1257</t>
  </si>
  <si>
    <t>doc-1259a</t>
  </si>
  <si>
    <t>doc-1260a</t>
  </si>
  <si>
    <t>doc-1262a</t>
  </si>
  <si>
    <t>doc-1263</t>
  </si>
  <si>
    <t>doc-1264b</t>
  </si>
  <si>
    <t>doc-1265</t>
  </si>
  <si>
    <t>doc-1266a</t>
  </si>
  <si>
    <t>doc-1269a</t>
  </si>
  <si>
    <t>doc-1271a</t>
  </si>
  <si>
    <t>doc-1273a</t>
  </si>
  <si>
    <t>doc-1274a</t>
  </si>
  <si>
    <t>doc-1275b</t>
  </si>
  <si>
    <t>doc-1276</t>
  </si>
  <si>
    <t>doc-1277a</t>
  </si>
  <si>
    <t>doc-1278a</t>
  </si>
  <si>
    <t>doc-1279a</t>
  </si>
  <si>
    <t>doc-1279c</t>
  </si>
  <si>
    <t>doc-1280</t>
  </si>
  <si>
    <t>doc-1283a</t>
  </si>
  <si>
    <t>doc-1286</t>
  </si>
  <si>
    <t>doc-1288</t>
  </si>
  <si>
    <t>doc-1289</t>
  </si>
  <si>
    <t>doc-1290</t>
  </si>
  <si>
    <t>doc-1292</t>
  </si>
  <si>
    <t>doc-1295a</t>
  </si>
  <si>
    <t>doc-1296a</t>
  </si>
  <si>
    <t>doc-1298a</t>
  </si>
  <si>
    <t>doc-1299</t>
  </si>
  <si>
    <t>doc-1300</t>
  </si>
  <si>
    <t>doc-1302</t>
  </si>
  <si>
    <t>doc-1305</t>
  </si>
  <si>
    <t>doc-1306a</t>
  </si>
  <si>
    <t>doc-1312</t>
  </si>
  <si>
    <t>doc-1314</t>
  </si>
  <si>
    <t>doc-1316</t>
  </si>
  <si>
    <t>doc-1317a</t>
  </si>
  <si>
    <t>doc-1318</t>
  </si>
  <si>
    <t>doc-1319</t>
  </si>
  <si>
    <t>doc-1323</t>
  </si>
  <si>
    <t>doc-1324</t>
  </si>
  <si>
    <t>doc-1326a</t>
  </si>
  <si>
    <t>doc-1327</t>
  </si>
  <si>
    <t>doc-1328</t>
  </si>
  <si>
    <t>doc-1331</t>
  </si>
  <si>
    <t>doc-1332</t>
  </si>
  <si>
    <t>doc-1333</t>
  </si>
  <si>
    <t>doc-1334a</t>
  </si>
  <si>
    <t>doc-1334b</t>
  </si>
  <si>
    <t>doc-1334d</t>
  </si>
  <si>
    <t>doc-1335</t>
  </si>
  <si>
    <t>doc-1336</t>
  </si>
  <si>
    <t>doc-1337</t>
  </si>
  <si>
    <t>doc-1338a</t>
  </si>
  <si>
    <t>doc-1339</t>
  </si>
  <si>
    <t>doc-1349</t>
  </si>
  <si>
    <t>doc-1371</t>
  </si>
  <si>
    <t>doc-1372</t>
  </si>
  <si>
    <t>doc-1373</t>
  </si>
  <si>
    <t>doc-1377a</t>
  </si>
  <si>
    <t>doc-1388</t>
  </si>
  <si>
    <t>doc-1389b</t>
  </si>
  <si>
    <t>doc-1393a</t>
  </si>
  <si>
    <t>doc-1396</t>
  </si>
  <si>
    <t>doc-1404</t>
  </si>
  <si>
    <t>doc-1406</t>
  </si>
  <si>
    <t>doc-1407</t>
  </si>
  <si>
    <t>doc-1408</t>
  </si>
  <si>
    <t>doc-1409</t>
  </si>
  <si>
    <t>doc-1410</t>
  </si>
  <si>
    <t>doc-1411a</t>
  </si>
  <si>
    <t>doc-1412</t>
  </si>
  <si>
    <t>doc-1414</t>
  </si>
  <si>
    <t>doc-1415</t>
  </si>
  <si>
    <t>doc-1416</t>
  </si>
  <si>
    <t>doc-1417a</t>
  </si>
  <si>
    <t>doc-1417b</t>
  </si>
  <si>
    <t>doc-1418</t>
  </si>
  <si>
    <t>doc-1419</t>
  </si>
  <si>
    <t>doc-1420</t>
  </si>
  <si>
    <t>doc-1424</t>
  </si>
  <si>
    <t>doc-1425</t>
  </si>
  <si>
    <t>doc-1426</t>
  </si>
  <si>
    <t>doc-1427</t>
  </si>
  <si>
    <t>doc-1428</t>
  </si>
  <si>
    <t>doc-1430</t>
  </si>
  <si>
    <t>doc-1431a</t>
  </si>
  <si>
    <t>doc-1431b</t>
  </si>
  <si>
    <t>doc-1432</t>
  </si>
  <si>
    <t>doc-1433</t>
  </si>
  <si>
    <t>doc-1435</t>
  </si>
  <si>
    <t>doc-1436</t>
  </si>
  <si>
    <t>doc-1437</t>
  </si>
  <si>
    <t>doc-1438</t>
  </si>
  <si>
    <t>doc-1440</t>
  </si>
  <si>
    <t>doc-1441</t>
  </si>
  <si>
    <t>doc-1443a</t>
  </si>
  <si>
    <t>doc-1445</t>
  </si>
  <si>
    <t>doc-1446</t>
  </si>
  <si>
    <t>doc-1448a</t>
  </si>
  <si>
    <t>doc-1449</t>
  </si>
  <si>
    <t>doc-1451</t>
  </si>
  <si>
    <t>doc-1453</t>
  </si>
  <si>
    <t>doc-1454a</t>
  </si>
  <si>
    <t>doc-1455a</t>
  </si>
  <si>
    <t>doc-1456a</t>
  </si>
  <si>
    <t>doc-1457a</t>
  </si>
  <si>
    <t>doc-1458</t>
  </si>
  <si>
    <t>doc-1459a</t>
  </si>
  <si>
    <t>doc-1460a</t>
  </si>
  <si>
    <t>doc-1462a</t>
  </si>
  <si>
    <t>doc-1463a</t>
  </si>
  <si>
    <t>doc-1466</t>
  </si>
  <si>
    <t>doc-1468a</t>
  </si>
  <si>
    <t>doc-1470a</t>
  </si>
  <si>
    <t>doc-1471</t>
  </si>
  <si>
    <t>doc-1472</t>
  </si>
  <si>
    <t>doc-1474a</t>
  </si>
  <si>
    <t>doc-1475</t>
  </si>
  <si>
    <t>doc-1476a</t>
  </si>
  <si>
    <t>doc-1478a</t>
  </si>
  <si>
    <t>doc-1480</t>
  </si>
  <si>
    <t>doc-1481a</t>
  </si>
  <si>
    <t>doc-1481b</t>
  </si>
  <si>
    <t>doc-1483</t>
  </si>
  <si>
    <t>doc-1484a</t>
  </si>
  <si>
    <t>doc-1485a</t>
  </si>
  <si>
    <t>doc-1489b</t>
  </si>
  <si>
    <t>doc-1491a</t>
  </si>
  <si>
    <t>doc-1492a</t>
  </si>
  <si>
    <t>doc-1493</t>
  </si>
  <si>
    <t>doc-1494a</t>
  </si>
  <si>
    <t>doc-1495a</t>
  </si>
  <si>
    <t>doc-1496a</t>
  </si>
  <si>
    <t>doc-1497a</t>
  </si>
  <si>
    <t>doc-1499</t>
  </si>
  <si>
    <t>doc-1500a</t>
  </si>
  <si>
    <t>doc-1501</t>
  </si>
  <si>
    <t>doc-1503a</t>
  </si>
  <si>
    <t>doc-1504a</t>
  </si>
  <si>
    <t>doc-1505a</t>
  </si>
  <si>
    <t>doc-1506a</t>
  </si>
  <si>
    <t>doc-1517</t>
  </si>
  <si>
    <t>doc-1521</t>
  </si>
  <si>
    <t>doc-1522</t>
  </si>
  <si>
    <t>doc-1523a</t>
  </si>
  <si>
    <t>doc-1524</t>
  </si>
  <si>
    <t>doc-1525a</t>
  </si>
  <si>
    <t>doc-1526</t>
  </si>
  <si>
    <t>doc-1527</t>
  </si>
  <si>
    <t>doc-1529</t>
  </si>
  <si>
    <t>doc-1530</t>
  </si>
  <si>
    <t>doc-1532</t>
  </si>
  <si>
    <t>doc-1533</t>
  </si>
  <si>
    <t>doc-1534</t>
  </si>
  <si>
    <t>doc-1535</t>
  </si>
  <si>
    <t>doc-1536</t>
  </si>
  <si>
    <t>doc-1538</t>
  </si>
  <si>
    <t>doc-1539</t>
  </si>
  <si>
    <t>doc-1540</t>
  </si>
  <si>
    <t>doc-1541a</t>
  </si>
  <si>
    <t>doc-1541d</t>
  </si>
  <si>
    <t>doc-1543</t>
  </si>
  <si>
    <t>doc-1546</t>
  </si>
  <si>
    <t>doc-1547</t>
  </si>
  <si>
    <t>doc-1548</t>
  </si>
  <si>
    <t>doc-1549</t>
  </si>
  <si>
    <t>doc-1550</t>
  </si>
  <si>
    <t>doc-1551</t>
  </si>
  <si>
    <t>doc-1554a</t>
  </si>
  <si>
    <t>doc-1554b</t>
  </si>
  <si>
    <t>doc-1555</t>
  </si>
  <si>
    <t>doc-1558</t>
  </si>
  <si>
    <t>doc-1559a</t>
  </si>
  <si>
    <t>doc-1559b</t>
  </si>
  <si>
    <t>doc-1560</t>
  </si>
  <si>
    <t>doc-1561a</t>
  </si>
  <si>
    <t>doc-1561b</t>
  </si>
  <si>
    <t>doc-1562a</t>
  </si>
  <si>
    <t>doc-1562b</t>
  </si>
  <si>
    <t>doc-1563a</t>
  </si>
  <si>
    <t>doc-1563b</t>
  </si>
  <si>
    <t>doc-1564</t>
  </si>
  <si>
    <t>doc-1565</t>
  </si>
  <si>
    <t>doc-1566a</t>
  </si>
  <si>
    <t>doc-1566e</t>
  </si>
  <si>
    <t>doc-1567</t>
  </si>
  <si>
    <t>doc-1568</t>
  </si>
  <si>
    <t>doc-1570</t>
  </si>
  <si>
    <t>doc-1576</t>
  </si>
  <si>
    <t>doc-1581</t>
  </si>
  <si>
    <t>doc-1583a</t>
  </si>
  <si>
    <t>doc-1585</t>
  </si>
  <si>
    <t>doc-1587</t>
  </si>
  <si>
    <t>doc-1590</t>
  </si>
  <si>
    <t>doc-1659</t>
  </si>
  <si>
    <t>doc-1668a</t>
  </si>
  <si>
    <t>doc-1669</t>
  </si>
  <si>
    <t>doc-1670a</t>
  </si>
  <si>
    <t>doc-1672</t>
  </si>
  <si>
    <t>doc-1674</t>
  </si>
  <si>
    <t>doc-1676</t>
  </si>
  <si>
    <t>doc-1677</t>
  </si>
  <si>
    <t>doc-1678</t>
  </si>
  <si>
    <t>doc-1679</t>
  </si>
  <si>
    <t>doc-1680</t>
  </si>
  <si>
    <t>doc-1681</t>
  </si>
  <si>
    <t>doc-1683</t>
  </si>
  <si>
    <t>doc-1684</t>
  </si>
  <si>
    <t>doc-1685</t>
  </si>
  <si>
    <t>doc-1686</t>
  </si>
  <si>
    <t>doc-1722</t>
  </si>
  <si>
    <t>doc-1723</t>
  </si>
  <si>
    <t>doc-1726</t>
  </si>
  <si>
    <t>doc-1728</t>
  </si>
  <si>
    <t>doc-1732</t>
  </si>
  <si>
    <t>doc-1735</t>
  </si>
  <si>
    <t>doc-1737</t>
  </si>
  <si>
    <t>doc-1738</t>
  </si>
  <si>
    <t>doc-1739</t>
  </si>
  <si>
    <t>doc-1742</t>
  </si>
  <si>
    <t>doc-1743</t>
  </si>
  <si>
    <t>doc-1744</t>
  </si>
  <si>
    <t>doc-1746</t>
  </si>
  <si>
    <t>doc-1747</t>
  </si>
  <si>
    <t>doc-1748a</t>
  </si>
  <si>
    <t>doc-1748b</t>
  </si>
  <si>
    <t>doc-1750</t>
  </si>
  <si>
    <t>doc-1754</t>
  </si>
  <si>
    <t>doc-1755</t>
  </si>
  <si>
    <t>doc-1757</t>
  </si>
  <si>
    <t>doc-1758a</t>
  </si>
  <si>
    <t>doc-1759</t>
  </si>
  <si>
    <t>doc-1760</t>
  </si>
  <si>
    <t>doc-1769</t>
  </si>
  <si>
    <t>doc-1772</t>
  </si>
  <si>
    <t>doc-1773</t>
  </si>
  <si>
    <t>doc-1774</t>
  </si>
  <si>
    <t>doc-1776</t>
  </si>
  <si>
    <t>doc-1778</t>
  </si>
  <si>
    <t>doc-1779</t>
  </si>
  <si>
    <t>doc-1799</t>
  </si>
  <si>
    <t>doc-1800</t>
  </si>
  <si>
    <t>doc-1801</t>
  </si>
  <si>
    <t>doc-1802</t>
  </si>
  <si>
    <t>doc-1803</t>
  </si>
  <si>
    <t>doc-1806</t>
  </si>
  <si>
    <t>doc-1809</t>
  </si>
  <si>
    <t>doc-1816</t>
  </si>
  <si>
    <t>doc-1835</t>
  </si>
  <si>
    <t>doc-1838</t>
  </si>
  <si>
    <t>doc-1839</t>
  </si>
  <si>
    <t>doc-1842</t>
  </si>
  <si>
    <t>doc-1847</t>
  </si>
  <si>
    <t>doc-1849a</t>
  </si>
  <si>
    <t>doc-1849c</t>
  </si>
  <si>
    <t>doc-1857</t>
  </si>
  <si>
    <t>doc-1858</t>
  </si>
  <si>
    <t>doc-1860</t>
  </si>
  <si>
    <t>doc-1861</t>
  </si>
  <si>
    <t>doc-1862</t>
  </si>
  <si>
    <t>doc-1863</t>
  </si>
  <si>
    <t>doc-1864</t>
  </si>
  <si>
    <t>doc-1866</t>
  </si>
  <si>
    <t>doc-1870</t>
  </si>
  <si>
    <t>doc-1872</t>
  </si>
  <si>
    <t>doc-1874</t>
  </si>
  <si>
    <t>doc-1875</t>
  </si>
  <si>
    <t>doc-1877</t>
  </si>
  <si>
    <t>doc-1881</t>
  </si>
  <si>
    <t>doc-1892</t>
  </si>
  <si>
    <t>doc-1895</t>
  </si>
  <si>
    <t>doc-1896</t>
  </si>
  <si>
    <t>doc-1897</t>
  </si>
  <si>
    <t>doc-1901</t>
  </si>
  <si>
    <t>doc-1903</t>
  </si>
  <si>
    <t>doc-1907</t>
  </si>
  <si>
    <t>doc-1909</t>
  </si>
  <si>
    <t>doc-1913</t>
  </si>
  <si>
    <t>doc-1921</t>
  </si>
  <si>
    <t>doc-1924</t>
  </si>
  <si>
    <t>doc-1925</t>
  </si>
  <si>
    <t>doc-1926</t>
  </si>
  <si>
    <t>doc-1927</t>
  </si>
  <si>
    <t>doc-1928</t>
  </si>
  <si>
    <t>doc-1929</t>
  </si>
  <si>
    <t>doc-1930</t>
  </si>
  <si>
    <t>doc-1931</t>
  </si>
  <si>
    <t>doc-1933</t>
  </si>
  <si>
    <t>doc-1934</t>
  </si>
  <si>
    <t>doc-1936</t>
  </si>
  <si>
    <t>doc-1939</t>
  </si>
  <si>
    <t>doc-1952a</t>
  </si>
  <si>
    <t>doc-1954</t>
  </si>
  <si>
    <t>doc-1959</t>
  </si>
  <si>
    <t>doc-1990</t>
  </si>
  <si>
    <t>doc-1997</t>
  </si>
  <si>
    <t>doc-1998</t>
  </si>
  <si>
    <t>doc-1999</t>
  </si>
  <si>
    <t>doc-2003</t>
  </si>
  <si>
    <t>doc-2005</t>
  </si>
  <si>
    <t>doc-2007</t>
  </si>
  <si>
    <t>doc-2011</t>
  </si>
  <si>
    <t>doc-2013</t>
  </si>
  <si>
    <t>doc-2014</t>
  </si>
  <si>
    <t>doc-2015a</t>
  </si>
  <si>
    <t>doc-2016</t>
  </si>
  <si>
    <t>doc-2017</t>
  </si>
  <si>
    <t>doc-2018</t>
  </si>
  <si>
    <t>doc-2021</t>
  </si>
  <si>
    <t>doc-2022</t>
  </si>
  <si>
    <t>doc-2023</t>
  </si>
  <si>
    <t>doc-2024</t>
  </si>
  <si>
    <t>doc-2025</t>
  </si>
  <si>
    <t>doc-2028a</t>
  </si>
  <si>
    <t>doc-2028c</t>
  </si>
  <si>
    <t>doc-2031</t>
  </si>
  <si>
    <t>doc-2032</t>
  </si>
  <si>
    <t>doc-2034</t>
  </si>
  <si>
    <t>doc-2035</t>
  </si>
  <si>
    <t>doc-2039</t>
  </si>
  <si>
    <t>doc-2040</t>
  </si>
  <si>
    <t>doc-2041</t>
  </si>
  <si>
    <t>doc-2042</t>
  </si>
  <si>
    <t>doc-2043</t>
  </si>
  <si>
    <t>doc-2045</t>
  </si>
  <si>
    <t>doc-2046</t>
  </si>
  <si>
    <t>doc-2047</t>
  </si>
  <si>
    <t>doc-2048</t>
  </si>
  <si>
    <t>doc-2051</t>
  </si>
  <si>
    <t>doc-2052</t>
  </si>
  <si>
    <t>doc-2053</t>
  </si>
  <si>
    <t>doc-2055</t>
  </si>
  <si>
    <t>doc-2056</t>
  </si>
  <si>
    <t>doc-2057a</t>
  </si>
  <si>
    <t>doc-2057e</t>
  </si>
  <si>
    <t>doc-2059</t>
  </si>
  <si>
    <t>doc-2060</t>
  </si>
  <si>
    <t>doc-2062</t>
  </si>
  <si>
    <t>doc-2064</t>
  </si>
  <si>
    <t>doc-2065</t>
  </si>
  <si>
    <t>doc-2066</t>
  </si>
  <si>
    <t>doc-2069</t>
  </si>
  <si>
    <t>doc-2071</t>
  </si>
  <si>
    <t>doc-2089</t>
  </si>
  <si>
    <t>doc-2094a</t>
  </si>
  <si>
    <t>doc-2103</t>
  </si>
  <si>
    <t>doc-2104</t>
  </si>
  <si>
    <t>doc-2109</t>
  </si>
  <si>
    <t>doc-2113a</t>
  </si>
  <si>
    <t>doc-2118</t>
  </si>
  <si>
    <t>doc-2119</t>
  </si>
  <si>
    <t>doc-2120</t>
  </si>
  <si>
    <t>doc-2121</t>
  </si>
  <si>
    <t>doc-2122</t>
  </si>
  <si>
    <t>doc-2123</t>
  </si>
  <si>
    <t>doc-2127</t>
  </si>
  <si>
    <t>doc-2128</t>
  </si>
  <si>
    <t>doc-2129</t>
  </si>
  <si>
    <t>doc-2130</t>
  </si>
  <si>
    <t>doc-2131</t>
  </si>
  <si>
    <t>doc-2132</t>
  </si>
  <si>
    <t>doc-2133a</t>
  </si>
  <si>
    <t>doc-2135</t>
  </si>
  <si>
    <t>doc-2137</t>
  </si>
  <si>
    <t>doc-2138</t>
  </si>
  <si>
    <t>doc-2140</t>
  </si>
  <si>
    <t>doc-2141a</t>
  </si>
  <si>
    <t>doc-2143a</t>
  </si>
  <si>
    <t>doc-2144a</t>
  </si>
  <si>
    <t>doc-2146</t>
  </si>
  <si>
    <t>doc-2147a</t>
  </si>
  <si>
    <t>doc-2153a</t>
  </si>
  <si>
    <t>doc-2168</t>
  </si>
  <si>
    <t>doc-2171</t>
  </si>
  <si>
    <t>doc-2173</t>
  </si>
  <si>
    <t>doc-2174</t>
  </si>
  <si>
    <t>doc-2175</t>
  </si>
  <si>
    <t>doc-2177</t>
  </si>
  <si>
    <t>doc-2180</t>
  </si>
  <si>
    <t>doc-2184</t>
  </si>
  <si>
    <t>doc-2186</t>
  </si>
  <si>
    <t>doc-2187</t>
  </si>
  <si>
    <t>doc-2188</t>
  </si>
  <si>
    <t>doc-2189</t>
  </si>
  <si>
    <t>doc-2190</t>
  </si>
  <si>
    <t>doc-2191</t>
  </si>
  <si>
    <t>doc-2192</t>
  </si>
  <si>
    <t>doc-2195</t>
  </si>
  <si>
    <t>doc-2196</t>
  </si>
  <si>
    <t>doc-2221</t>
  </si>
  <si>
    <t>doc-2223b</t>
  </si>
  <si>
    <t>doc-2224</t>
  </si>
  <si>
    <t>doc-2225</t>
  </si>
  <si>
    <t>doc-2227</t>
  </si>
  <si>
    <t>doc-2228a</t>
  </si>
  <si>
    <t>doc-2229</t>
  </si>
  <si>
    <t>doc-2230</t>
  </si>
  <si>
    <t>doc-2232</t>
  </si>
  <si>
    <t>doc-2235</t>
  </si>
  <si>
    <t>doc-2238</t>
  </si>
  <si>
    <t>doc-2244</t>
  </si>
  <si>
    <t>doc-2247</t>
  </si>
  <si>
    <t>doc-2251</t>
  </si>
  <si>
    <t>doc-2252</t>
  </si>
  <si>
    <t>doc-2254</t>
  </si>
  <si>
    <t>doc-2255</t>
  </si>
  <si>
    <t>doc-2271</t>
  </si>
  <si>
    <t>doc-2272</t>
  </si>
  <si>
    <t>doc-2273</t>
  </si>
  <si>
    <t>doc-2274</t>
  </si>
  <si>
    <t>doc-2275</t>
  </si>
  <si>
    <t>doc-2279</t>
  </si>
  <si>
    <t>doc-2281</t>
  </si>
  <si>
    <t>doc-2283</t>
  </si>
  <si>
    <t>doc-2286</t>
  </si>
  <si>
    <t>doc-2293b</t>
  </si>
  <si>
    <t>doc-2296</t>
  </si>
  <si>
    <t>doc-2297</t>
  </si>
  <si>
    <t>doc-2303</t>
  </si>
  <si>
    <t>doc-2304</t>
  </si>
  <si>
    <t>doc-2305</t>
  </si>
  <si>
    <t>doc-2306</t>
  </si>
  <si>
    <t>doc-2309</t>
  </si>
  <si>
    <t>doc-2310</t>
  </si>
  <si>
    <t>doc-2312</t>
  </si>
  <si>
    <t>doc-2317</t>
  </si>
  <si>
    <t>doc-2319a</t>
  </si>
  <si>
    <t>doc-2320</t>
  </si>
  <si>
    <t>doc-2322</t>
  </si>
  <si>
    <t>doc-2323</t>
  </si>
  <si>
    <t>doc-2328</t>
  </si>
  <si>
    <t>doc-2329</t>
  </si>
  <si>
    <t>doc-2333</t>
  </si>
  <si>
    <t>doc-2334</t>
  </si>
  <si>
    <t>doc-2335</t>
  </si>
  <si>
    <t>doc-2339</t>
  </si>
  <si>
    <t>doc-2340</t>
  </si>
  <si>
    <t>doc-2341</t>
  </si>
  <si>
    <t>doc-2342</t>
  </si>
  <si>
    <t>doc-2343</t>
  </si>
  <si>
    <t>doc-2344</t>
  </si>
  <si>
    <t>doc-2345</t>
  </si>
  <si>
    <t>doc-2346</t>
  </si>
  <si>
    <t>doc-2348</t>
  </si>
  <si>
    <t>doc-2349</t>
  </si>
  <si>
    <t>doc-2355</t>
  </si>
  <si>
    <t>doc-2359</t>
  </si>
  <si>
    <t>doc-2360</t>
  </si>
  <si>
    <t>doc-2362</t>
  </si>
  <si>
    <t>doc-2364</t>
  </si>
  <si>
    <t>doc-2368</t>
  </si>
  <si>
    <t>doc-2371</t>
  </si>
  <si>
    <t>doc-2372</t>
  </si>
  <si>
    <t>doc-2390</t>
  </si>
  <si>
    <t>doc-2436</t>
  </si>
  <si>
    <t>doc-2439</t>
  </si>
  <si>
    <t>doc-2478</t>
  </si>
  <si>
    <t>doc-2479</t>
  </si>
  <si>
    <t>doc-2480</t>
  </si>
  <si>
    <t>doc-2481</t>
  </si>
  <si>
    <t>doc-2482</t>
  </si>
  <si>
    <t>doc-2483</t>
  </si>
  <si>
    <t>doc-2484</t>
  </si>
  <si>
    <t>doc-2486</t>
  </si>
  <si>
    <t>doc-2488</t>
  </si>
  <si>
    <t>doc-2490</t>
  </si>
  <si>
    <t>doc-2491</t>
  </si>
  <si>
    <t>doc-2492</t>
  </si>
  <si>
    <t>doc-2493</t>
  </si>
  <si>
    <t>doc-2494</t>
  </si>
  <si>
    <t>doc-2495</t>
  </si>
  <si>
    <t>doc-2498</t>
  </si>
  <si>
    <t>doc-2499</t>
  </si>
  <si>
    <t>doc-2500</t>
  </si>
  <si>
    <t>doc-2501</t>
  </si>
  <si>
    <t>doc-2503</t>
  </si>
  <si>
    <t>doc-2504</t>
  </si>
  <si>
    <t>doc-2505</t>
  </si>
  <si>
    <t>doc-2506</t>
  </si>
  <si>
    <t>doc-2508</t>
  </si>
  <si>
    <t>doc-2509</t>
  </si>
  <si>
    <t>doc-2512</t>
  </si>
  <si>
    <t>doc-2513</t>
  </si>
  <si>
    <t>doc-2514</t>
  </si>
  <si>
    <t>doc-2515</t>
  </si>
  <si>
    <t>doc-2517</t>
  </si>
  <si>
    <t>doc-2518</t>
  </si>
  <si>
    <t>doc-2520</t>
  </si>
  <si>
    <t>doc-2522</t>
  </si>
  <si>
    <t>doc-2523</t>
  </si>
  <si>
    <t>doc-2524</t>
  </si>
  <si>
    <t>doc-2526</t>
  </si>
  <si>
    <t>doc-2535</t>
  </si>
  <si>
    <t>doc-2542</t>
  </si>
  <si>
    <t>doc-2543</t>
  </si>
  <si>
    <t>doc-2544</t>
  </si>
  <si>
    <t>doc-2547</t>
  </si>
  <si>
    <t>doc-2562</t>
  </si>
  <si>
    <t>doc-2563</t>
  </si>
  <si>
    <t>doc-2564</t>
  </si>
  <si>
    <t>doc-2565b</t>
  </si>
  <si>
    <t>doc-2565d</t>
  </si>
  <si>
    <t>doc-2566</t>
  </si>
  <si>
    <t>doc-2567</t>
  </si>
  <si>
    <t>doc-2568</t>
  </si>
  <si>
    <t>doc-2569a</t>
  </si>
  <si>
    <t>doc-2569c</t>
  </si>
  <si>
    <t>doc-2570</t>
  </si>
  <si>
    <t>doc-2571</t>
  </si>
  <si>
    <t>doc-2572</t>
  </si>
  <si>
    <t>doc-2573</t>
  </si>
  <si>
    <t>doc-2574</t>
  </si>
  <si>
    <t>doc-2575</t>
  </si>
  <si>
    <t>doc-2576</t>
  </si>
  <si>
    <t>doc-2580</t>
  </si>
  <si>
    <t>doc-2583</t>
  </si>
  <si>
    <t>doc-2584</t>
  </si>
  <si>
    <t>doc-2585</t>
  </si>
  <si>
    <t>doc-2586</t>
  </si>
  <si>
    <t>doc-2587</t>
  </si>
  <si>
    <t>doc-2593</t>
  </si>
  <si>
    <t>doc-2594</t>
  </si>
  <si>
    <t>doc-2595</t>
  </si>
  <si>
    <t>doc-2596</t>
  </si>
  <si>
    <t>doc-2597</t>
  </si>
  <si>
    <t>doc-2603</t>
  </si>
  <si>
    <t>doc-2604</t>
  </si>
  <si>
    <t>doc-2605</t>
  </si>
  <si>
    <t>doc-2607</t>
  </si>
  <si>
    <t>doc-2610</t>
  </si>
  <si>
    <t>doc-2611</t>
  </si>
  <si>
    <t>doc-2612</t>
  </si>
  <si>
    <t>doc-2613</t>
  </si>
  <si>
    <t>doc-2618</t>
  </si>
  <si>
    <t>doc-2619</t>
  </si>
  <si>
    <t>doc-2624</t>
  </si>
  <si>
    <t>doc-2626</t>
  </si>
  <si>
    <t>doc-2627</t>
  </si>
  <si>
    <t>doc-2629</t>
  </si>
  <si>
    <t>doc-2631</t>
  </si>
  <si>
    <t>doc-2633</t>
  </si>
  <si>
    <t>doc-2635</t>
  </si>
  <si>
    <t>doc-2636</t>
  </si>
  <si>
    <t>doc-2637</t>
  </si>
  <si>
    <t>doc-2638a</t>
  </si>
  <si>
    <t>doc-2643</t>
  </si>
  <si>
    <t>doc-2644</t>
  </si>
  <si>
    <t>doc-2645a</t>
  </si>
  <si>
    <t>doc-2669a</t>
  </si>
  <si>
    <t>doc-2670</t>
  </si>
  <si>
    <t>doc-2675</t>
  </si>
  <si>
    <t>doc-2676</t>
  </si>
  <si>
    <t>doc-2677</t>
  </si>
  <si>
    <t>doc-2685</t>
  </si>
  <si>
    <t>doc-2687</t>
  </si>
  <si>
    <t>doc-2688</t>
  </si>
  <si>
    <t>doc-2689</t>
  </si>
  <si>
    <t>doc-2690</t>
  </si>
  <si>
    <t>doc-2691</t>
  </si>
  <si>
    <t>doc-2694</t>
  </si>
  <si>
    <t>doc-2695</t>
  </si>
  <si>
    <t>doc-2701</t>
  </si>
  <si>
    <t>doc-2702</t>
  </si>
  <si>
    <t>doc-2703</t>
  </si>
  <si>
    <t>doc-2704</t>
  </si>
  <si>
    <t>doc-2705</t>
  </si>
  <si>
    <t>doc-2706</t>
  </si>
  <si>
    <t>doc-2715</t>
  </si>
  <si>
    <t>doc-2716</t>
  </si>
  <si>
    <t>doc-2719</t>
  </si>
  <si>
    <t>doc-2720</t>
  </si>
  <si>
    <t>doc-2721</t>
  </si>
  <si>
    <t>doc-2722</t>
  </si>
  <si>
    <t>doc-2724</t>
  </si>
  <si>
    <t>doc-2726</t>
  </si>
  <si>
    <t>doc-2730</t>
  </si>
  <si>
    <t>doc-2743</t>
  </si>
  <si>
    <t>doc-2744</t>
  </si>
  <si>
    <t>doc-2745</t>
  </si>
  <si>
    <t>doc-2746</t>
  </si>
  <si>
    <t>doc-2748</t>
  </si>
  <si>
    <t>doc-2752</t>
  </si>
  <si>
    <t>doc-2753</t>
  </si>
  <si>
    <t>doc-2754</t>
  </si>
  <si>
    <t>doc-2756</t>
  </si>
  <si>
    <t>doc-2757</t>
  </si>
  <si>
    <t>doc-2758</t>
  </si>
  <si>
    <t>doc-2759</t>
  </si>
  <si>
    <t>doc-2760</t>
  </si>
  <si>
    <t>doc-2762</t>
  </si>
  <si>
    <t>doc-2763</t>
  </si>
  <si>
    <t>doc-2766</t>
  </si>
  <si>
    <t>doc-2767</t>
  </si>
  <si>
    <t>doc-2768</t>
  </si>
  <si>
    <t>doc-2770</t>
  </si>
  <si>
    <t>doc-2772</t>
  </si>
  <si>
    <t>doc-2773</t>
  </si>
  <si>
    <t>doc-2774</t>
  </si>
  <si>
    <t>doc-2775</t>
  </si>
  <si>
    <t>doc-2776</t>
  </si>
  <si>
    <t>doc-2778</t>
  </si>
  <si>
    <t>doc-2779</t>
  </si>
  <si>
    <t>doc-2780</t>
  </si>
  <si>
    <t>doc-2781</t>
  </si>
  <si>
    <t>doc-2782</t>
  </si>
  <si>
    <t>doc-2783</t>
  </si>
  <si>
    <t>doc-2784</t>
  </si>
  <si>
    <t>doc-2785</t>
  </si>
  <si>
    <t>doc-2786</t>
  </si>
  <si>
    <t>doc-2787</t>
  </si>
  <si>
    <t>doc-2788</t>
  </si>
  <si>
    <t>doc-2791</t>
  </si>
  <si>
    <t>doc-2792</t>
  </si>
  <si>
    <t>doc-2793a</t>
  </si>
  <si>
    <t>doc-2794</t>
  </si>
  <si>
    <t>doc-2796</t>
  </si>
  <si>
    <t>doc-2798</t>
  </si>
  <si>
    <t>doc-2804</t>
  </si>
  <si>
    <t>doc-2810</t>
  </si>
  <si>
    <t>doc-2811</t>
  </si>
  <si>
    <t>doc-2812</t>
  </si>
  <si>
    <t>doc-2815</t>
  </si>
  <si>
    <t>doc-2829</t>
  </si>
  <si>
    <t>doc-2830</t>
  </si>
  <si>
    <t>doc-2833</t>
  </si>
  <si>
    <t>doc-2834</t>
  </si>
  <si>
    <t>doc-2835</t>
  </si>
  <si>
    <t>doc-2836</t>
  </si>
  <si>
    <t>doc-2837</t>
  </si>
  <si>
    <t>doc-2838</t>
  </si>
  <si>
    <t>doc-2839</t>
  </si>
  <si>
    <t>doc-2840</t>
  </si>
  <si>
    <t>doc-2841</t>
  </si>
  <si>
    <t>doc-2842</t>
  </si>
  <si>
    <t>doc-2844</t>
  </si>
  <si>
    <t>doc-2845</t>
  </si>
  <si>
    <t>doc-2846</t>
  </si>
  <si>
    <t>doc-2847</t>
  </si>
  <si>
    <t>doc-2848</t>
  </si>
  <si>
    <t>doc-2849a</t>
  </si>
  <si>
    <t>doc-2849b</t>
  </si>
  <si>
    <t>doc-2850</t>
  </si>
  <si>
    <t>doc-2851</t>
  </si>
  <si>
    <t>doc-2852</t>
  </si>
  <si>
    <t>doc-2853</t>
  </si>
  <si>
    <t>doc-2856</t>
  </si>
  <si>
    <t>doc-2857b</t>
  </si>
  <si>
    <t>doc-2858</t>
  </si>
  <si>
    <t>doc-2860</t>
  </si>
  <si>
    <t>doc-2861</t>
  </si>
  <si>
    <t>doc-2862</t>
  </si>
  <si>
    <t>doc-2863</t>
  </si>
  <si>
    <t>doc-2866</t>
  </si>
  <si>
    <t>doc-2870</t>
  </si>
  <si>
    <t>doc-2871</t>
  </si>
  <si>
    <t>doc-2872</t>
  </si>
  <si>
    <t>doc-2884</t>
  </si>
  <si>
    <t>doc-2889</t>
  </si>
  <si>
    <t>doc-2891</t>
  </si>
  <si>
    <t>doc-2892</t>
  </si>
  <si>
    <t>doc-2893</t>
  </si>
  <si>
    <t>doc-2894</t>
  </si>
  <si>
    <t>doc-2895</t>
  </si>
  <si>
    <t>doc-2899</t>
  </si>
  <si>
    <t>doc-2900</t>
  </si>
  <si>
    <t>doc-2901</t>
  </si>
  <si>
    <t>doc-2902</t>
  </si>
  <si>
    <t>doc-2903</t>
  </si>
  <si>
    <t>doc-2904</t>
  </si>
  <si>
    <t>doc-2906</t>
  </si>
  <si>
    <t>doc-2908</t>
  </si>
  <si>
    <t>doc-2909</t>
  </si>
  <si>
    <t>doc-2910</t>
  </si>
  <si>
    <t>doc-2911</t>
  </si>
  <si>
    <t>doc-2912</t>
  </si>
  <si>
    <t>doc-2915a</t>
  </si>
  <si>
    <t>doc-2915b</t>
  </si>
  <si>
    <t>doc-805</t>
  </si>
  <si>
    <t>doc-806a</t>
  </si>
  <si>
    <t>doc-806b</t>
  </si>
  <si>
    <t>doc-807a</t>
  </si>
  <si>
    <t>doc-808</t>
  </si>
  <si>
    <t>doc-809</t>
  </si>
  <si>
    <t>doc-811</t>
  </si>
  <si>
    <t>doc-812</t>
  </si>
  <si>
    <t>doc-813</t>
  </si>
  <si>
    <t>doc-814a</t>
  </si>
  <si>
    <t>doc-815</t>
  </si>
  <si>
    <t>doc-816</t>
  </si>
  <si>
    <t>doc-817</t>
  </si>
  <si>
    <t>doc-819</t>
  </si>
  <si>
    <t>doc-820a</t>
  </si>
  <si>
    <t>doc-820b</t>
  </si>
  <si>
    <t>doc-820c</t>
  </si>
  <si>
    <t>doc-821</t>
  </si>
  <si>
    <t>doc-822</t>
  </si>
  <si>
    <t>doc-826</t>
  </si>
  <si>
    <t>doc-828</t>
  </si>
  <si>
    <t>doc-830</t>
  </si>
  <si>
    <t>doc-831</t>
  </si>
  <si>
    <t>doc-833</t>
  </si>
  <si>
    <t>doc-836</t>
  </si>
  <si>
    <t>doc-848</t>
  </si>
  <si>
    <t>doc-849</t>
  </si>
  <si>
    <t>doc-851</t>
  </si>
  <si>
    <t>doc-858</t>
  </si>
  <si>
    <t>doc-863</t>
  </si>
  <si>
    <t>doc-864</t>
  </si>
  <si>
    <t>doc-867</t>
  </si>
  <si>
    <t>doc-876</t>
  </si>
  <si>
    <t>doc-877</t>
  </si>
  <si>
    <t>doc-878</t>
  </si>
  <si>
    <t>doc-881</t>
  </si>
  <si>
    <t>doc-882</t>
  </si>
  <si>
    <t>doc-886</t>
  </si>
  <si>
    <t>doc-899a</t>
  </si>
  <si>
    <t>doc-899b</t>
  </si>
  <si>
    <t>doc-915</t>
  </si>
  <si>
    <t>doc-916</t>
  </si>
  <si>
    <t>doc-918</t>
  </si>
  <si>
    <t>doc-919</t>
  </si>
  <si>
    <t>doc-920</t>
  </si>
  <si>
    <t>doc-921</t>
  </si>
  <si>
    <t>doc-924</t>
  </si>
  <si>
    <t>doc-925</t>
  </si>
  <si>
    <t>doc-926</t>
  </si>
  <si>
    <t>doc-927a</t>
  </si>
  <si>
    <t>doc-927b</t>
  </si>
  <si>
    <t>doc-928</t>
  </si>
  <si>
    <t>doc-929</t>
  </si>
  <si>
    <t>doc-930</t>
  </si>
  <si>
    <t>doc-931</t>
  </si>
  <si>
    <t>doc-932a</t>
  </si>
  <si>
    <t>doc-932b</t>
  </si>
  <si>
    <t>doc-933</t>
  </si>
  <si>
    <t>doc-934</t>
  </si>
  <si>
    <t>doc-935</t>
  </si>
  <si>
    <t>doc-936</t>
  </si>
  <si>
    <t>doc-938</t>
  </si>
  <si>
    <t>doc-939</t>
  </si>
  <si>
    <t>doc-940</t>
  </si>
  <si>
    <t>doc-941</t>
  </si>
  <si>
    <t>doc-942</t>
  </si>
  <si>
    <t>doc-943</t>
  </si>
  <si>
    <t>doc-944</t>
  </si>
  <si>
    <t>doc-945</t>
  </si>
  <si>
    <t>doc-946</t>
  </si>
  <si>
    <t>doc-947b</t>
  </si>
  <si>
    <t>doc-948</t>
  </si>
  <si>
    <t>doc-949</t>
  </si>
  <si>
    <t>doc-950</t>
  </si>
  <si>
    <t>doc-952</t>
  </si>
  <si>
    <t>doc-953</t>
  </si>
  <si>
    <t>doc-954a</t>
  </si>
  <si>
    <t>doc-954b</t>
  </si>
  <si>
    <t>doc-955a</t>
  </si>
  <si>
    <t>doc-955b</t>
  </si>
  <si>
    <t>doc-956</t>
  </si>
  <si>
    <t>doc-957</t>
  </si>
  <si>
    <t>doc-958</t>
  </si>
  <si>
    <t>doc-959</t>
  </si>
  <si>
    <t>doc-960d</t>
  </si>
  <si>
    <t>doc-961</t>
  </si>
  <si>
    <t>doc-962</t>
  </si>
  <si>
    <t>doc-963</t>
  </si>
  <si>
    <t>doc-964</t>
  </si>
  <si>
    <t>doc-965</t>
  </si>
  <si>
    <t>doc-966</t>
  </si>
  <si>
    <t>doc-967</t>
  </si>
  <si>
    <t>doc-968</t>
  </si>
  <si>
    <t>doc-969</t>
  </si>
  <si>
    <t>doc-970</t>
  </si>
  <si>
    <t>doc-971</t>
  </si>
  <si>
    <t>doc-974</t>
  </si>
  <si>
    <t>doc-975a</t>
  </si>
  <si>
    <t>doc-975b</t>
  </si>
  <si>
    <t>doc-976</t>
  </si>
  <si>
    <t>doc-977</t>
  </si>
  <si>
    <t>doc-978</t>
  </si>
  <si>
    <t>doc-979</t>
  </si>
  <si>
    <t>doc-980</t>
  </si>
  <si>
    <t>doc-981</t>
  </si>
  <si>
    <t>doc-983</t>
  </si>
  <si>
    <t>doc-984</t>
  </si>
  <si>
    <t>doc-985</t>
  </si>
  <si>
    <t>doc-986a</t>
  </si>
  <si>
    <t>doc-986b</t>
  </si>
  <si>
    <t>doc-987</t>
  </si>
  <si>
    <t>doc-988</t>
  </si>
  <si>
    <t>doc-989</t>
  </si>
  <si>
    <t>doc-990</t>
  </si>
  <si>
    <t>doc-991</t>
  </si>
  <si>
    <t>doc-992</t>
  </si>
  <si>
    <t>doc-994</t>
  </si>
  <si>
    <t>doc-995</t>
  </si>
  <si>
    <t>doc-996</t>
  </si>
  <si>
    <t>doc-997</t>
  </si>
  <si>
    <t>doc-998</t>
  </si>
  <si>
    <t>doc-999a</t>
  </si>
  <si>
    <t>doc-x0001</t>
  </si>
  <si>
    <t>doc-x0002</t>
  </si>
  <si>
    <t>doc-x0003</t>
  </si>
  <si>
    <t>doc-x0004</t>
  </si>
  <si>
    <t>doc-x0005</t>
  </si>
  <si>
    <t>doc-x0007</t>
  </si>
  <si>
    <t>doc-x0008</t>
  </si>
  <si>
    <t>doc-x0011</t>
  </si>
  <si>
    <t>doc-x0012</t>
  </si>
  <si>
    <t>doc-x0013</t>
  </si>
  <si>
    <t>doc-x0014</t>
  </si>
  <si>
    <t>doc-x0015</t>
  </si>
  <si>
    <t>doc-x0016</t>
  </si>
  <si>
    <t>doc-x0017</t>
  </si>
  <si>
    <t>doc-x0018</t>
  </si>
  <si>
    <t>doc-x0019</t>
  </si>
  <si>
    <t>doc-x0020</t>
  </si>
  <si>
    <t>doc-x0021</t>
  </si>
  <si>
    <t>doc-x0025</t>
  </si>
  <si>
    <t>doc-x0026</t>
  </si>
  <si>
    <t>doc-x0027</t>
  </si>
  <si>
    <t>doc-x0028</t>
  </si>
  <si>
    <t>doc-x0030</t>
  </si>
  <si>
    <t>doc-x0031</t>
  </si>
  <si>
    <t>doc-x0034</t>
  </si>
  <si>
    <t>doc-x0035</t>
  </si>
  <si>
    <t>doc-x0037</t>
  </si>
  <si>
    <t>doc-x0038</t>
  </si>
  <si>
    <t>doc-x0039</t>
  </si>
  <si>
    <t>doc-x0040</t>
  </si>
  <si>
    <t>doc-x0042</t>
  </si>
  <si>
    <t>doc-x0043</t>
  </si>
  <si>
    <t>doc-x0044</t>
  </si>
  <si>
    <t>doc-x0045</t>
  </si>
  <si>
    <t>doc-x0046</t>
  </si>
  <si>
    <t>doc-x0047</t>
  </si>
  <si>
    <t>doc-x0048</t>
  </si>
  <si>
    <t>doc-x0049</t>
  </si>
  <si>
    <t>doc-x0050</t>
  </si>
  <si>
    <t>doc-x0051</t>
  </si>
  <si>
    <t>doc-x0052</t>
  </si>
  <si>
    <t>doc-x0054</t>
  </si>
  <si>
    <t>doc-x0055</t>
  </si>
  <si>
    <t>doc-x0056</t>
  </si>
  <si>
    <t>doc-x0057</t>
  </si>
  <si>
    <t>doc-x0058</t>
  </si>
  <si>
    <t>doc-x0059</t>
  </si>
  <si>
    <t>doc-x0060</t>
  </si>
  <si>
    <t>doc-x0061</t>
  </si>
  <si>
    <t>doc-x0062</t>
  </si>
  <si>
    <t>doc-x0063</t>
  </si>
  <si>
    <t>doc-x0064</t>
  </si>
  <si>
    <t>doc-x0065</t>
  </si>
  <si>
    <t>doc-x0066</t>
  </si>
  <si>
    <t>doc-x0067</t>
  </si>
  <si>
    <t>doc-x0068</t>
  </si>
  <si>
    <t>doc-x0069</t>
  </si>
  <si>
    <t>doc-x0070</t>
  </si>
  <si>
    <t>doc-x0071</t>
  </si>
  <si>
    <t>doc-x0072</t>
  </si>
  <si>
    <t>doc-x0073</t>
  </si>
  <si>
    <t>doc-x0074</t>
  </si>
  <si>
    <t>doc-x0076</t>
  </si>
  <si>
    <t>doc-x0077</t>
  </si>
  <si>
    <t>doc-x0078</t>
  </si>
  <si>
    <t>doc-x0079</t>
  </si>
  <si>
    <t>doc-x0080</t>
  </si>
  <si>
    <t>doc-x0082</t>
  </si>
  <si>
    <t>doc-x0083</t>
  </si>
  <si>
    <t>doc-x0084</t>
  </si>
  <si>
    <t>doc-x0085</t>
  </si>
  <si>
    <t>doc-x0086</t>
  </si>
  <si>
    <t>doc-x0087</t>
  </si>
  <si>
    <t>doc-x0088</t>
  </si>
  <si>
    <t>doc-x0089</t>
  </si>
  <si>
    <t>doc-x0090</t>
  </si>
  <si>
    <t>doc-x0091</t>
  </si>
  <si>
    <t>doc-x0092</t>
  </si>
  <si>
    <t>doc-x0093</t>
  </si>
  <si>
    <t>doc-x0094</t>
  </si>
  <si>
    <t>doc-x0095</t>
  </si>
  <si>
    <t>doc-x0096</t>
  </si>
  <si>
    <t>doc-x0097</t>
  </si>
  <si>
    <t>doc-x0098</t>
  </si>
  <si>
    <t>doc-x0099</t>
  </si>
  <si>
    <t>doc-x0100</t>
  </si>
  <si>
    <t>doc-x0101</t>
  </si>
  <si>
    <t>doc-x0102</t>
  </si>
  <si>
    <t>doc-x0103</t>
  </si>
  <si>
    <t>doc-x0104</t>
  </si>
  <si>
    <t>doc-x0105</t>
  </si>
  <si>
    <t>doc-x0106</t>
  </si>
  <si>
    <t>doc-x0107</t>
  </si>
  <si>
    <t>doc-x0108</t>
  </si>
  <si>
    <t>doc-x0109</t>
  </si>
  <si>
    <t>doc-x0110</t>
  </si>
  <si>
    <t>doc-x0114</t>
  </si>
  <si>
    <t>doc-x0115</t>
  </si>
  <si>
    <t>doc-x0116</t>
  </si>
  <si>
    <t>doc-x0118</t>
  </si>
  <si>
    <t>doc-x0120</t>
  </si>
  <si>
    <t>doc-x0121</t>
  </si>
  <si>
    <t>doc-x0122</t>
  </si>
  <si>
    <t>doc-x0123</t>
  </si>
  <si>
    <t>doc-x0124</t>
  </si>
  <si>
    <t>doc-x0125</t>
  </si>
  <si>
    <t>doc-x0127</t>
  </si>
  <si>
    <t>doc-x0128</t>
  </si>
  <si>
    <t>doc-x0129</t>
  </si>
  <si>
    <t>doc-x0130</t>
  </si>
  <si>
    <t>doc-x0131</t>
  </si>
  <si>
    <t>doc-x0132</t>
  </si>
  <si>
    <t>doc-x0133</t>
  </si>
  <si>
    <t>doc-x0134</t>
  </si>
  <si>
    <t>doc-x0135</t>
  </si>
  <si>
    <t>doc-x0136</t>
  </si>
  <si>
    <t>doc-x0138</t>
  </si>
  <si>
    <t>doc-x0139</t>
  </si>
  <si>
    <t>doc-x0141</t>
  </si>
  <si>
    <t>doc-x0142</t>
  </si>
  <si>
    <t>doc-x0143</t>
  </si>
  <si>
    <t>doc-x0144</t>
  </si>
  <si>
    <t>doc-x0145</t>
  </si>
  <si>
    <t>doc-x0146</t>
  </si>
  <si>
    <t>doc-x0147</t>
  </si>
  <si>
    <t>doc-x0148</t>
  </si>
  <si>
    <t>doc-x0149</t>
  </si>
  <si>
    <t>doc-x0150</t>
  </si>
  <si>
    <t>doc-x0151</t>
  </si>
  <si>
    <t>doc-x0152</t>
  </si>
  <si>
    <t>doc-x0154</t>
  </si>
  <si>
    <t>doc-x0155</t>
  </si>
  <si>
    <t>doc-x0156</t>
  </si>
  <si>
    <t>doc-x0157</t>
  </si>
  <si>
    <t>doc-x0158</t>
  </si>
  <si>
    <t>doc-x0159</t>
  </si>
  <si>
    <t>doc-x0160</t>
  </si>
  <si>
    <t>doc-x0161</t>
  </si>
  <si>
    <t>doc-x0162</t>
  </si>
  <si>
    <t>doc-x0163</t>
  </si>
  <si>
    <t>doc-x0165</t>
  </si>
  <si>
    <t>doc-x0168</t>
  </si>
  <si>
    <t>doc-x0169</t>
  </si>
  <si>
    <t>doc-x0173</t>
  </si>
  <si>
    <t>doc-x0175</t>
  </si>
  <si>
    <t>doc-x0178</t>
  </si>
  <si>
    <t>doc-x0179</t>
  </si>
  <si>
    <t>doc-x0180</t>
  </si>
  <si>
    <t>doc-x0181</t>
  </si>
  <si>
    <t>doc-x0182</t>
  </si>
  <si>
    <t>doc-x0183</t>
  </si>
  <si>
    <t>doc-x0184</t>
  </si>
  <si>
    <t>doc-x0185</t>
  </si>
  <si>
    <t>doc-x0186</t>
  </si>
  <si>
    <t>doc-x0187</t>
  </si>
  <si>
    <t>doc-x0188</t>
  </si>
  <si>
    <t>doc-x0189</t>
  </si>
  <si>
    <t>doc-x0191</t>
  </si>
  <si>
    <t>doc-x0192</t>
  </si>
  <si>
    <t>doc-x0193</t>
  </si>
  <si>
    <t>doc-x0194</t>
  </si>
  <si>
    <t>doc-x0195</t>
  </si>
  <si>
    <t>doc-x0196</t>
  </si>
  <si>
    <t>doc-x0231</t>
  </si>
  <si>
    <t>doc-x0232</t>
  </si>
  <si>
    <t>doc-x0233</t>
  </si>
  <si>
    <t>doc-x0234</t>
  </si>
  <si>
    <t>doc-x0235</t>
  </si>
  <si>
    <t>doc-x0236</t>
  </si>
  <si>
    <t>doc-x0237</t>
  </si>
  <si>
    <t>doc-x0238</t>
  </si>
  <si>
    <t>doc-x0240</t>
  </si>
  <si>
    <t>doc-x0241</t>
  </si>
  <si>
    <t>doc-x0242</t>
  </si>
  <si>
    <t>doc-x0243</t>
  </si>
  <si>
    <t>doc-x0244</t>
  </si>
  <si>
    <t>doc-x0245</t>
  </si>
  <si>
    <t>doc-x0300</t>
  </si>
  <si>
    <t>doc-x0302</t>
  </si>
  <si>
    <t>doc-x0304</t>
  </si>
  <si>
    <t>doc-x0308</t>
  </si>
  <si>
    <t>doc-x0309</t>
  </si>
  <si>
    <t>doc-x0311</t>
  </si>
  <si>
    <t>doc-x0313</t>
  </si>
  <si>
    <t>doc-x0314</t>
  </si>
  <si>
    <t>doc-x0315</t>
  </si>
  <si>
    <t>doc-x0317</t>
  </si>
  <si>
    <t>doc-x0322</t>
  </si>
  <si>
    <t>doc-x0331</t>
  </si>
  <si>
    <t>doc-x0333</t>
  </si>
  <si>
    <t>doc-x0334</t>
  </si>
  <si>
    <t>doc-x0339</t>
  </si>
  <si>
    <t>doc-x0344</t>
  </si>
  <si>
    <t>doc-x0350</t>
  </si>
  <si>
    <t>doc-x0351</t>
  </si>
  <si>
    <t>doc-x0353</t>
  </si>
  <si>
    <t>doc-x0354</t>
  </si>
  <si>
    <t>doc-x0355</t>
  </si>
  <si>
    <t>doc-x0356</t>
  </si>
  <si>
    <t>doc-x0362</t>
  </si>
  <si>
    <t>doc-x0365</t>
  </si>
  <si>
    <t>doc-x0366</t>
  </si>
  <si>
    <t>doc-x0367</t>
  </si>
  <si>
    <t>doc-x0368</t>
  </si>
  <si>
    <t>doc-x0369</t>
  </si>
  <si>
    <t>doc-x0372</t>
  </si>
  <si>
    <t>doc-x0375</t>
  </si>
  <si>
    <t>doc-x0376</t>
  </si>
  <si>
    <t>doc-x0377</t>
  </si>
  <si>
    <t>doc-x0380</t>
  </si>
  <si>
    <t>doc-x0383</t>
  </si>
  <si>
    <t>doc-x0384</t>
  </si>
  <si>
    <t>doc-x0385</t>
  </si>
  <si>
    <t>doc-x0386</t>
  </si>
  <si>
    <t>doc-x0388</t>
  </si>
  <si>
    <t>doc-x0389</t>
  </si>
  <si>
    <t>doc-x0390</t>
  </si>
  <si>
    <t>doc-x0391</t>
  </si>
  <si>
    <t>doc-x0393</t>
  </si>
  <si>
    <t>doc-x0396</t>
  </si>
  <si>
    <t>doc-x0401</t>
  </si>
  <si>
    <t>doc-x0403</t>
  </si>
  <si>
    <t>doc-x0404</t>
  </si>
  <si>
    <t>doc-x0407</t>
  </si>
  <si>
    <t>doc-x0408</t>
  </si>
  <si>
    <t>doc-x0416</t>
  </si>
  <si>
    <t>doc-x0418</t>
  </si>
  <si>
    <t>doc-x0419</t>
  </si>
  <si>
    <t>doc-x0426</t>
  </si>
  <si>
    <t>doc-x0429</t>
  </si>
  <si>
    <t>doc-x0430</t>
  </si>
  <si>
    <t>doc-x0434</t>
  </si>
  <si>
    <t>doc-x0444</t>
  </si>
  <si>
    <t>doc-x0445</t>
  </si>
  <si>
    <t>doc-x0453</t>
  </si>
  <si>
    <t>doc-x0456</t>
  </si>
  <si>
    <t>doc-x0457</t>
  </si>
  <si>
    <t>doc-x0458</t>
  </si>
  <si>
    <t>doc-x0466</t>
  </si>
  <si>
    <t>doc-x0469</t>
  </si>
  <si>
    <t>doc-x0474</t>
  </si>
  <si>
    <t>doc-x0478</t>
  </si>
  <si>
    <t>doc-x0480</t>
  </si>
  <si>
    <t>doc-x0482</t>
  </si>
  <si>
    <t>doc-x0483</t>
  </si>
  <si>
    <t>doc-x0484</t>
  </si>
  <si>
    <t>doc-x0486</t>
  </si>
  <si>
    <t>doc-x0487</t>
  </si>
  <si>
    <t>doc-x0492</t>
  </si>
  <si>
    <t>doc-x0497</t>
  </si>
  <si>
    <t>doc-x0499</t>
  </si>
  <si>
    <t>doc-x0502</t>
  </si>
  <si>
    <t>doc-x0506</t>
  </si>
  <si>
    <t>doc-x0507</t>
  </si>
  <si>
    <t>doc-x0509</t>
  </si>
  <si>
    <t>doc-x0512</t>
  </si>
  <si>
    <t>doc-x0523</t>
  </si>
  <si>
    <t>doc-x0524</t>
  </si>
  <si>
    <t>doc-x0525</t>
  </si>
  <si>
    <t>doc-x0528</t>
  </si>
  <si>
    <t>doc-x0534</t>
  </si>
  <si>
    <t>doc-x0536</t>
  </si>
  <si>
    <t>doc-x0542</t>
  </si>
  <si>
    <t>doc-x0543</t>
  </si>
  <si>
    <t>doc-x0544</t>
  </si>
  <si>
    <t>doc-x0548</t>
  </si>
  <si>
    <t>doc-x0551</t>
  </si>
  <si>
    <t>doc-x0552</t>
  </si>
  <si>
    <t>doc-x0560</t>
  </si>
  <si>
    <t>doc-x0572</t>
  </si>
  <si>
    <t>doc-x0581</t>
  </si>
  <si>
    <t>doc-x0586</t>
  </si>
  <si>
    <t>doc-x0588</t>
  </si>
  <si>
    <t>doc-x0594</t>
  </si>
  <si>
    <t>doc-x0600</t>
  </si>
  <si>
    <t>doc-x0604</t>
  </si>
  <si>
    <t>doc-x0605</t>
  </si>
  <si>
    <t>doc-x0612</t>
  </si>
  <si>
    <t>doc-x0613</t>
  </si>
  <si>
    <t>doc-x0614</t>
  </si>
  <si>
    <t>doc-x0617</t>
  </si>
  <si>
    <t>doc-x0624</t>
  </si>
  <si>
    <t>doc-x0625</t>
  </si>
  <si>
    <t>doc-x0626</t>
  </si>
  <si>
    <t>doc-x0627</t>
  </si>
  <si>
    <t>doc-x0628</t>
  </si>
  <si>
    <t>doc-x0630</t>
  </si>
  <si>
    <t>doc-x0632</t>
  </si>
  <si>
    <t>doc-x0634</t>
  </si>
  <si>
    <t>doc-x0638</t>
  </si>
  <si>
    <t>doc-x0640</t>
  </si>
  <si>
    <t>doc-x0653</t>
  </si>
  <si>
    <t>doc-x0657</t>
  </si>
  <si>
    <t>doc-x0660</t>
  </si>
  <si>
    <t>doc-x0661</t>
  </si>
  <si>
    <t>doc-x0668</t>
  </si>
  <si>
    <t>doc-x0669</t>
  </si>
  <si>
    <t>doc-x0670</t>
  </si>
  <si>
    <t>doc-x0671</t>
  </si>
  <si>
    <t>doc-x0672</t>
  </si>
  <si>
    <t>doc-x0673</t>
  </si>
  <si>
    <t>doc-x0674</t>
  </si>
  <si>
    <t>doc-x0685</t>
  </si>
  <si>
    <t>doc-x0691</t>
  </si>
  <si>
    <t>doc-x0705</t>
  </si>
  <si>
    <t>doc-x0707</t>
  </si>
  <si>
    <t>doc-x0711</t>
  </si>
  <si>
    <t>doc-x0716</t>
  </si>
  <si>
    <t>doc-x0717</t>
  </si>
  <si>
    <t>doc-x0718</t>
  </si>
  <si>
    <t>doc-x0719</t>
  </si>
  <si>
    <t>doc-x0720</t>
  </si>
  <si>
    <t>doc-x0722</t>
  </si>
  <si>
    <t>doc-x0723</t>
  </si>
  <si>
    <t>doc-x0725</t>
  </si>
  <si>
    <t>doc-x0730</t>
  </si>
  <si>
    <t>doc-x0731</t>
  </si>
  <si>
    <t>doc-x0732</t>
  </si>
  <si>
    <t>doc-x0739</t>
  </si>
  <si>
    <t>doc-x0745</t>
  </si>
  <si>
    <t>doc-x0750</t>
  </si>
  <si>
    <t>doc-x0752</t>
  </si>
  <si>
    <t>doc-x0753</t>
  </si>
  <si>
    <t>doc-x0754</t>
  </si>
  <si>
    <t>doc-x0755</t>
  </si>
  <si>
    <t>doc-x0759</t>
  </si>
  <si>
    <t>doc-x0760</t>
  </si>
  <si>
    <t>doc-x0762</t>
  </si>
  <si>
    <t>doc-x0764</t>
  </si>
  <si>
    <t>doc-x0765</t>
  </si>
  <si>
    <t>doc-x0766</t>
  </si>
  <si>
    <t>doc-x0771</t>
  </si>
  <si>
    <t>doc-x0773</t>
  </si>
  <si>
    <t>doc-x0774</t>
  </si>
  <si>
    <t>doc-x0780</t>
  </si>
  <si>
    <t>doc-x0784</t>
  </si>
  <si>
    <t>doc-x0786</t>
  </si>
  <si>
    <t>doc-x0788</t>
  </si>
  <si>
    <t>doc-x0789</t>
  </si>
  <si>
    <t>doc-x0794</t>
  </si>
  <si>
    <t>doc-x0796</t>
  </si>
  <si>
    <t>doc-x0798</t>
  </si>
  <si>
    <t>doc-x0803</t>
  </si>
  <si>
    <t>doc-x0806</t>
  </si>
  <si>
    <t>doc-x0809</t>
  </si>
  <si>
    <t>doc-x0812</t>
  </si>
  <si>
    <t>doc-x0817</t>
  </si>
  <si>
    <t>doc-x0818</t>
  </si>
  <si>
    <t>doc-x0826</t>
  </si>
  <si>
    <t>doc-x0827</t>
  </si>
  <si>
    <t>doc-x0842</t>
  </si>
  <si>
    <t>doc-x0847</t>
  </si>
  <si>
    <t>doc-x0852</t>
  </si>
  <si>
    <t>doc-x0855</t>
  </si>
  <si>
    <t>doc-x0859</t>
  </si>
  <si>
    <t>doc-x0867</t>
  </si>
  <si>
    <t>doc-x0869</t>
  </si>
  <si>
    <t>doc-x0879</t>
  </si>
  <si>
    <t>doc-x0881</t>
  </si>
  <si>
    <t>doc-x0883</t>
  </si>
  <si>
    <t>doc-x0888</t>
  </si>
  <si>
    <t>doc-x0889</t>
  </si>
  <si>
    <t>doc-x0892</t>
  </si>
  <si>
    <t>doc-x0896</t>
  </si>
  <si>
    <t>doc-x0898</t>
  </si>
  <si>
    <t>doc-x0902</t>
  </si>
  <si>
    <t>doc-x0908</t>
  </si>
  <si>
    <t>doc-x0912</t>
  </si>
  <si>
    <t>doc-x0913</t>
  </si>
  <si>
    <t>doc-x0914</t>
  </si>
  <si>
    <t>doc-x0917</t>
  </si>
  <si>
    <t>doc-x0920</t>
  </si>
  <si>
    <t>doc-x0922</t>
  </si>
  <si>
    <t>doc-x0924</t>
  </si>
  <si>
    <t>doc-x0942</t>
  </si>
  <si>
    <t>doc-x0943</t>
  </si>
  <si>
    <t>doc-x0944</t>
  </si>
  <si>
    <t>doc-x0946</t>
  </si>
  <si>
    <t>doc-x0961</t>
  </si>
  <si>
    <t>doc-x0965</t>
  </si>
  <si>
    <t>doc-x0966</t>
  </si>
  <si>
    <t>doc-x0967</t>
  </si>
  <si>
    <t>doc-x0970</t>
  </si>
  <si>
    <t>doc-x0974</t>
  </si>
  <si>
    <t>doc-x0976</t>
  </si>
  <si>
    <t>doc-x0980</t>
  </si>
  <si>
    <t>doc-x0983</t>
  </si>
  <si>
    <t>doc-x0988</t>
  </si>
  <si>
    <t>doc-x0992</t>
  </si>
  <si>
    <t>doc-x1001</t>
  </si>
  <si>
    <t>doc-x1010</t>
  </si>
  <si>
    <t>doc-x1011</t>
  </si>
  <si>
    <t>doc-x1028</t>
  </si>
  <si>
    <t>doc-x1033</t>
  </si>
  <si>
    <t>doc-x1034</t>
  </si>
  <si>
    <t>doc-x1040</t>
  </si>
  <si>
    <t>doc-x1041</t>
  </si>
  <si>
    <t>doc-x1042</t>
  </si>
  <si>
    <t>doc-x1043</t>
  </si>
  <si>
    <t>doc-x1046</t>
  </si>
  <si>
    <t>doc-x1047</t>
  </si>
  <si>
    <t>doc-x1048</t>
  </si>
  <si>
    <t>doc-x1049</t>
  </si>
  <si>
    <t>doc-x1050</t>
  </si>
  <si>
    <t>doc-x1051</t>
  </si>
  <si>
    <t>doc-x1052</t>
  </si>
  <si>
    <t>doc-x1053</t>
  </si>
  <si>
    <t>doc-x1054</t>
  </si>
  <si>
    <t>doc-x1055</t>
  </si>
  <si>
    <t>doc</t>
  </si>
  <si>
    <t>pos</t>
  </si>
  <si>
    <t>person</t>
  </si>
  <si>
    <t>there is an academic document named '{1}'
  has the ordered author '[1]-author-{20}' as author
  has the ordered author '[1]-author-{21}' as author
  has the ordered author '[1]-author-{22}' as author
  has the ordered author '[1]-author-{23}' as author
  has the ordered author '[1]-author-{24}' as author
  has the ordered author '[1]-author-{25}' as author
  has the ordered author '[1]-author-{26}' as author
  has the ordered author '[1]-author-{27}' as author
  has the ordered author '[1]-author-{28}' as author
  has the ordered author '[1]-author-{29}' as author
  has the ordered author '[1]-author-{30}' as author
  has the ordered author '[1]-author-{31}' as author
  has the ordered author '[1]-author-{32}' as author
  has the ordered author '[1]-author-{33}' as author
  has the ordered author '[1]-author-{34}' as author</t>
  </si>
  <si>
    <t>there is a ordered author named '[1]-author-{30}'
  has the person '{30}' as author person and
  has '11' as author index.</t>
  </si>
  <si>
    <t>there is a ordered author named '[1]-author-{31}'
  has the person '{31}' as author person and
  has '12' as author index.</t>
  </si>
  <si>
    <t>there is a ordered author named '[1]-author-{32}'
  has the person '{32}' as author person and
  has '13' as author index.</t>
  </si>
  <si>
    <t>there is a ordered author named '[1]-author-{33}'
  has the person '{33}' as author person and
  has '14' as author index.</t>
  </si>
  <si>
    <t>there is a ordered author named '[1]-author-{34}'
  has the person '{34}' as author person and
  has '15' as author index.</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</si>
</sst>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9]dd\ mmmm\ yyyy;@"/>
  </numFmts>
  <fonts count="12" x14ac:knownFonts="1">
    <font>
      <sz val="12"/>
      <color theme="1"/>
      <name val="Calibri"/>
      <family val="2"/>
      <scheme val="minor"/>
    </font>
    <font>
      <b/>
      <sz val="12"/>
      <color theme="1"/>
      <name val="Calibri"/>
      <family val="2"/>
      <scheme val="minor"/>
    </font>
    <font>
      <u/>
      <sz val="12"/>
      <color theme="11"/>
      <name val="Calibri"/>
      <family val="2"/>
      <scheme val="minor"/>
    </font>
    <font>
      <sz val="8"/>
      <name val="Calibri"/>
      <family val="2"/>
      <scheme val="minor"/>
    </font>
    <font>
      <u/>
      <sz val="12"/>
      <color theme="10"/>
      <name val="Calibri"/>
      <family val="2"/>
      <scheme val="minor"/>
    </font>
    <font>
      <sz val="12"/>
      <color rgb="FF0000FF"/>
      <name val="Calibri"/>
      <scheme val="minor"/>
    </font>
    <font>
      <sz val="12"/>
      <color rgb="FF000000"/>
      <name val="Calibri"/>
      <family val="2"/>
      <scheme val="minor"/>
    </font>
    <font>
      <i/>
      <sz val="12"/>
      <color theme="1"/>
      <name val="Calibri"/>
      <scheme val="minor"/>
    </font>
    <font>
      <sz val="12"/>
      <color rgb="FF000000"/>
      <name val="Lucida Grande"/>
    </font>
    <font>
      <sz val="12"/>
      <name val="Calibri"/>
      <scheme val="minor"/>
    </font>
    <font>
      <sz val="13"/>
      <color rgb="FF000000"/>
      <name val="Helvetica"/>
    </font>
    <font>
      <b/>
      <u/>
      <sz val="12"/>
      <color theme="1"/>
      <name val="Calibri"/>
      <scheme val="minor"/>
    </font>
  </fonts>
  <fills count="3">
    <fill>
      <patternFill patternType="none"/>
    </fill>
    <fill>
      <patternFill patternType="gray125"/>
    </fill>
    <fill>
      <patternFill patternType="solid">
        <fgColor rgb="FFFFFF00"/>
        <bgColor indexed="64"/>
      </patternFill>
    </fill>
  </fills>
  <borders count="12">
    <border>
      <left/>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right/>
      <top/>
      <bottom style="thin">
        <color auto="1"/>
      </bottom>
      <diagonal/>
    </border>
    <border>
      <left/>
      <right/>
      <top style="thin">
        <color auto="1"/>
      </top>
      <bottom style="thin">
        <color auto="1"/>
      </bottom>
      <diagonal/>
    </border>
  </borders>
  <cellStyleXfs count="182">
    <xf numFmtId="0" fontId="0"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cellStyleXfs>
  <cellXfs count="84">
    <xf numFmtId="0" fontId="0" fillId="0" borderId="0" xfId="0"/>
    <xf numFmtId="0" fontId="1" fillId="2" borderId="0" xfId="0" applyFont="1" applyFill="1"/>
    <xf numFmtId="0" fontId="0" fillId="0" borderId="0" xfId="0" quotePrefix="1"/>
    <xf numFmtId="0" fontId="0" fillId="0" borderId="0" xfId="0" applyAlignment="1">
      <alignment wrapText="1"/>
    </xf>
    <xf numFmtId="17" fontId="0" fillId="0" borderId="0" xfId="0" quotePrefix="1" applyNumberFormat="1"/>
    <xf numFmtId="0" fontId="1" fillId="2" borderId="0" xfId="0" applyFont="1" applyFill="1" applyAlignment="1">
      <alignment horizontal="center"/>
    </xf>
    <xf numFmtId="0" fontId="0" fillId="0" borderId="0" xfId="0" applyAlignment="1">
      <alignment horizontal="right"/>
    </xf>
    <xf numFmtId="0" fontId="1" fillId="0" borderId="0" xfId="0" applyFont="1" applyAlignment="1">
      <alignment horizontal="right" vertical="top"/>
    </xf>
    <xf numFmtId="0" fontId="1" fillId="2" borderId="0" xfId="0" applyFont="1" applyFill="1" applyAlignment="1"/>
    <xf numFmtId="0" fontId="0" fillId="0" borderId="0" xfId="0" applyAlignment="1">
      <alignment horizontal="left"/>
    </xf>
    <xf numFmtId="0" fontId="1" fillId="0" borderId="0" xfId="0" applyFont="1" applyAlignment="1">
      <alignment horizontal="left" vertical="top"/>
    </xf>
    <xf numFmtId="0" fontId="0" fillId="0" borderId="0" xfId="0" applyAlignment="1">
      <alignment horizontal="left" vertical="top"/>
    </xf>
    <xf numFmtId="0" fontId="0" fillId="0" borderId="0" xfId="0" applyAlignment="1">
      <alignment vertical="top" wrapText="1"/>
    </xf>
    <xf numFmtId="0" fontId="0" fillId="0" borderId="0" xfId="0" applyFont="1" applyAlignment="1">
      <alignment horizontal="left" vertical="top"/>
    </xf>
    <xf numFmtId="0" fontId="0" fillId="0" borderId="0" xfId="0" applyFont="1" applyAlignment="1">
      <alignment horizontal="left" vertical="top" wrapText="1"/>
    </xf>
    <xf numFmtId="0" fontId="5" fillId="0" borderId="0" xfId="0" applyFont="1"/>
    <xf numFmtId="0" fontId="1" fillId="0" borderId="0" xfId="0" applyFont="1" applyFill="1" applyAlignment="1">
      <alignment horizontal="center"/>
    </xf>
    <xf numFmtId="0" fontId="1" fillId="0" borderId="0" xfId="0" applyFont="1" applyFill="1"/>
    <xf numFmtId="0" fontId="0" fillId="0" borderId="0" xfId="0" applyFill="1"/>
    <xf numFmtId="0" fontId="1" fillId="0" borderId="0" xfId="0" applyFont="1" applyFill="1" applyAlignment="1"/>
    <xf numFmtId="17" fontId="0" fillId="0" borderId="0" xfId="0" quotePrefix="1" applyNumberFormat="1" applyFill="1"/>
    <xf numFmtId="0" fontId="0" fillId="0" borderId="0" xfId="0" applyAlignment="1">
      <alignment horizontal="left" vertical="top"/>
    </xf>
    <xf numFmtId="17" fontId="0" fillId="0" borderId="0" xfId="0" quotePrefix="1" applyNumberFormat="1" applyAlignment="1">
      <alignment horizontal="left"/>
    </xf>
    <xf numFmtId="0" fontId="1" fillId="0" borderId="0" xfId="0" applyFont="1" applyAlignment="1">
      <alignment horizontal="right"/>
    </xf>
    <xf numFmtId="0" fontId="7" fillId="0" borderId="0" xfId="0" applyFont="1"/>
    <xf numFmtId="0" fontId="5" fillId="0" borderId="0" xfId="0" applyFont="1" applyAlignment="1">
      <alignment horizontal="left" vertical="top"/>
    </xf>
    <xf numFmtId="164" fontId="0" fillId="0" borderId="0" xfId="0" applyNumberFormat="1"/>
    <xf numFmtId="0" fontId="0" fillId="0" borderId="0" xfId="0" applyAlignment="1">
      <alignment horizontal="left" vertical="top"/>
    </xf>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9" fillId="0" borderId="6" xfId="0" applyFont="1" applyBorder="1"/>
    <xf numFmtId="0" fontId="0" fillId="0" borderId="6" xfId="0" applyBorder="1"/>
    <xf numFmtId="0" fontId="1" fillId="2" borderId="7" xfId="0" applyFont="1" applyFill="1" applyBorder="1"/>
    <xf numFmtId="0" fontId="1" fillId="2" borderId="8" xfId="0" applyFont="1" applyFill="1" applyBorder="1"/>
    <xf numFmtId="0" fontId="0" fillId="0" borderId="9" xfId="0" applyBorder="1"/>
    <xf numFmtId="0" fontId="0" fillId="0" borderId="0" xfId="0" applyBorder="1"/>
    <xf numFmtId="0" fontId="0" fillId="0" borderId="10" xfId="0" applyBorder="1"/>
    <xf numFmtId="0" fontId="1" fillId="2" borderId="11" xfId="0" applyFont="1" applyFill="1" applyBorder="1"/>
    <xf numFmtId="49" fontId="0" fillId="0" borderId="0" xfId="0" applyNumberFormat="1"/>
    <xf numFmtId="17" fontId="9" fillId="0" borderId="0" xfId="0" quotePrefix="1" applyNumberFormat="1" applyFont="1" applyAlignment="1">
      <alignment horizontal="left"/>
    </xf>
    <xf numFmtId="0" fontId="9" fillId="0" borderId="0" xfId="0" applyFont="1" applyAlignment="1">
      <alignment horizontal="left"/>
    </xf>
    <xf numFmtId="0" fontId="0" fillId="0" borderId="7" xfId="0" applyBorder="1"/>
    <xf numFmtId="0" fontId="0" fillId="0" borderId="11" xfId="0" applyBorder="1"/>
    <xf numFmtId="0" fontId="5" fillId="0" borderId="11" xfId="0" applyFont="1" applyBorder="1"/>
    <xf numFmtId="0" fontId="0" fillId="0" borderId="11" xfId="0" applyFill="1" applyBorder="1"/>
    <xf numFmtId="0" fontId="0" fillId="0" borderId="8" xfId="0" applyBorder="1"/>
    <xf numFmtId="0" fontId="5" fillId="0" borderId="9" xfId="0" applyFont="1" applyBorder="1"/>
    <xf numFmtId="0" fontId="0" fillId="0" borderId="9" xfId="0" applyFill="1" applyBorder="1"/>
    <xf numFmtId="0" fontId="5" fillId="0" borderId="10" xfId="0" applyFont="1" applyBorder="1"/>
    <xf numFmtId="0" fontId="0" fillId="0" borderId="10" xfId="0" applyFill="1" applyBorder="1"/>
    <xf numFmtId="0" fontId="5" fillId="0" borderId="0" xfId="0" applyFont="1" applyBorder="1"/>
    <xf numFmtId="0" fontId="0" fillId="0" borderId="0" xfId="0" applyFill="1" applyBorder="1"/>
    <xf numFmtId="0" fontId="1" fillId="2" borderId="2" xfId="0" applyFont="1" applyFill="1" applyBorder="1" applyAlignment="1">
      <alignment horizontal="center"/>
    </xf>
    <xf numFmtId="0" fontId="1" fillId="2" borderId="5" xfId="0" applyFont="1" applyFill="1" applyBorder="1"/>
    <xf numFmtId="0" fontId="1" fillId="2" borderId="10" xfId="0" applyFont="1" applyFill="1" applyBorder="1"/>
    <xf numFmtId="0" fontId="1" fillId="2" borderId="6" xfId="0" applyFont="1" applyFill="1" applyBorder="1"/>
    <xf numFmtId="0" fontId="10" fillId="0" borderId="0" xfId="0" applyFont="1"/>
    <xf numFmtId="0" fontId="4" fillId="0" borderId="0" xfId="165"/>
    <xf numFmtId="0" fontId="0" fillId="0" borderId="2" xfId="0" quotePrefix="1" applyBorder="1"/>
    <xf numFmtId="0" fontId="0" fillId="0" borderId="4" xfId="0" quotePrefix="1" applyBorder="1"/>
    <xf numFmtId="0" fontId="0" fillId="0" borderId="6" xfId="0" quotePrefix="1" applyBorder="1"/>
    <xf numFmtId="0" fontId="1" fillId="0" borderId="0" xfId="0" applyFont="1"/>
    <xf numFmtId="0" fontId="0" fillId="0" borderId="0" xfId="0"/>
    <xf numFmtId="0" fontId="1" fillId="2" borderId="3" xfId="0" applyFont="1" applyFill="1" applyBorder="1"/>
    <xf numFmtId="0" fontId="1" fillId="2" borderId="0" xfId="0" applyFont="1" applyFill="1" applyBorder="1"/>
    <xf numFmtId="49" fontId="1" fillId="2" borderId="4" xfId="0" applyNumberFormat="1" applyFont="1" applyFill="1" applyBorder="1"/>
    <xf numFmtId="49" fontId="0" fillId="0" borderId="0" xfId="0" applyNumberFormat="1" applyBorder="1"/>
    <xf numFmtId="0" fontId="0" fillId="0" borderId="0" xfId="0" applyAlignment="1">
      <alignment horizontal="left" vertical="top" wrapText="1"/>
    </xf>
    <xf numFmtId="0" fontId="1" fillId="2" borderId="0" xfId="0" applyFont="1" applyFill="1" applyAlignment="1">
      <alignment horizontal="center"/>
    </xf>
    <xf numFmtId="0" fontId="0" fillId="0" borderId="0" xfId="0" applyAlignment="1">
      <alignment horizontal="left" vertical="top"/>
    </xf>
    <xf numFmtId="0" fontId="0" fillId="0" borderId="0" xfId="0" quotePrefix="1" applyAlignment="1">
      <alignment horizontal="left" vertical="top" wrapText="1"/>
    </xf>
    <xf numFmtId="0" fontId="0" fillId="0" borderId="0" xfId="0"/>
    <xf numFmtId="0" fontId="1" fillId="2" borderId="1" xfId="0" applyFont="1" applyFill="1" applyBorder="1" applyAlignment="1">
      <alignment horizontal="center"/>
    </xf>
    <xf numFmtId="0" fontId="1" fillId="2" borderId="9" xfId="0" applyFont="1" applyFill="1" applyBorder="1" applyAlignment="1">
      <alignment horizontal="center"/>
    </xf>
    <xf numFmtId="0" fontId="1" fillId="2" borderId="2" xfId="0" applyFont="1" applyFill="1" applyBorder="1" applyAlignment="1">
      <alignment horizontal="center"/>
    </xf>
    <xf numFmtId="0" fontId="6" fillId="0" borderId="0" xfId="0" applyNumberFormat="1" applyFont="1"/>
    <xf numFmtId="0" fontId="1" fillId="2" borderId="0" xfId="0" applyFont="1" applyFill="1" applyAlignment="1">
      <alignment horizontal="left"/>
    </xf>
    <xf numFmtId="17" fontId="5" fillId="0" borderId="0" xfId="0" quotePrefix="1" applyNumberFormat="1" applyFont="1"/>
    <xf numFmtId="49" fontId="1" fillId="2" borderId="0" xfId="0" applyNumberFormat="1" applyFont="1" applyFill="1" applyAlignment="1"/>
    <xf numFmtId="49" fontId="1" fillId="2" borderId="0" xfId="0" applyNumberFormat="1" applyFont="1" applyFill="1"/>
    <xf numFmtId="49" fontId="0" fillId="0" borderId="0" xfId="0" quotePrefix="1" applyNumberFormat="1"/>
  </cellXfs>
  <cellStyles count="182">
    <cellStyle name="Followed Hyperlink" xfId="1" builtinId="9" hidden="1"/>
    <cellStyle name="Followed Hyperlink" xfId="2" builtinId="9" hidden="1"/>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3" builtinId="9" hidden="1"/>
    <cellStyle name="Followed Hyperlink" xfId="164"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5" builtinId="8"/>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haredStrings" Target="sharedStrings.xml"/><Relationship Id="rId21" Type="http://schemas.openxmlformats.org/officeDocument/2006/relationships/calcChain" Target="calcChain.xml"/><Relationship Id="rId22"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theme" Target="theme/theme1.xml"/><Relationship Id="rId19" Type="http://schemas.openxmlformats.org/officeDocument/2006/relationships/styles" Target="styles.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63500</xdr:colOff>
          <xdr:row>4</xdr:row>
          <xdr:rowOff>25400</xdr:rowOff>
        </xdr:from>
        <xdr:to>
          <xdr:col>5</xdr:col>
          <xdr:colOff>3556000</xdr:colOff>
          <xdr:row>5</xdr:row>
          <xdr:rowOff>165100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Generate 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ashboard" enableFormatConditionsCalculation="0"/>
  <dimension ref="B2:T35"/>
  <sheetViews>
    <sheetView tabSelected="1" workbookViewId="0">
      <selection activeCell="B4" sqref="B4"/>
    </sheetView>
  </sheetViews>
  <sheetFormatPr baseColWidth="10" defaultRowHeight="15" x14ac:dyDescent="0"/>
  <cols>
    <col min="1" max="1" width="2.33203125" customWidth="1"/>
    <col min="2" max="2" width="18.83203125" style="6" customWidth="1"/>
    <col min="3" max="3" width="14.1640625" customWidth="1"/>
    <col min="4" max="4" width="18.83203125" customWidth="1"/>
    <col min="5" max="6" width="47.1640625" customWidth="1"/>
    <col min="7" max="7" width="10.83203125" customWidth="1"/>
  </cols>
  <sheetData>
    <row r="2" spans="2:20">
      <c r="B2" s="71" t="s">
        <v>148</v>
      </c>
      <c r="C2" s="71"/>
      <c r="D2" s="71"/>
      <c r="E2" s="71"/>
      <c r="F2" s="71"/>
    </row>
    <row r="3" spans="2:20">
      <c r="B3" s="7" t="s">
        <v>143</v>
      </c>
      <c r="C3" s="72" t="s">
        <v>237</v>
      </c>
      <c r="D3" s="72"/>
      <c r="E3" s="72"/>
      <c r="F3" s="72"/>
    </row>
    <row r="4" spans="2:20" ht="142" customHeight="1">
      <c r="B4" s="7" t="s">
        <v>144</v>
      </c>
      <c r="C4" s="73" t="s">
        <v>5501</v>
      </c>
      <c r="D4" s="73"/>
      <c r="E4" s="73"/>
      <c r="F4" s="73"/>
      <c r="H4" s="70" t="s">
        <v>5030</v>
      </c>
      <c r="I4" s="70"/>
      <c r="J4" s="70"/>
      <c r="K4" s="70"/>
      <c r="L4" s="70"/>
      <c r="M4" s="70"/>
    </row>
    <row r="5" spans="2:20" ht="15" customHeight="1">
      <c r="B5" s="7" t="s">
        <v>154</v>
      </c>
      <c r="C5" s="73">
        <v>1000</v>
      </c>
      <c r="D5" s="73"/>
      <c r="E5" s="73"/>
      <c r="F5" s="73"/>
    </row>
    <row r="6" spans="2:20">
      <c r="B6" s="23" t="s">
        <v>238</v>
      </c>
      <c r="C6" t="s">
        <v>245</v>
      </c>
      <c r="D6" s="24" t="s">
        <v>4201</v>
      </c>
    </row>
    <row r="7" spans="2:20">
      <c r="B7" s="23"/>
    </row>
    <row r="8" spans="2:20">
      <c r="B8" s="71" t="s">
        <v>149</v>
      </c>
      <c r="C8" s="71"/>
      <c r="D8" s="71"/>
      <c r="E8" s="71"/>
      <c r="F8" s="71"/>
    </row>
    <row r="9" spans="2:20">
      <c r="B9" s="10" t="s">
        <v>145</v>
      </c>
      <c r="C9" s="10" t="s">
        <v>146</v>
      </c>
      <c r="D9" s="10" t="s">
        <v>147</v>
      </c>
      <c r="E9" s="10" t="s">
        <v>186</v>
      </c>
      <c r="F9" s="10" t="s">
        <v>187</v>
      </c>
    </row>
    <row r="10" spans="2:20" ht="180">
      <c r="B10" s="13" t="s">
        <v>170</v>
      </c>
      <c r="C10" s="25" t="str">
        <f>"B4:P"&amp;$C$6</f>
        <v>B4:P(max)</v>
      </c>
      <c r="D10" s="13" t="s">
        <v>173</v>
      </c>
      <c r="E10" s="14" t="s">
        <v>191</v>
      </c>
      <c r="F10" s="12" t="s">
        <v>189</v>
      </c>
    </row>
    <row r="11" spans="2:20" ht="60">
      <c r="B11" s="13" t="s">
        <v>170</v>
      </c>
      <c r="C11" s="25" t="str">
        <f>"B4:S"&amp;$C$6</f>
        <v>B4:S(max)</v>
      </c>
      <c r="D11" s="13" t="s">
        <v>185</v>
      </c>
      <c r="E11" s="14" t="s">
        <v>190</v>
      </c>
      <c r="F11" s="14" t="s">
        <v>203</v>
      </c>
    </row>
    <row r="12" spans="2:20" ht="30">
      <c r="B12" s="13" t="s">
        <v>170</v>
      </c>
      <c r="C12" s="25" t="str">
        <f>"B4:I"&amp;$C$6</f>
        <v>B4:I(max)</v>
      </c>
      <c r="D12" s="13" t="s">
        <v>181</v>
      </c>
      <c r="E12" s="14" t="s">
        <v>182</v>
      </c>
    </row>
    <row r="13" spans="2:20" ht="240">
      <c r="B13" s="13" t="s">
        <v>170</v>
      </c>
      <c r="C13" s="25" t="str">
        <f>"B4:AI"&amp;$C$6</f>
        <v>B4:AI(max)</v>
      </c>
      <c r="D13" s="13" t="s">
        <v>192</v>
      </c>
      <c r="E13" s="14" t="s">
        <v>10881</v>
      </c>
      <c r="F13" s="12" t="s">
        <v>193</v>
      </c>
      <c r="G13" s="12" t="s">
        <v>194</v>
      </c>
      <c r="H13" s="12" t="s">
        <v>195</v>
      </c>
      <c r="I13" s="12" t="s">
        <v>196</v>
      </c>
      <c r="J13" s="12" t="s">
        <v>197</v>
      </c>
      <c r="K13" s="12" t="s">
        <v>198</v>
      </c>
      <c r="L13" s="12" t="s">
        <v>199</v>
      </c>
      <c r="M13" s="12" t="s">
        <v>200</v>
      </c>
      <c r="N13" s="12" t="s">
        <v>201</v>
      </c>
      <c r="O13" s="12" t="s">
        <v>202</v>
      </c>
      <c r="P13" s="12" t="s">
        <v>10882</v>
      </c>
      <c r="Q13" s="12" t="s">
        <v>10883</v>
      </c>
      <c r="R13" s="12" t="s">
        <v>10884</v>
      </c>
      <c r="S13" s="12" t="s">
        <v>10885</v>
      </c>
      <c r="T13" s="12" t="s">
        <v>10886</v>
      </c>
    </row>
    <row r="14" spans="2:20" ht="30">
      <c r="B14" s="13" t="s">
        <v>170</v>
      </c>
      <c r="C14" s="25" t="str">
        <f>"B4:N"&amp;$C$6</f>
        <v>B4:N(max)</v>
      </c>
      <c r="D14" s="13" t="s">
        <v>183</v>
      </c>
      <c r="E14" s="14" t="s">
        <v>184</v>
      </c>
    </row>
    <row r="15" spans="2:20" ht="105">
      <c r="B15" s="13" t="s">
        <v>171</v>
      </c>
      <c r="C15" s="11" t="s">
        <v>179</v>
      </c>
      <c r="D15" s="13" t="s">
        <v>174</v>
      </c>
      <c r="E15" s="14" t="s">
        <v>246</v>
      </c>
      <c r="F15" s="12"/>
    </row>
    <row r="16" spans="2:20" ht="75">
      <c r="B16" s="13" t="s">
        <v>171</v>
      </c>
      <c r="C16" s="11" t="s">
        <v>5381</v>
      </c>
      <c r="D16" s="13" t="s">
        <v>180</v>
      </c>
      <c r="E16" s="14" t="s">
        <v>5382</v>
      </c>
    </row>
    <row r="17" spans="2:5" ht="45">
      <c r="B17" s="13" t="s">
        <v>171</v>
      </c>
      <c r="C17" s="27" t="s">
        <v>261</v>
      </c>
      <c r="D17" s="13" t="s">
        <v>251</v>
      </c>
      <c r="E17" s="14" t="s">
        <v>260</v>
      </c>
    </row>
    <row r="18" spans="2:5" ht="105">
      <c r="B18" s="13" t="s">
        <v>172</v>
      </c>
      <c r="C18" s="11" t="s">
        <v>176</v>
      </c>
      <c r="D18" s="13" t="s">
        <v>175</v>
      </c>
      <c r="E18" s="14" t="s">
        <v>177</v>
      </c>
    </row>
    <row r="19" spans="2:5" ht="45">
      <c r="B19" s="11" t="s">
        <v>153</v>
      </c>
      <c r="C19" s="11" t="s">
        <v>156</v>
      </c>
      <c r="D19" s="11" t="s">
        <v>151</v>
      </c>
      <c r="E19" s="12" t="s">
        <v>188</v>
      </c>
    </row>
    <row r="20" spans="2:5" ht="60">
      <c r="B20" s="11" t="s">
        <v>36</v>
      </c>
      <c r="C20" s="11" t="s">
        <v>159</v>
      </c>
      <c r="D20" s="11" t="s">
        <v>165</v>
      </c>
      <c r="E20" s="12" t="s">
        <v>236</v>
      </c>
    </row>
    <row r="21" spans="2:5" ht="120">
      <c r="B21" s="11" t="s">
        <v>166</v>
      </c>
      <c r="C21" s="11" t="s">
        <v>168</v>
      </c>
      <c r="D21" s="11" t="s">
        <v>167</v>
      </c>
      <c r="E21" s="12" t="s">
        <v>169</v>
      </c>
    </row>
    <row r="22" spans="2:5" ht="75">
      <c r="B22" s="11" t="s">
        <v>152</v>
      </c>
      <c r="C22" s="11" t="s">
        <v>155</v>
      </c>
      <c r="D22" s="11" t="s">
        <v>150</v>
      </c>
      <c r="E22" s="12" t="s">
        <v>160</v>
      </c>
    </row>
    <row r="23" spans="2:5" ht="60">
      <c r="B23" s="11" t="s">
        <v>157</v>
      </c>
      <c r="C23" s="11" t="s">
        <v>159</v>
      </c>
      <c r="D23" s="11" t="s">
        <v>158</v>
      </c>
      <c r="E23" s="12" t="s">
        <v>161</v>
      </c>
    </row>
    <row r="24" spans="2:5" ht="45">
      <c r="B24" s="11" t="s">
        <v>162</v>
      </c>
      <c r="C24" s="11" t="s">
        <v>156</v>
      </c>
      <c r="D24" s="11" t="s">
        <v>163</v>
      </c>
      <c r="E24" s="12" t="s">
        <v>164</v>
      </c>
    </row>
    <row r="25" spans="2:5">
      <c r="B25" s="11" t="s">
        <v>228</v>
      </c>
      <c r="C25" s="11" t="s">
        <v>232</v>
      </c>
      <c r="D25" s="11" t="s">
        <v>229</v>
      </c>
      <c r="E25" s="12" t="s">
        <v>4200</v>
      </c>
    </row>
    <row r="26" spans="2:5" ht="45">
      <c r="B26" s="11" t="s">
        <v>230</v>
      </c>
      <c r="C26" s="11" t="s">
        <v>156</v>
      </c>
      <c r="D26" s="11" t="s">
        <v>231</v>
      </c>
      <c r="E26" s="12" t="s">
        <v>233</v>
      </c>
    </row>
    <row r="27" spans="2:5" ht="30">
      <c r="B27" s="11" t="s">
        <v>241</v>
      </c>
      <c r="C27" s="21" t="s">
        <v>242</v>
      </c>
      <c r="D27" s="11" t="s">
        <v>243</v>
      </c>
      <c r="E27" s="12" t="s">
        <v>244</v>
      </c>
    </row>
    <row r="28" spans="2:5" ht="30">
      <c r="B28" s="27" t="s">
        <v>325</v>
      </c>
      <c r="C28" s="27" t="s">
        <v>242</v>
      </c>
      <c r="D28" s="27" t="s">
        <v>326</v>
      </c>
      <c r="E28" s="12" t="s">
        <v>327</v>
      </c>
    </row>
    <row r="29" spans="2:5">
      <c r="B29" s="11"/>
      <c r="C29" s="11"/>
      <c r="D29" s="11"/>
      <c r="E29" s="12"/>
    </row>
    <row r="30" spans="2:5">
      <c r="B30" s="11"/>
      <c r="C30" s="11"/>
      <c r="D30" s="11"/>
      <c r="E30" s="12"/>
    </row>
    <row r="31" spans="2:5">
      <c r="B31" s="11"/>
      <c r="C31" s="11"/>
      <c r="D31" s="11"/>
      <c r="E31" s="12"/>
    </row>
    <row r="32" spans="2:5">
      <c r="B32" s="11"/>
      <c r="C32" s="11"/>
      <c r="D32" s="11"/>
      <c r="E32" s="12"/>
    </row>
    <row r="33" spans="2:5">
      <c r="B33" s="11"/>
      <c r="C33" s="11"/>
      <c r="D33" s="11"/>
      <c r="E33" s="12"/>
    </row>
    <row r="34" spans="2:5">
      <c r="B34" s="11"/>
      <c r="C34" s="11"/>
      <c r="D34" s="11"/>
      <c r="E34" s="12"/>
    </row>
    <row r="35" spans="2:5">
      <c r="B35" s="11"/>
      <c r="C35" s="11"/>
      <c r="D35" s="11"/>
      <c r="E35" s="12"/>
    </row>
  </sheetData>
  <mergeCells count="6">
    <mergeCell ref="H4:M4"/>
    <mergeCell ref="B8:F8"/>
    <mergeCell ref="B2:F2"/>
    <mergeCell ref="C3:F3"/>
    <mergeCell ref="C4:F4"/>
    <mergeCell ref="C5:F5"/>
  </mergeCells>
  <phoneticPr fontId="3" type="noConversion"/>
  <pageMargins left="0.75" right="0.75" top="1" bottom="1" header="0.5" footer="0.5"/>
  <pageSetup paperSize="9"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Button1_Click">
                <anchor moveWithCells="1" sizeWithCells="1">
                  <from>
                    <xdr:col>5</xdr:col>
                    <xdr:colOff>63500</xdr:colOff>
                    <xdr:row>4</xdr:row>
                    <xdr:rowOff>25400</xdr:rowOff>
                  </from>
                  <to>
                    <xdr:col>5</xdr:col>
                    <xdr:colOff>3556000</xdr:colOff>
                    <xdr:row>5</xdr:row>
                    <xdr:rowOff>165100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B2:AI210"/>
  <sheetViews>
    <sheetView workbookViewId="0"/>
  </sheetViews>
  <sheetFormatPr baseColWidth="10" defaultRowHeight="15" x14ac:dyDescent="0"/>
  <cols>
    <col min="1" max="1" width="2.33203125" customWidth="1"/>
    <col min="3" max="3" width="28.33203125" customWidth="1"/>
    <col min="4" max="4" width="47.1640625" customWidth="1"/>
    <col min="5" max="5" width="10.83203125" style="41"/>
    <col min="9" max="12" width="9.5" customWidth="1"/>
    <col min="15" max="15" width="23.6640625" customWidth="1"/>
    <col min="16" max="16" width="2.33203125" style="18" customWidth="1"/>
    <col min="17" max="17" width="47.1640625" customWidth="1"/>
    <col min="18" max="18" width="9.5" customWidth="1"/>
    <col min="19" max="19" width="14.1640625" customWidth="1"/>
    <col min="20" max="20" width="2.33203125" customWidth="1"/>
    <col min="21" max="35" width="18.83203125" customWidth="1"/>
  </cols>
  <sheetData>
    <row r="2" spans="2:35">
      <c r="B2" s="8" t="s">
        <v>69</v>
      </c>
      <c r="C2" s="8"/>
      <c r="D2" s="8"/>
      <c r="E2" s="81"/>
      <c r="F2" s="8"/>
      <c r="G2" s="8"/>
      <c r="H2" s="8"/>
      <c r="I2" s="8"/>
      <c r="J2" s="8"/>
      <c r="K2" s="8"/>
      <c r="L2" s="8"/>
      <c r="M2" s="8"/>
      <c r="N2" s="5"/>
      <c r="O2" s="5"/>
      <c r="P2" s="19"/>
      <c r="Q2" s="71" t="s">
        <v>68</v>
      </c>
      <c r="R2" s="71"/>
      <c r="S2" s="71"/>
      <c r="U2" s="71" t="s">
        <v>118</v>
      </c>
      <c r="V2" s="71"/>
      <c r="W2" s="71"/>
      <c r="X2" s="71"/>
      <c r="Y2" s="71"/>
      <c r="Z2" s="71"/>
      <c r="AA2" s="71"/>
      <c r="AB2" s="71"/>
      <c r="AC2" s="71"/>
      <c r="AD2" s="71"/>
      <c r="AE2" s="71"/>
      <c r="AF2" s="71"/>
      <c r="AG2" s="71"/>
      <c r="AH2" s="71"/>
      <c r="AI2" s="71"/>
    </row>
    <row r="3" spans="2:35">
      <c r="B3" s="1" t="s">
        <v>2</v>
      </c>
      <c r="C3" s="1" t="s">
        <v>111</v>
      </c>
      <c r="D3" s="1" t="s">
        <v>112</v>
      </c>
      <c r="E3" s="82" t="s">
        <v>113</v>
      </c>
      <c r="F3" s="1" t="s">
        <v>121</v>
      </c>
      <c r="G3" s="1" t="s">
        <v>120</v>
      </c>
      <c r="H3" s="1" t="s">
        <v>126</v>
      </c>
      <c r="I3" s="1" t="s">
        <v>115</v>
      </c>
      <c r="J3" s="1" t="s">
        <v>116</v>
      </c>
      <c r="K3" s="1" t="s">
        <v>122</v>
      </c>
      <c r="L3" s="1" t="s">
        <v>117</v>
      </c>
      <c r="M3" s="1" t="s">
        <v>123</v>
      </c>
      <c r="N3" s="1" t="s">
        <v>127</v>
      </c>
      <c r="O3" s="1" t="s">
        <v>178</v>
      </c>
      <c r="P3" s="17"/>
      <c r="Q3" s="1" t="s">
        <v>35</v>
      </c>
      <c r="R3" s="1" t="s">
        <v>71</v>
      </c>
      <c r="S3" s="1" t="s">
        <v>70</v>
      </c>
      <c r="U3" s="79">
        <v>1</v>
      </c>
      <c r="V3" s="79">
        <v>2</v>
      </c>
      <c r="W3" s="79">
        <v>3</v>
      </c>
      <c r="X3" s="79">
        <v>4</v>
      </c>
      <c r="Y3" s="79">
        <v>5</v>
      </c>
      <c r="Z3" s="79">
        <v>6</v>
      </c>
      <c r="AA3" s="79">
        <v>7</v>
      </c>
      <c r="AB3" s="79">
        <v>8</v>
      </c>
      <c r="AC3" s="79">
        <v>9</v>
      </c>
      <c r="AD3" s="79">
        <v>10</v>
      </c>
      <c r="AE3" s="79">
        <v>11</v>
      </c>
      <c r="AF3" s="79">
        <v>12</v>
      </c>
      <c r="AG3" s="79">
        <v>13</v>
      </c>
      <c r="AH3" s="79">
        <v>14</v>
      </c>
      <c r="AI3" s="79">
        <v>15</v>
      </c>
    </row>
    <row r="4" spans="2:35">
      <c r="B4" s="65" t="s">
        <v>5502</v>
      </c>
      <c r="C4" s="65" t="s">
        <v>129</v>
      </c>
      <c r="D4" s="65" t="s">
        <v>5503</v>
      </c>
      <c r="E4" s="41" t="s">
        <v>114</v>
      </c>
      <c r="F4" s="65"/>
      <c r="G4" s="65"/>
      <c r="H4" s="65" t="s">
        <v>5504</v>
      </c>
      <c r="I4" s="65"/>
      <c r="J4" s="65" t="s">
        <v>5507</v>
      </c>
      <c r="K4" s="65"/>
      <c r="L4" s="65" t="s">
        <v>5508</v>
      </c>
      <c r="M4" s="65"/>
      <c r="N4" s="65"/>
      <c r="O4" s="15" t="str">
        <f>"citation:"&amp;B4&amp;"-01"</f>
        <v>citation:doc-1007-01</v>
      </c>
      <c r="P4" s="20"/>
      <c r="Q4" s="15" t="str">
        <f>VLOOKUP($O4,'x - paper citations'!$B$3:$E$2000,2,FALSE)</f>
        <v>https://scholar.google.co.uk/scholar?q=%22SAT%3A+Building+New+Trust+Architecture+for+Vehicular+Networks%22&amp;btnG=&amp;hl=en&amp;as_sdt=0%2C5</v>
      </c>
      <c r="R4" s="15">
        <f>VLOOKUP($O4,'x - paper citations'!$B$3:$E$2000,3,FALSE)</f>
        <v>10</v>
      </c>
      <c r="S4" s="15" t="str">
        <f>VLOOKUP($O4,'x - paper citations'!$B$3:$E$2000,4,FALSE)</f>
        <v>25/09/2015</v>
      </c>
      <c r="U4" s="80" t="str">
        <f>IF(ISNA(VLOOKUP($B4&amp;":"&amp;U$3,'x - authors'!$B$3:$E$10000,4,FALSE)),"",VLOOKUP($B4&amp;":"&amp;U$3,'x - authors'!$B$3:$E$10000,4,FALSE))</f>
        <v>xiaoyan_hong</v>
      </c>
      <c r="V4" s="80" t="str">
        <f>IF(ISNA(VLOOKUP($B4&amp;":"&amp;V$3,'x - authors'!$B$3:$E$10000,4,FALSE)),"",VLOOKUP($B4&amp;":"&amp;V$3,'x - authors'!$B$3:$E$10000,4,FALSE))</f>
        <v>dijiang_huang</v>
      </c>
      <c r="W4" s="80" t="str">
        <f>IF(ISNA(VLOOKUP($B4&amp;":"&amp;W$3,'x - authors'!$B$3:$E$10000,4,FALSE)),"",VLOOKUP($B4&amp;":"&amp;W$3,'x - authors'!$B$3:$E$10000,4,FALSE))</f>
        <v>mario_gerla</v>
      </c>
      <c r="X4" s="80" t="str">
        <f>IF(ISNA(VLOOKUP($B4&amp;":"&amp;X$3,'x - authors'!$B$3:$E$10000,4,FALSE)),"",VLOOKUP($B4&amp;":"&amp;X$3,'x - authors'!$B$3:$E$10000,4,FALSE))</f>
        <v>zhen_cao</v>
      </c>
      <c r="Y4" s="80" t="str">
        <f>IF(ISNA(VLOOKUP($B4&amp;":"&amp;Y$3,'x - authors'!$B$3:$E$10000,4,FALSE)),"",VLOOKUP($B4&amp;":"&amp;Y$3,'x - authors'!$B$3:$E$10000,4,FALSE))</f>
        <v/>
      </c>
      <c r="Z4" s="80" t="str">
        <f>IF(ISNA(VLOOKUP($B4&amp;":"&amp;Z$3,'x - authors'!$B$3:$E$10000,4,FALSE)),"",VLOOKUP($B4&amp;":"&amp;Z$3,'x - authors'!$B$3:$E$10000,4,FALSE))</f>
        <v/>
      </c>
      <c r="AA4" s="80" t="str">
        <f>IF(ISNA(VLOOKUP($B4&amp;":"&amp;AA$3,'x - authors'!$B$3:$E$10000,4,FALSE)),"",VLOOKUP($B4&amp;":"&amp;AA$3,'x - authors'!$B$3:$E$10000,4,FALSE))</f>
        <v/>
      </c>
      <c r="AB4" s="80" t="str">
        <f>IF(ISNA(VLOOKUP($B4&amp;":"&amp;AB$3,'x - authors'!$B$3:$E$10000,4,FALSE)),"",VLOOKUP($B4&amp;":"&amp;AB$3,'x - authors'!$B$3:$E$10000,4,FALSE))</f>
        <v/>
      </c>
      <c r="AC4" s="80" t="str">
        <f>IF(ISNA(VLOOKUP($B4&amp;":"&amp;AC$3,'x - authors'!$B$3:$E$10000,4,FALSE)),"",VLOOKUP($B4&amp;":"&amp;AC$3,'x - authors'!$B$3:$E$10000,4,FALSE))</f>
        <v/>
      </c>
      <c r="AD4" s="80" t="str">
        <f>IF(ISNA(VLOOKUP($B4&amp;":"&amp;AD$3,'x - authors'!$B$3:$E$10000,4,FALSE)),"",VLOOKUP($B4&amp;":"&amp;AD$3,'x - authors'!$B$3:$E$10000,4,FALSE))</f>
        <v/>
      </c>
      <c r="AE4" s="80" t="str">
        <f>IF(ISNA(VLOOKUP($B4&amp;":"&amp;AE$3,'x - authors'!$B$3:$E$10000,4,FALSE)),"",VLOOKUP($B4&amp;":"&amp;AE$3,'x - authors'!$B$3:$E$10000,4,FALSE))</f>
        <v/>
      </c>
      <c r="AF4" s="80" t="str">
        <f>IF(ISNA(VLOOKUP($B4&amp;":"&amp;AF$3,'x - authors'!$B$3:$E$10000,4,FALSE)),"",VLOOKUP($B4&amp;":"&amp;AF$3,'x - authors'!$B$3:$E$10000,4,FALSE))</f>
        <v/>
      </c>
      <c r="AG4" s="80" t="str">
        <f>IF(ISNA(VLOOKUP($B4&amp;":"&amp;AG$3,'x - authors'!$B$3:$E$10000,4,FALSE)),"",VLOOKUP($B4&amp;":"&amp;AG$3,'x - authors'!$B$3:$E$10000,4,FALSE))</f>
        <v/>
      </c>
      <c r="AH4" s="80" t="str">
        <f>IF(ISNA(VLOOKUP($B4&amp;":"&amp;AH$3,'x - authors'!$B$3:$E$10000,4,FALSE)),"",VLOOKUP($B4&amp;":"&amp;AH$3,'x - authors'!$B$3:$E$10000,4,FALSE))</f>
        <v/>
      </c>
      <c r="AI4" s="80" t="str">
        <f>IF(ISNA(VLOOKUP($B4&amp;":"&amp;AI$3,'x - authors'!$B$3:$E$10000,4,FALSE)),"",VLOOKUP($B4&amp;":"&amp;AI$3,'x - authors'!$B$3:$E$10000,4,FALSE))</f>
        <v/>
      </c>
    </row>
    <row r="5" spans="2:35">
      <c r="B5" s="65" t="s">
        <v>5509</v>
      </c>
      <c r="C5" s="65" t="s">
        <v>129</v>
      </c>
      <c r="D5" s="65" t="s">
        <v>5510</v>
      </c>
      <c r="E5" s="41" t="s">
        <v>970</v>
      </c>
      <c r="F5" s="65" t="s">
        <v>5445</v>
      </c>
      <c r="G5" s="65"/>
      <c r="H5" s="65" t="s">
        <v>5511</v>
      </c>
      <c r="I5" s="65"/>
      <c r="J5" s="65" t="s">
        <v>5514</v>
      </c>
      <c r="K5" s="65"/>
      <c r="L5" s="65" t="s">
        <v>5515</v>
      </c>
      <c r="M5" s="65" t="s">
        <v>5516</v>
      </c>
      <c r="N5" s="65"/>
      <c r="O5" s="15" t="str">
        <f t="shared" ref="O5:O68" si="0">"citation:"&amp;B5&amp;"-01"</f>
        <v>citation:doc-1034-01</v>
      </c>
      <c r="Q5" s="15" t="str">
        <f>VLOOKUP($O5,'x - paper citations'!$B$3:$E$2000,2,FALSE)</f>
        <v>https://scholar.google.co.uk/scholar?q="Who, When, Where; Timeslot Assignment to Mobile Clients"&amp;btnG=&amp;hl=en&amp;as_sdt=0,5</v>
      </c>
      <c r="R5" s="15">
        <f>VLOOKUP($O5,'x - paper citations'!$B$3:$E$2000,3,FALSE)</f>
        <v>16</v>
      </c>
      <c r="S5" s="15" t="str">
        <f>VLOOKUP($O5,'x - paper citations'!$B$3:$E$2000,4,FALSE)</f>
        <v>12/02/2016</v>
      </c>
      <c r="U5" s="80" t="str">
        <f>IF(ISNA(VLOOKUP($B5&amp;":"&amp;U$3,'x - authors'!$B$3:$E$10000,4,FALSE)),"",VLOOKUP($B5&amp;":"&amp;U$3,'x - authors'!$B$3:$E$10000,4,FALSE))</f>
        <v>fangfei_chen</v>
      </c>
      <c r="V5" s="80" t="str">
        <f>IF(ISNA(VLOOKUP($B5&amp;":"&amp;V$3,'x - authors'!$B$3:$E$10000,4,FALSE)),"",VLOOKUP($B5&amp;":"&amp;V$3,'x - authors'!$B$3:$E$10000,4,FALSE))</f>
        <v>matthew_johnson</v>
      </c>
      <c r="W5" s="80" t="str">
        <f>IF(ISNA(VLOOKUP($B5&amp;":"&amp;W$3,'x - authors'!$B$3:$E$10000,4,FALSE)),"",VLOOKUP($B5&amp;":"&amp;W$3,'x - authors'!$B$3:$E$10000,4,FALSE))</f>
        <v>yosef_alayev</v>
      </c>
      <c r="X5" s="80" t="str">
        <f>IF(ISNA(VLOOKUP($B5&amp;":"&amp;X$3,'x - authors'!$B$3:$E$10000,4,FALSE)),"",VLOOKUP($B5&amp;":"&amp;X$3,'x - authors'!$B$3:$E$10000,4,FALSE))</f>
        <v>amotz_bar_noy</v>
      </c>
      <c r="Y5" s="80" t="str">
        <f>IF(ISNA(VLOOKUP($B5&amp;":"&amp;Y$3,'x - authors'!$B$3:$E$10000,4,FALSE)),"",VLOOKUP($B5&amp;":"&amp;Y$3,'x - authors'!$B$3:$E$10000,4,FALSE))</f>
        <v>thomas_laporta</v>
      </c>
      <c r="Z5" s="80" t="str">
        <f>IF(ISNA(VLOOKUP($B5&amp;":"&amp;Z$3,'x - authors'!$B$3:$E$10000,4,FALSE)),"",VLOOKUP($B5&amp;":"&amp;Z$3,'x - authors'!$B$3:$E$10000,4,FALSE))</f>
        <v/>
      </c>
      <c r="AA5" s="80" t="str">
        <f>IF(ISNA(VLOOKUP($B5&amp;":"&amp;AA$3,'x - authors'!$B$3:$E$10000,4,FALSE)),"",VLOOKUP($B5&amp;":"&amp;AA$3,'x - authors'!$B$3:$E$10000,4,FALSE))</f>
        <v/>
      </c>
      <c r="AB5" s="80" t="str">
        <f>IF(ISNA(VLOOKUP($B5&amp;":"&amp;AB$3,'x - authors'!$B$3:$E$10000,4,FALSE)),"",VLOOKUP($B5&amp;":"&amp;AB$3,'x - authors'!$B$3:$E$10000,4,FALSE))</f>
        <v/>
      </c>
      <c r="AC5" s="80" t="str">
        <f>IF(ISNA(VLOOKUP($B5&amp;":"&amp;AC$3,'x - authors'!$B$3:$E$10000,4,FALSE)),"",VLOOKUP($B5&amp;":"&amp;AC$3,'x - authors'!$B$3:$E$10000,4,FALSE))</f>
        <v/>
      </c>
      <c r="AD5" s="80" t="str">
        <f>IF(ISNA(VLOOKUP($B5&amp;":"&amp;AD$3,'x - authors'!$B$3:$E$10000,4,FALSE)),"",VLOOKUP($B5&amp;":"&amp;AD$3,'x - authors'!$B$3:$E$10000,4,FALSE))</f>
        <v/>
      </c>
      <c r="AE5" s="80" t="str">
        <f>IF(ISNA(VLOOKUP($B5&amp;":"&amp;AE$3,'x - authors'!$B$3:$E$10000,4,FALSE)),"",VLOOKUP($B5&amp;":"&amp;AE$3,'x - authors'!$B$3:$E$10000,4,FALSE))</f>
        <v/>
      </c>
      <c r="AF5" s="80" t="str">
        <f>IF(ISNA(VLOOKUP($B5&amp;":"&amp;AF$3,'x - authors'!$B$3:$E$10000,4,FALSE)),"",VLOOKUP($B5&amp;":"&amp;AF$3,'x - authors'!$B$3:$E$10000,4,FALSE))</f>
        <v/>
      </c>
      <c r="AG5" s="80" t="str">
        <f>IF(ISNA(VLOOKUP($B5&amp;":"&amp;AG$3,'x - authors'!$B$3:$E$10000,4,FALSE)),"",VLOOKUP($B5&amp;":"&amp;AG$3,'x - authors'!$B$3:$E$10000,4,FALSE))</f>
        <v/>
      </c>
      <c r="AH5" s="80" t="str">
        <f>IF(ISNA(VLOOKUP($B5&amp;":"&amp;AH$3,'x - authors'!$B$3:$E$10000,4,FALSE)),"",VLOOKUP($B5&amp;":"&amp;AH$3,'x - authors'!$B$3:$E$10000,4,FALSE))</f>
        <v/>
      </c>
      <c r="AI5" s="80" t="str">
        <f>IF(ISNA(VLOOKUP($B5&amp;":"&amp;AI$3,'x - authors'!$B$3:$E$10000,4,FALSE)),"",VLOOKUP($B5&amp;":"&amp;AI$3,'x - authors'!$B$3:$E$10000,4,FALSE))</f>
        <v/>
      </c>
    </row>
    <row r="6" spans="2:35">
      <c r="B6" s="65" t="s">
        <v>5517</v>
      </c>
      <c r="C6" s="65" t="s">
        <v>129</v>
      </c>
      <c r="D6" s="65" t="s">
        <v>5518</v>
      </c>
      <c r="E6" s="41" t="s">
        <v>967</v>
      </c>
      <c r="F6" s="65"/>
      <c r="G6" s="65"/>
      <c r="H6" s="65" t="s">
        <v>5519</v>
      </c>
      <c r="I6" s="65"/>
      <c r="J6" s="65" t="s">
        <v>5522</v>
      </c>
      <c r="K6" s="65"/>
      <c r="L6" s="65" t="s">
        <v>5523</v>
      </c>
      <c r="M6" s="65"/>
      <c r="N6" s="65"/>
      <c r="O6" s="15" t="str">
        <f t="shared" si="0"/>
        <v>citation:doc-1058-01</v>
      </c>
      <c r="Q6" s="15" t="str">
        <f>VLOOKUP($O6,'x - paper citations'!$B$3:$E$2000,2,FALSE)</f>
        <v>https://scholar.google.co.uk/scholar?q="Self-Selecting Reliable Path Routing for Diverse Wireless Sensor Network Environments"&amp;btnG=&amp;hl=en&amp;as_sdt=0,5</v>
      </c>
      <c r="R6" s="15">
        <f>VLOOKUP($O6,'x - paper citations'!$B$3:$E$2000,3,FALSE)</f>
        <v>4</v>
      </c>
      <c r="S6" s="15" t="str">
        <f>VLOOKUP($O6,'x - paper citations'!$B$3:$E$2000,4,FALSE)</f>
        <v>09/12/2015</v>
      </c>
      <c r="U6" s="80" t="str">
        <f>IF(ISNA(VLOOKUP($B6&amp;":"&amp;U$3,'x - authors'!$B$3:$E$10000,4,FALSE)),"",VLOOKUP($B6&amp;":"&amp;U$3,'x - authors'!$B$3:$E$10000,4,FALSE))</f>
        <v>thomas_babbitt</v>
      </c>
      <c r="V6" s="80" t="str">
        <f>IF(ISNA(VLOOKUP($B6&amp;":"&amp;V$3,'x - authors'!$B$3:$E$10000,4,FALSE)),"",VLOOKUP($B6&amp;":"&amp;V$3,'x - authors'!$B$3:$E$10000,4,FALSE))</f>
        <v>christopher_morrell</v>
      </c>
      <c r="W6" s="80" t="str">
        <f>IF(ISNA(VLOOKUP($B6&amp;":"&amp;W$3,'x - authors'!$B$3:$E$10000,4,FALSE)),"",VLOOKUP($B6&amp;":"&amp;W$3,'x - authors'!$B$3:$E$10000,4,FALSE))</f>
        <v>boleslaw_szymanski</v>
      </c>
      <c r="X6" s="80" t="str">
        <f>IF(ISNA(VLOOKUP($B6&amp;":"&amp;X$3,'x - authors'!$B$3:$E$10000,4,FALSE)),"",VLOOKUP($B6&amp;":"&amp;X$3,'x - authors'!$B$3:$E$10000,4,FALSE))</f>
        <v/>
      </c>
      <c r="Y6" s="80" t="str">
        <f>IF(ISNA(VLOOKUP($B6&amp;":"&amp;Y$3,'x - authors'!$B$3:$E$10000,4,FALSE)),"",VLOOKUP($B6&amp;":"&amp;Y$3,'x - authors'!$B$3:$E$10000,4,FALSE))</f>
        <v/>
      </c>
      <c r="Z6" s="80" t="str">
        <f>IF(ISNA(VLOOKUP($B6&amp;":"&amp;Z$3,'x - authors'!$B$3:$E$10000,4,FALSE)),"",VLOOKUP($B6&amp;":"&amp;Z$3,'x - authors'!$B$3:$E$10000,4,FALSE))</f>
        <v/>
      </c>
      <c r="AA6" s="80" t="str">
        <f>IF(ISNA(VLOOKUP($B6&amp;":"&amp;AA$3,'x - authors'!$B$3:$E$10000,4,FALSE)),"",VLOOKUP($B6&amp;":"&amp;AA$3,'x - authors'!$B$3:$E$10000,4,FALSE))</f>
        <v/>
      </c>
      <c r="AB6" s="80" t="str">
        <f>IF(ISNA(VLOOKUP($B6&amp;":"&amp;AB$3,'x - authors'!$B$3:$E$10000,4,FALSE)),"",VLOOKUP($B6&amp;":"&amp;AB$3,'x - authors'!$B$3:$E$10000,4,FALSE))</f>
        <v/>
      </c>
      <c r="AC6" s="80" t="str">
        <f>IF(ISNA(VLOOKUP($B6&amp;":"&amp;AC$3,'x - authors'!$B$3:$E$10000,4,FALSE)),"",VLOOKUP($B6&amp;":"&amp;AC$3,'x - authors'!$B$3:$E$10000,4,FALSE))</f>
        <v/>
      </c>
      <c r="AD6" s="80" t="str">
        <f>IF(ISNA(VLOOKUP($B6&amp;":"&amp;AD$3,'x - authors'!$B$3:$E$10000,4,FALSE)),"",VLOOKUP($B6&amp;":"&amp;AD$3,'x - authors'!$B$3:$E$10000,4,FALSE))</f>
        <v/>
      </c>
      <c r="AE6" s="80" t="str">
        <f>IF(ISNA(VLOOKUP($B6&amp;":"&amp;AE$3,'x - authors'!$B$3:$E$10000,4,FALSE)),"",VLOOKUP($B6&amp;":"&amp;AE$3,'x - authors'!$B$3:$E$10000,4,FALSE))</f>
        <v/>
      </c>
      <c r="AF6" s="80" t="str">
        <f>IF(ISNA(VLOOKUP($B6&amp;":"&amp;AF$3,'x - authors'!$B$3:$E$10000,4,FALSE)),"",VLOOKUP($B6&amp;":"&amp;AF$3,'x - authors'!$B$3:$E$10000,4,FALSE))</f>
        <v/>
      </c>
      <c r="AG6" s="80" t="str">
        <f>IF(ISNA(VLOOKUP($B6&amp;":"&amp;AG$3,'x - authors'!$B$3:$E$10000,4,FALSE)),"",VLOOKUP($B6&amp;":"&amp;AG$3,'x - authors'!$B$3:$E$10000,4,FALSE))</f>
        <v/>
      </c>
      <c r="AH6" s="80" t="str">
        <f>IF(ISNA(VLOOKUP($B6&amp;":"&amp;AH$3,'x - authors'!$B$3:$E$10000,4,FALSE)),"",VLOOKUP($B6&amp;":"&amp;AH$3,'x - authors'!$B$3:$E$10000,4,FALSE))</f>
        <v/>
      </c>
      <c r="AI6" s="80" t="str">
        <f>IF(ISNA(VLOOKUP($B6&amp;":"&amp;AI$3,'x - authors'!$B$3:$E$10000,4,FALSE)),"",VLOOKUP($B6&amp;":"&amp;AI$3,'x - authors'!$B$3:$E$10000,4,FALSE))</f>
        <v/>
      </c>
    </row>
    <row r="7" spans="2:35">
      <c r="B7" s="65" t="s">
        <v>5524</v>
      </c>
      <c r="C7" s="65" t="s">
        <v>129</v>
      </c>
      <c r="D7" s="65" t="s">
        <v>5525</v>
      </c>
      <c r="E7" s="41" t="s">
        <v>114</v>
      </c>
      <c r="F7" s="65"/>
      <c r="G7" s="65"/>
      <c r="H7" s="65" t="s">
        <v>5526</v>
      </c>
      <c r="I7" s="65"/>
      <c r="J7" s="65" t="s">
        <v>5528</v>
      </c>
      <c r="K7" s="65"/>
      <c r="L7" s="65" t="s">
        <v>5529</v>
      </c>
      <c r="M7" s="65"/>
      <c r="N7" s="65"/>
      <c r="O7" s="15" t="str">
        <f t="shared" si="0"/>
        <v>citation:doc-1069-01</v>
      </c>
      <c r="Q7" s="15" t="str">
        <f>VLOOKUP($O7,'x - paper citations'!$B$3:$E$2000,2,FALSE)</f>
        <v>https://scholar.google.co.uk/scholar?q="Energy Efficient Collision Aware Multipath Routing for Wireless Sensor Networks"&amp;btnG=&amp;hl=en&amp;as_sdt=0,5</v>
      </c>
      <c r="R7" s="15">
        <f>VLOOKUP($O7,'x - paper citations'!$B$3:$E$2000,3,FALSE)</f>
        <v>85</v>
      </c>
      <c r="S7" s="15" t="str">
        <f>VLOOKUP($O7,'x - paper citations'!$B$3:$E$2000,4,FALSE)</f>
        <v>09/12/2015</v>
      </c>
      <c r="U7" s="80" t="str">
        <f>IF(ISNA(VLOOKUP($B7&amp;":"&amp;U$3,'x - authors'!$B$3:$E$10000,4,FALSE)),"",VLOOKUP($B7&amp;":"&amp;U$3,'x - authors'!$B$3:$E$10000,4,FALSE))</f>
        <v>zijian_wang</v>
      </c>
      <c r="V7" s="80" t="str">
        <f>IF(ISNA(VLOOKUP($B7&amp;":"&amp;V$3,'x - authors'!$B$3:$E$10000,4,FALSE)),"",VLOOKUP($B7&amp;":"&amp;V$3,'x - authors'!$B$3:$E$10000,4,FALSE))</f>
        <v>eyuphan_bulut</v>
      </c>
      <c r="W7" s="80" t="str">
        <f>IF(ISNA(VLOOKUP($B7&amp;":"&amp;W$3,'x - authors'!$B$3:$E$10000,4,FALSE)),"",VLOOKUP($B7&amp;":"&amp;W$3,'x - authors'!$B$3:$E$10000,4,FALSE))</f>
        <v>boleslaw_szymanski</v>
      </c>
      <c r="X7" s="80" t="str">
        <f>IF(ISNA(VLOOKUP($B7&amp;":"&amp;X$3,'x - authors'!$B$3:$E$10000,4,FALSE)),"",VLOOKUP($B7&amp;":"&amp;X$3,'x - authors'!$B$3:$E$10000,4,FALSE))</f>
        <v/>
      </c>
      <c r="Y7" s="80" t="str">
        <f>IF(ISNA(VLOOKUP($B7&amp;":"&amp;Y$3,'x - authors'!$B$3:$E$10000,4,FALSE)),"",VLOOKUP($B7&amp;":"&amp;Y$3,'x - authors'!$B$3:$E$10000,4,FALSE))</f>
        <v/>
      </c>
      <c r="Z7" s="80" t="str">
        <f>IF(ISNA(VLOOKUP($B7&amp;":"&amp;Z$3,'x - authors'!$B$3:$E$10000,4,FALSE)),"",VLOOKUP($B7&amp;":"&amp;Z$3,'x - authors'!$B$3:$E$10000,4,FALSE))</f>
        <v/>
      </c>
      <c r="AA7" s="80" t="str">
        <f>IF(ISNA(VLOOKUP($B7&amp;":"&amp;AA$3,'x - authors'!$B$3:$E$10000,4,FALSE)),"",VLOOKUP($B7&amp;":"&amp;AA$3,'x - authors'!$B$3:$E$10000,4,FALSE))</f>
        <v/>
      </c>
      <c r="AB7" s="80" t="str">
        <f>IF(ISNA(VLOOKUP($B7&amp;":"&amp;AB$3,'x - authors'!$B$3:$E$10000,4,FALSE)),"",VLOOKUP($B7&amp;":"&amp;AB$3,'x - authors'!$B$3:$E$10000,4,FALSE))</f>
        <v/>
      </c>
      <c r="AC7" s="80" t="str">
        <f>IF(ISNA(VLOOKUP($B7&amp;":"&amp;AC$3,'x - authors'!$B$3:$E$10000,4,FALSE)),"",VLOOKUP($B7&amp;":"&amp;AC$3,'x - authors'!$B$3:$E$10000,4,FALSE))</f>
        <v/>
      </c>
      <c r="AD7" s="80" t="str">
        <f>IF(ISNA(VLOOKUP($B7&amp;":"&amp;AD$3,'x - authors'!$B$3:$E$10000,4,FALSE)),"",VLOOKUP($B7&amp;":"&amp;AD$3,'x - authors'!$B$3:$E$10000,4,FALSE))</f>
        <v/>
      </c>
      <c r="AE7" s="80" t="str">
        <f>IF(ISNA(VLOOKUP($B7&amp;":"&amp;AE$3,'x - authors'!$B$3:$E$10000,4,FALSE)),"",VLOOKUP($B7&amp;":"&amp;AE$3,'x - authors'!$B$3:$E$10000,4,FALSE))</f>
        <v/>
      </c>
      <c r="AF7" s="80" t="str">
        <f>IF(ISNA(VLOOKUP($B7&amp;":"&amp;AF$3,'x - authors'!$B$3:$E$10000,4,FALSE)),"",VLOOKUP($B7&amp;":"&amp;AF$3,'x - authors'!$B$3:$E$10000,4,FALSE))</f>
        <v/>
      </c>
      <c r="AG7" s="80" t="str">
        <f>IF(ISNA(VLOOKUP($B7&amp;":"&amp;AG$3,'x - authors'!$B$3:$E$10000,4,FALSE)),"",VLOOKUP($B7&amp;":"&amp;AG$3,'x - authors'!$B$3:$E$10000,4,FALSE))</f>
        <v/>
      </c>
      <c r="AH7" s="80" t="str">
        <f>IF(ISNA(VLOOKUP($B7&amp;":"&amp;AH$3,'x - authors'!$B$3:$E$10000,4,FALSE)),"",VLOOKUP($B7&amp;":"&amp;AH$3,'x - authors'!$B$3:$E$10000,4,FALSE))</f>
        <v/>
      </c>
      <c r="AI7" s="80" t="str">
        <f>IF(ISNA(VLOOKUP($B7&amp;":"&amp;AI$3,'x - authors'!$B$3:$E$10000,4,FALSE)),"",VLOOKUP($B7&amp;":"&amp;AI$3,'x - authors'!$B$3:$E$10000,4,FALSE))</f>
        <v/>
      </c>
    </row>
    <row r="8" spans="2:35">
      <c r="B8" s="65" t="s">
        <v>5530</v>
      </c>
      <c r="C8" s="65" t="s">
        <v>129</v>
      </c>
      <c r="D8" s="65" t="s">
        <v>5531</v>
      </c>
      <c r="E8" s="41" t="s">
        <v>114</v>
      </c>
      <c r="F8" s="65"/>
      <c r="G8" s="65"/>
      <c r="H8" s="65" t="s">
        <v>5532</v>
      </c>
      <c r="I8" s="65"/>
      <c r="J8" s="65" t="s">
        <v>5534</v>
      </c>
      <c r="K8" s="65"/>
      <c r="L8" s="65" t="s">
        <v>5535</v>
      </c>
      <c r="M8" s="65" t="s">
        <v>5536</v>
      </c>
      <c r="N8" s="65"/>
      <c r="O8" s="15" t="str">
        <f t="shared" si="0"/>
        <v>citation:doc-1070-01</v>
      </c>
      <c r="Q8" s="15" t="str">
        <f>VLOOKUP($O8,'x - paper citations'!$B$3:$E$2000,2,FALSE)</f>
        <v>https://scholar.google.co.uk/scholar?q="Interference Subtraction with Supplementary Cooperation in Wireless Cooperative Networks"&amp;btnG=&amp;hl=en&amp;as_sdt=0,5</v>
      </c>
      <c r="R8" s="15">
        <f>VLOOKUP($O8,'x - paper citations'!$B$3:$E$2000,3,FALSE)</f>
        <v>5</v>
      </c>
      <c r="S8" s="15" t="str">
        <f>VLOOKUP($O8,'x - paper citations'!$B$3:$E$2000,4,FALSE)</f>
        <v>09/12/2015</v>
      </c>
      <c r="U8" s="80" t="str">
        <f>IF(ISNA(VLOOKUP($B8&amp;":"&amp;U$3,'x - authors'!$B$3:$E$10000,4,FALSE)),"",VLOOKUP($B8&amp;":"&amp;U$3,'x - authors'!$B$3:$E$10000,4,FALSE))</f>
        <v>zhengguo_sheng</v>
      </c>
      <c r="V8" s="80" t="str">
        <f>IF(ISNA(VLOOKUP($B8&amp;":"&amp;V$3,'x - authors'!$B$3:$E$10000,4,FALSE)),"",VLOOKUP($B8&amp;":"&amp;V$3,'x - authors'!$B$3:$E$10000,4,FALSE))</f>
        <v>zhiguo_ding</v>
      </c>
      <c r="W8" s="80" t="str">
        <f>IF(ISNA(VLOOKUP($B8&amp;":"&amp;W$3,'x - authors'!$B$3:$E$10000,4,FALSE)),"",VLOOKUP($B8&amp;":"&amp;W$3,'x - authors'!$B$3:$E$10000,4,FALSE))</f>
        <v>kin_leung</v>
      </c>
      <c r="X8" s="80" t="str">
        <f>IF(ISNA(VLOOKUP($B8&amp;":"&amp;X$3,'x - authors'!$B$3:$E$10000,4,FALSE)),"",VLOOKUP($B8&amp;":"&amp;X$3,'x - authors'!$B$3:$E$10000,4,FALSE))</f>
        <v/>
      </c>
      <c r="Y8" s="80" t="str">
        <f>IF(ISNA(VLOOKUP($B8&amp;":"&amp;Y$3,'x - authors'!$B$3:$E$10000,4,FALSE)),"",VLOOKUP($B8&amp;":"&amp;Y$3,'x - authors'!$B$3:$E$10000,4,FALSE))</f>
        <v/>
      </c>
      <c r="Z8" s="80" t="str">
        <f>IF(ISNA(VLOOKUP($B8&amp;":"&amp;Z$3,'x - authors'!$B$3:$E$10000,4,FALSE)),"",VLOOKUP($B8&amp;":"&amp;Z$3,'x - authors'!$B$3:$E$10000,4,FALSE))</f>
        <v/>
      </c>
      <c r="AA8" s="80" t="str">
        <f>IF(ISNA(VLOOKUP($B8&amp;":"&amp;AA$3,'x - authors'!$B$3:$E$10000,4,FALSE)),"",VLOOKUP($B8&amp;":"&amp;AA$3,'x - authors'!$B$3:$E$10000,4,FALSE))</f>
        <v/>
      </c>
      <c r="AB8" s="80" t="str">
        <f>IF(ISNA(VLOOKUP($B8&amp;":"&amp;AB$3,'x - authors'!$B$3:$E$10000,4,FALSE)),"",VLOOKUP($B8&amp;":"&amp;AB$3,'x - authors'!$B$3:$E$10000,4,FALSE))</f>
        <v/>
      </c>
      <c r="AC8" s="80" t="str">
        <f>IF(ISNA(VLOOKUP($B8&amp;":"&amp;AC$3,'x - authors'!$B$3:$E$10000,4,FALSE)),"",VLOOKUP($B8&amp;":"&amp;AC$3,'x - authors'!$B$3:$E$10000,4,FALSE))</f>
        <v/>
      </c>
      <c r="AD8" s="80" t="str">
        <f>IF(ISNA(VLOOKUP($B8&amp;":"&amp;AD$3,'x - authors'!$B$3:$E$10000,4,FALSE)),"",VLOOKUP($B8&amp;":"&amp;AD$3,'x - authors'!$B$3:$E$10000,4,FALSE))</f>
        <v/>
      </c>
      <c r="AE8" s="80" t="str">
        <f>IF(ISNA(VLOOKUP($B8&amp;":"&amp;AE$3,'x - authors'!$B$3:$E$10000,4,FALSE)),"",VLOOKUP($B8&amp;":"&amp;AE$3,'x - authors'!$B$3:$E$10000,4,FALSE))</f>
        <v/>
      </c>
      <c r="AF8" s="80" t="str">
        <f>IF(ISNA(VLOOKUP($B8&amp;":"&amp;AF$3,'x - authors'!$B$3:$E$10000,4,FALSE)),"",VLOOKUP($B8&amp;":"&amp;AF$3,'x - authors'!$B$3:$E$10000,4,FALSE))</f>
        <v/>
      </c>
      <c r="AG8" s="80" t="str">
        <f>IF(ISNA(VLOOKUP($B8&amp;":"&amp;AG$3,'x - authors'!$B$3:$E$10000,4,FALSE)),"",VLOOKUP($B8&amp;":"&amp;AG$3,'x - authors'!$B$3:$E$10000,4,FALSE))</f>
        <v/>
      </c>
      <c r="AH8" s="80" t="str">
        <f>IF(ISNA(VLOOKUP($B8&amp;":"&amp;AH$3,'x - authors'!$B$3:$E$10000,4,FALSE)),"",VLOOKUP($B8&amp;":"&amp;AH$3,'x - authors'!$B$3:$E$10000,4,FALSE))</f>
        <v/>
      </c>
      <c r="AI8" s="80" t="str">
        <f>IF(ISNA(VLOOKUP($B8&amp;":"&amp;AI$3,'x - authors'!$B$3:$E$10000,4,FALSE)),"",VLOOKUP($B8&amp;":"&amp;AI$3,'x - authors'!$B$3:$E$10000,4,FALSE))</f>
        <v/>
      </c>
    </row>
    <row r="9" spans="2:35">
      <c r="B9" s="65" t="s">
        <v>5537</v>
      </c>
      <c r="C9" s="65" t="s">
        <v>129</v>
      </c>
      <c r="D9" s="65" t="s">
        <v>5538</v>
      </c>
      <c r="E9" s="41" t="s">
        <v>114</v>
      </c>
      <c r="F9" s="65"/>
      <c r="G9" s="65"/>
      <c r="H9" s="65" t="s">
        <v>5539</v>
      </c>
      <c r="I9" s="65"/>
      <c r="J9" s="65" t="s">
        <v>5541</v>
      </c>
      <c r="K9" s="65"/>
      <c r="L9" s="65" t="s">
        <v>5542</v>
      </c>
      <c r="M9" s="65"/>
      <c r="N9" s="65"/>
      <c r="O9" s="15" t="str">
        <f t="shared" si="0"/>
        <v>citation:doc-1071-01</v>
      </c>
      <c r="Q9" s="15" t="str">
        <f>VLOOKUP($O9,'x - paper citations'!$B$3:$E$2000,2,FALSE)</f>
        <v>https://scholar.google.co.uk/scholar?q="Distributed and Power Efficient Routing in Wireless Cooperative Networks"&amp;btnG=&amp;hl=en&amp;as_sdt=0,5</v>
      </c>
      <c r="R9" s="15">
        <f>VLOOKUP($O9,'x - paper citations'!$B$3:$E$2000,3,FALSE)</f>
        <v>30</v>
      </c>
      <c r="S9" s="15" t="str">
        <f>VLOOKUP($O9,'x - paper citations'!$B$3:$E$2000,4,FALSE)</f>
        <v>09/12/2015</v>
      </c>
      <c r="U9" s="80" t="str">
        <f>IF(ISNA(VLOOKUP($B9&amp;":"&amp;U$3,'x - authors'!$B$3:$E$10000,4,FALSE)),"",VLOOKUP($B9&amp;":"&amp;U$3,'x - authors'!$B$3:$E$10000,4,FALSE))</f>
        <v>zhengguo_sheng</v>
      </c>
      <c r="V9" s="80" t="str">
        <f>IF(ISNA(VLOOKUP($B9&amp;":"&amp;V$3,'x - authors'!$B$3:$E$10000,4,FALSE)),"",VLOOKUP($B9&amp;":"&amp;V$3,'x - authors'!$B$3:$E$10000,4,FALSE))</f>
        <v>zhiguo_ding</v>
      </c>
      <c r="W9" s="80" t="str">
        <f>IF(ISNA(VLOOKUP($B9&amp;":"&amp;W$3,'x - authors'!$B$3:$E$10000,4,FALSE)),"",VLOOKUP($B9&amp;":"&amp;W$3,'x - authors'!$B$3:$E$10000,4,FALSE))</f>
        <v>kin_leung</v>
      </c>
      <c r="X9" s="80" t="str">
        <f>IF(ISNA(VLOOKUP($B9&amp;":"&amp;X$3,'x - authors'!$B$3:$E$10000,4,FALSE)),"",VLOOKUP($B9&amp;":"&amp;X$3,'x - authors'!$B$3:$E$10000,4,FALSE))</f>
        <v/>
      </c>
      <c r="Y9" s="80" t="str">
        <f>IF(ISNA(VLOOKUP($B9&amp;":"&amp;Y$3,'x - authors'!$B$3:$E$10000,4,FALSE)),"",VLOOKUP($B9&amp;":"&amp;Y$3,'x - authors'!$B$3:$E$10000,4,FALSE))</f>
        <v/>
      </c>
      <c r="Z9" s="80" t="str">
        <f>IF(ISNA(VLOOKUP($B9&amp;":"&amp;Z$3,'x - authors'!$B$3:$E$10000,4,FALSE)),"",VLOOKUP($B9&amp;":"&amp;Z$3,'x - authors'!$B$3:$E$10000,4,FALSE))</f>
        <v/>
      </c>
      <c r="AA9" s="80" t="str">
        <f>IF(ISNA(VLOOKUP($B9&amp;":"&amp;AA$3,'x - authors'!$B$3:$E$10000,4,FALSE)),"",VLOOKUP($B9&amp;":"&amp;AA$3,'x - authors'!$B$3:$E$10000,4,FALSE))</f>
        <v/>
      </c>
      <c r="AB9" s="80" t="str">
        <f>IF(ISNA(VLOOKUP($B9&amp;":"&amp;AB$3,'x - authors'!$B$3:$E$10000,4,FALSE)),"",VLOOKUP($B9&amp;":"&amp;AB$3,'x - authors'!$B$3:$E$10000,4,FALSE))</f>
        <v/>
      </c>
      <c r="AC9" s="80" t="str">
        <f>IF(ISNA(VLOOKUP($B9&amp;":"&amp;AC$3,'x - authors'!$B$3:$E$10000,4,FALSE)),"",VLOOKUP($B9&amp;":"&amp;AC$3,'x - authors'!$B$3:$E$10000,4,FALSE))</f>
        <v/>
      </c>
      <c r="AD9" s="80" t="str">
        <f>IF(ISNA(VLOOKUP($B9&amp;":"&amp;AD$3,'x - authors'!$B$3:$E$10000,4,FALSE)),"",VLOOKUP($B9&amp;":"&amp;AD$3,'x - authors'!$B$3:$E$10000,4,FALSE))</f>
        <v/>
      </c>
      <c r="AE9" s="80" t="str">
        <f>IF(ISNA(VLOOKUP($B9&amp;":"&amp;AE$3,'x - authors'!$B$3:$E$10000,4,FALSE)),"",VLOOKUP($B9&amp;":"&amp;AE$3,'x - authors'!$B$3:$E$10000,4,FALSE))</f>
        <v/>
      </c>
      <c r="AF9" s="80" t="str">
        <f>IF(ISNA(VLOOKUP($B9&amp;":"&amp;AF$3,'x - authors'!$B$3:$E$10000,4,FALSE)),"",VLOOKUP($B9&amp;":"&amp;AF$3,'x - authors'!$B$3:$E$10000,4,FALSE))</f>
        <v/>
      </c>
      <c r="AG9" s="80" t="str">
        <f>IF(ISNA(VLOOKUP($B9&amp;":"&amp;AG$3,'x - authors'!$B$3:$E$10000,4,FALSE)),"",VLOOKUP($B9&amp;":"&amp;AG$3,'x - authors'!$B$3:$E$10000,4,FALSE))</f>
        <v/>
      </c>
      <c r="AH9" s="80" t="str">
        <f>IF(ISNA(VLOOKUP($B9&amp;":"&amp;AH$3,'x - authors'!$B$3:$E$10000,4,FALSE)),"",VLOOKUP($B9&amp;":"&amp;AH$3,'x - authors'!$B$3:$E$10000,4,FALSE))</f>
        <v/>
      </c>
      <c r="AI9" s="80" t="str">
        <f>IF(ISNA(VLOOKUP($B9&amp;":"&amp;AI$3,'x - authors'!$B$3:$E$10000,4,FALSE)),"",VLOOKUP($B9&amp;":"&amp;AI$3,'x - authors'!$B$3:$E$10000,4,FALSE))</f>
        <v/>
      </c>
    </row>
    <row r="10" spans="2:35">
      <c r="B10" s="65" t="s">
        <v>5543</v>
      </c>
      <c r="C10" s="65" t="s">
        <v>129</v>
      </c>
      <c r="D10" s="65" t="s">
        <v>5544</v>
      </c>
      <c r="E10" s="41" t="s">
        <v>114</v>
      </c>
      <c r="F10" s="65"/>
      <c r="G10" s="65"/>
      <c r="H10" s="65" t="s">
        <v>5545</v>
      </c>
      <c r="I10" s="65"/>
      <c r="J10" s="65" t="s">
        <v>5547</v>
      </c>
      <c r="K10" s="65"/>
      <c r="L10" s="65" t="s">
        <v>5548</v>
      </c>
      <c r="M10" s="65"/>
      <c r="N10" s="65"/>
      <c r="O10" s="15" t="str">
        <f t="shared" si="0"/>
        <v>citation:doc-1073-01</v>
      </c>
      <c r="Q10" s="15" t="str">
        <f>VLOOKUP($O10,'x - paper citations'!$B$3:$E$2000,2,FALSE)</f>
        <v>https://scholar.google.co.uk/scholar?q="Adaptive Response System for Distributed Denial-of-Service Attacks"&amp;btnG=&amp;hl=en&amp;as_sdt=0,5</v>
      </c>
      <c r="R10" s="15">
        <f>VLOOKUP($O10,'x - paper citations'!$B$3:$E$2000,3,FALSE)</f>
        <v>5</v>
      </c>
      <c r="S10" s="15" t="str">
        <f>VLOOKUP($O10,'x - paper citations'!$B$3:$E$2000,4,FALSE)</f>
        <v>11/02/2016</v>
      </c>
      <c r="U10" s="80" t="str">
        <f>IF(ISNA(VLOOKUP($B10&amp;":"&amp;U$3,'x - authors'!$B$3:$E$10000,4,FALSE)),"",VLOOKUP($B10&amp;":"&amp;U$3,'x - authors'!$B$3:$E$10000,4,FALSE))</f>
        <v>vrizlynn_thing</v>
      </c>
      <c r="V10" s="80" t="str">
        <f>IF(ISNA(VLOOKUP($B10&amp;":"&amp;V$3,'x - authors'!$B$3:$E$10000,4,FALSE)),"",VLOOKUP($B10&amp;":"&amp;V$3,'x - authors'!$B$3:$E$10000,4,FALSE))</f>
        <v>morris_sloman</v>
      </c>
      <c r="W10" s="80" t="str">
        <f>IF(ISNA(VLOOKUP($B10&amp;":"&amp;W$3,'x - authors'!$B$3:$E$10000,4,FALSE)),"",VLOOKUP($B10&amp;":"&amp;W$3,'x - authors'!$B$3:$E$10000,4,FALSE))</f>
        <v>naranker_dulay</v>
      </c>
      <c r="X10" s="80" t="str">
        <f>IF(ISNA(VLOOKUP($B10&amp;":"&amp;X$3,'x - authors'!$B$3:$E$10000,4,FALSE)),"",VLOOKUP($B10&amp;":"&amp;X$3,'x - authors'!$B$3:$E$10000,4,FALSE))</f>
        <v/>
      </c>
      <c r="Y10" s="80" t="str">
        <f>IF(ISNA(VLOOKUP($B10&amp;":"&amp;Y$3,'x - authors'!$B$3:$E$10000,4,FALSE)),"",VLOOKUP($B10&amp;":"&amp;Y$3,'x - authors'!$B$3:$E$10000,4,FALSE))</f>
        <v/>
      </c>
      <c r="Z10" s="80" t="str">
        <f>IF(ISNA(VLOOKUP($B10&amp;":"&amp;Z$3,'x - authors'!$B$3:$E$10000,4,FALSE)),"",VLOOKUP($B10&amp;":"&amp;Z$3,'x - authors'!$B$3:$E$10000,4,FALSE))</f>
        <v/>
      </c>
      <c r="AA10" s="80" t="str">
        <f>IF(ISNA(VLOOKUP($B10&amp;":"&amp;AA$3,'x - authors'!$B$3:$E$10000,4,FALSE)),"",VLOOKUP($B10&amp;":"&amp;AA$3,'x - authors'!$B$3:$E$10000,4,FALSE))</f>
        <v/>
      </c>
      <c r="AB10" s="80" t="str">
        <f>IF(ISNA(VLOOKUP($B10&amp;":"&amp;AB$3,'x - authors'!$B$3:$E$10000,4,FALSE)),"",VLOOKUP($B10&amp;":"&amp;AB$3,'x - authors'!$B$3:$E$10000,4,FALSE))</f>
        <v/>
      </c>
      <c r="AC10" s="80" t="str">
        <f>IF(ISNA(VLOOKUP($B10&amp;":"&amp;AC$3,'x - authors'!$B$3:$E$10000,4,FALSE)),"",VLOOKUP($B10&amp;":"&amp;AC$3,'x - authors'!$B$3:$E$10000,4,FALSE))</f>
        <v/>
      </c>
      <c r="AD10" s="80" t="str">
        <f>IF(ISNA(VLOOKUP($B10&amp;":"&amp;AD$3,'x - authors'!$B$3:$E$10000,4,FALSE)),"",VLOOKUP($B10&amp;":"&amp;AD$3,'x - authors'!$B$3:$E$10000,4,FALSE))</f>
        <v/>
      </c>
      <c r="AE10" s="80" t="str">
        <f>IF(ISNA(VLOOKUP($B10&amp;":"&amp;AE$3,'x - authors'!$B$3:$E$10000,4,FALSE)),"",VLOOKUP($B10&amp;":"&amp;AE$3,'x - authors'!$B$3:$E$10000,4,FALSE))</f>
        <v/>
      </c>
      <c r="AF10" s="80" t="str">
        <f>IF(ISNA(VLOOKUP($B10&amp;":"&amp;AF$3,'x - authors'!$B$3:$E$10000,4,FALSE)),"",VLOOKUP($B10&amp;":"&amp;AF$3,'x - authors'!$B$3:$E$10000,4,FALSE))</f>
        <v/>
      </c>
      <c r="AG10" s="80" t="str">
        <f>IF(ISNA(VLOOKUP($B10&amp;":"&amp;AG$3,'x - authors'!$B$3:$E$10000,4,FALSE)),"",VLOOKUP($B10&amp;":"&amp;AG$3,'x - authors'!$B$3:$E$10000,4,FALSE))</f>
        <v/>
      </c>
      <c r="AH10" s="80" t="str">
        <f>IF(ISNA(VLOOKUP($B10&amp;":"&amp;AH$3,'x - authors'!$B$3:$E$10000,4,FALSE)),"",VLOOKUP($B10&amp;":"&amp;AH$3,'x - authors'!$B$3:$E$10000,4,FALSE))</f>
        <v/>
      </c>
      <c r="AI10" s="80" t="str">
        <f>IF(ISNA(VLOOKUP($B10&amp;":"&amp;AI$3,'x - authors'!$B$3:$E$10000,4,FALSE)),"",VLOOKUP($B10&amp;":"&amp;AI$3,'x - authors'!$B$3:$E$10000,4,FALSE))</f>
        <v/>
      </c>
    </row>
    <row r="11" spans="2:35">
      <c r="B11" s="65" t="s">
        <v>5549</v>
      </c>
      <c r="C11" s="65" t="s">
        <v>129</v>
      </c>
      <c r="D11" s="65" t="s">
        <v>5550</v>
      </c>
      <c r="E11" s="41" t="s">
        <v>970</v>
      </c>
      <c r="F11" s="65" t="s">
        <v>5445</v>
      </c>
      <c r="G11" s="65"/>
      <c r="H11" s="65" t="s">
        <v>5551</v>
      </c>
      <c r="I11" s="65"/>
      <c r="J11" s="65" t="s">
        <v>5553</v>
      </c>
      <c r="K11" s="65"/>
      <c r="L11" s="65" t="s">
        <v>5554</v>
      </c>
      <c r="M11" s="65"/>
      <c r="N11" s="65"/>
      <c r="O11" s="15" t="str">
        <f t="shared" si="0"/>
        <v>citation:doc-1077-01</v>
      </c>
      <c r="Q11" s="15" t="str">
        <f>VLOOKUP($O11,'x - paper citations'!$B$3:$E$2000,2,FALSE)</f>
        <v>https://scholar.google.co.uk/scholar?q="Proactive Data Dissemination to Mission Sites"&amp;btnG=&amp;hl=en&amp;as_sdt=0,5</v>
      </c>
      <c r="R11" s="15">
        <f>VLOOKUP($O11,'x - paper citations'!$B$3:$E$2000,3,FALSE)</f>
        <v>5</v>
      </c>
      <c r="S11" s="15" t="str">
        <f>VLOOKUP($O11,'x - paper citations'!$B$3:$E$2000,4,FALSE)</f>
        <v>09/12/2015</v>
      </c>
      <c r="U11" s="80" t="str">
        <f>IF(ISNA(VLOOKUP($B11&amp;":"&amp;U$3,'x - authors'!$B$3:$E$10000,4,FALSE)),"",VLOOKUP($B11&amp;":"&amp;U$3,'x - authors'!$B$3:$E$10000,4,FALSE))</f>
        <v>fangfei_chen</v>
      </c>
      <c r="V11" s="80" t="str">
        <f>IF(ISNA(VLOOKUP($B11&amp;":"&amp;V$3,'x - authors'!$B$3:$E$10000,4,FALSE)),"",VLOOKUP($B11&amp;":"&amp;V$3,'x - authors'!$B$3:$E$10000,4,FALSE))</f>
        <v>matthew_johnson</v>
      </c>
      <c r="W11" s="80" t="str">
        <f>IF(ISNA(VLOOKUP($B11&amp;":"&amp;W$3,'x - authors'!$B$3:$E$10000,4,FALSE)),"",VLOOKUP($B11&amp;":"&amp;W$3,'x - authors'!$B$3:$E$10000,4,FALSE))</f>
        <v>amotz_bar_noy</v>
      </c>
      <c r="X11" s="80" t="str">
        <f>IF(ISNA(VLOOKUP($B11&amp;":"&amp;X$3,'x - authors'!$B$3:$E$10000,4,FALSE)),"",VLOOKUP($B11&amp;":"&amp;X$3,'x - authors'!$B$3:$E$10000,4,FALSE))</f>
        <v>iris_fermin</v>
      </c>
      <c r="Y11" s="80" t="str">
        <f>IF(ISNA(VLOOKUP($B11&amp;":"&amp;Y$3,'x - authors'!$B$3:$E$10000,4,FALSE)),"",VLOOKUP($B11&amp;":"&amp;Y$3,'x - authors'!$B$3:$E$10000,4,FALSE))</f>
        <v>thomas_laporta</v>
      </c>
      <c r="Z11" s="80" t="str">
        <f>IF(ISNA(VLOOKUP($B11&amp;":"&amp;Z$3,'x - authors'!$B$3:$E$10000,4,FALSE)),"",VLOOKUP($B11&amp;":"&amp;Z$3,'x - authors'!$B$3:$E$10000,4,FALSE))</f>
        <v/>
      </c>
      <c r="AA11" s="80" t="str">
        <f>IF(ISNA(VLOOKUP($B11&amp;":"&amp;AA$3,'x - authors'!$B$3:$E$10000,4,FALSE)),"",VLOOKUP($B11&amp;":"&amp;AA$3,'x - authors'!$B$3:$E$10000,4,FALSE))</f>
        <v/>
      </c>
      <c r="AB11" s="80" t="str">
        <f>IF(ISNA(VLOOKUP($B11&amp;":"&amp;AB$3,'x - authors'!$B$3:$E$10000,4,FALSE)),"",VLOOKUP($B11&amp;":"&amp;AB$3,'x - authors'!$B$3:$E$10000,4,FALSE))</f>
        <v/>
      </c>
      <c r="AC11" s="80" t="str">
        <f>IF(ISNA(VLOOKUP($B11&amp;":"&amp;AC$3,'x - authors'!$B$3:$E$10000,4,FALSE)),"",VLOOKUP($B11&amp;":"&amp;AC$3,'x - authors'!$B$3:$E$10000,4,FALSE))</f>
        <v/>
      </c>
      <c r="AD11" s="80" t="str">
        <f>IF(ISNA(VLOOKUP($B11&amp;":"&amp;AD$3,'x - authors'!$B$3:$E$10000,4,FALSE)),"",VLOOKUP($B11&amp;":"&amp;AD$3,'x - authors'!$B$3:$E$10000,4,FALSE))</f>
        <v/>
      </c>
      <c r="AE11" s="80" t="str">
        <f>IF(ISNA(VLOOKUP($B11&amp;":"&amp;AE$3,'x - authors'!$B$3:$E$10000,4,FALSE)),"",VLOOKUP($B11&amp;":"&amp;AE$3,'x - authors'!$B$3:$E$10000,4,FALSE))</f>
        <v/>
      </c>
      <c r="AF11" s="80" t="str">
        <f>IF(ISNA(VLOOKUP($B11&amp;":"&amp;AF$3,'x - authors'!$B$3:$E$10000,4,FALSE)),"",VLOOKUP($B11&amp;":"&amp;AF$3,'x - authors'!$B$3:$E$10000,4,FALSE))</f>
        <v/>
      </c>
      <c r="AG11" s="80" t="str">
        <f>IF(ISNA(VLOOKUP($B11&amp;":"&amp;AG$3,'x - authors'!$B$3:$E$10000,4,FALSE)),"",VLOOKUP($B11&amp;":"&amp;AG$3,'x - authors'!$B$3:$E$10000,4,FALSE))</f>
        <v/>
      </c>
      <c r="AH11" s="80" t="str">
        <f>IF(ISNA(VLOOKUP($B11&amp;":"&amp;AH$3,'x - authors'!$B$3:$E$10000,4,FALSE)),"",VLOOKUP($B11&amp;":"&amp;AH$3,'x - authors'!$B$3:$E$10000,4,FALSE))</f>
        <v/>
      </c>
      <c r="AI11" s="80" t="str">
        <f>IF(ISNA(VLOOKUP($B11&amp;":"&amp;AI$3,'x - authors'!$B$3:$E$10000,4,FALSE)),"",VLOOKUP($B11&amp;":"&amp;AI$3,'x - authors'!$B$3:$E$10000,4,FALSE))</f>
        <v/>
      </c>
    </row>
    <row r="12" spans="2:35">
      <c r="B12" s="65" t="s">
        <v>5555</v>
      </c>
      <c r="C12" s="65" t="s">
        <v>129</v>
      </c>
      <c r="D12" s="65" t="s">
        <v>5556</v>
      </c>
      <c r="E12" s="41" t="s">
        <v>114</v>
      </c>
      <c r="F12" s="65"/>
      <c r="G12" s="65"/>
      <c r="H12" s="65" t="s">
        <v>5557</v>
      </c>
      <c r="I12" s="65"/>
      <c r="J12" s="65" t="s">
        <v>5559</v>
      </c>
      <c r="K12" s="65"/>
      <c r="L12" s="65" t="s">
        <v>5560</v>
      </c>
      <c r="M12" s="65"/>
      <c r="N12" s="65"/>
      <c r="O12" s="15" t="str">
        <f t="shared" si="0"/>
        <v>citation:doc-1084-01</v>
      </c>
      <c r="Q12" s="15" t="str">
        <f>VLOOKUP($O12,'x - paper citations'!$B$3:$E$2000,2,FALSE)</f>
        <v>https://scholar.google.co.uk/scholar?q="Learning Operational Requirements from Goal Models"&amp;btnG=&amp;hl=en&amp;as_sdt=0,5</v>
      </c>
      <c r="R12" s="15">
        <f>VLOOKUP($O12,'x - paper citations'!$B$3:$E$2000,3,FALSE)</f>
        <v>65</v>
      </c>
      <c r="S12" s="15" t="str">
        <f>VLOOKUP($O12,'x - paper citations'!$B$3:$E$2000,4,FALSE)</f>
        <v>09/12/2015</v>
      </c>
      <c r="U12" s="80" t="str">
        <f>IF(ISNA(VLOOKUP($B12&amp;":"&amp;U$3,'x - authors'!$B$3:$E$10000,4,FALSE)),"",VLOOKUP($B12&amp;":"&amp;U$3,'x - authors'!$B$3:$E$10000,4,FALSE))</f>
        <v>dalal_alrajeh</v>
      </c>
      <c r="V12" s="80" t="str">
        <f>IF(ISNA(VLOOKUP($B12&amp;":"&amp;V$3,'x - authors'!$B$3:$E$10000,4,FALSE)),"",VLOOKUP($B12&amp;":"&amp;V$3,'x - authors'!$B$3:$E$10000,4,FALSE))</f>
        <v>jeff_kramer</v>
      </c>
      <c r="W12" s="80" t="str">
        <f>IF(ISNA(VLOOKUP($B12&amp;":"&amp;W$3,'x - authors'!$B$3:$E$10000,4,FALSE)),"",VLOOKUP($B12&amp;":"&amp;W$3,'x - authors'!$B$3:$E$10000,4,FALSE))</f>
        <v>alessandra_russo</v>
      </c>
      <c r="X12" s="80" t="str">
        <f>IF(ISNA(VLOOKUP($B12&amp;":"&amp;X$3,'x - authors'!$B$3:$E$10000,4,FALSE)),"",VLOOKUP($B12&amp;":"&amp;X$3,'x - authors'!$B$3:$E$10000,4,FALSE))</f>
        <v>sebastin_uchitel</v>
      </c>
      <c r="Y12" s="80" t="str">
        <f>IF(ISNA(VLOOKUP($B12&amp;":"&amp;Y$3,'x - authors'!$B$3:$E$10000,4,FALSE)),"",VLOOKUP($B12&amp;":"&amp;Y$3,'x - authors'!$B$3:$E$10000,4,FALSE))</f>
        <v/>
      </c>
      <c r="Z12" s="80" t="str">
        <f>IF(ISNA(VLOOKUP($B12&amp;":"&amp;Z$3,'x - authors'!$B$3:$E$10000,4,FALSE)),"",VLOOKUP($B12&amp;":"&amp;Z$3,'x - authors'!$B$3:$E$10000,4,FALSE))</f>
        <v/>
      </c>
      <c r="AA12" s="80" t="str">
        <f>IF(ISNA(VLOOKUP($B12&amp;":"&amp;AA$3,'x - authors'!$B$3:$E$10000,4,FALSE)),"",VLOOKUP($B12&amp;":"&amp;AA$3,'x - authors'!$B$3:$E$10000,4,FALSE))</f>
        <v/>
      </c>
      <c r="AB12" s="80" t="str">
        <f>IF(ISNA(VLOOKUP($B12&amp;":"&amp;AB$3,'x - authors'!$B$3:$E$10000,4,FALSE)),"",VLOOKUP($B12&amp;":"&amp;AB$3,'x - authors'!$B$3:$E$10000,4,FALSE))</f>
        <v/>
      </c>
      <c r="AC12" s="80" t="str">
        <f>IF(ISNA(VLOOKUP($B12&amp;":"&amp;AC$3,'x - authors'!$B$3:$E$10000,4,FALSE)),"",VLOOKUP($B12&amp;":"&amp;AC$3,'x - authors'!$B$3:$E$10000,4,FALSE))</f>
        <v/>
      </c>
      <c r="AD12" s="80" t="str">
        <f>IF(ISNA(VLOOKUP($B12&amp;":"&amp;AD$3,'x - authors'!$B$3:$E$10000,4,FALSE)),"",VLOOKUP($B12&amp;":"&amp;AD$3,'x - authors'!$B$3:$E$10000,4,FALSE))</f>
        <v/>
      </c>
      <c r="AE12" s="80" t="str">
        <f>IF(ISNA(VLOOKUP($B12&amp;":"&amp;AE$3,'x - authors'!$B$3:$E$10000,4,FALSE)),"",VLOOKUP($B12&amp;":"&amp;AE$3,'x - authors'!$B$3:$E$10000,4,FALSE))</f>
        <v/>
      </c>
      <c r="AF12" s="80" t="str">
        <f>IF(ISNA(VLOOKUP($B12&amp;":"&amp;AF$3,'x - authors'!$B$3:$E$10000,4,FALSE)),"",VLOOKUP($B12&amp;":"&amp;AF$3,'x - authors'!$B$3:$E$10000,4,FALSE))</f>
        <v/>
      </c>
      <c r="AG12" s="80" t="str">
        <f>IF(ISNA(VLOOKUP($B12&amp;":"&amp;AG$3,'x - authors'!$B$3:$E$10000,4,FALSE)),"",VLOOKUP($B12&amp;":"&amp;AG$3,'x - authors'!$B$3:$E$10000,4,FALSE))</f>
        <v/>
      </c>
      <c r="AH12" s="80" t="str">
        <f>IF(ISNA(VLOOKUP($B12&amp;":"&amp;AH$3,'x - authors'!$B$3:$E$10000,4,FALSE)),"",VLOOKUP($B12&amp;":"&amp;AH$3,'x - authors'!$B$3:$E$10000,4,FALSE))</f>
        <v/>
      </c>
      <c r="AI12" s="80" t="str">
        <f>IF(ISNA(VLOOKUP($B12&amp;":"&amp;AI$3,'x - authors'!$B$3:$E$10000,4,FALSE)),"",VLOOKUP($B12&amp;":"&amp;AI$3,'x - authors'!$B$3:$E$10000,4,FALSE))</f>
        <v/>
      </c>
    </row>
    <row r="13" spans="2:35">
      <c r="B13" s="65" t="s">
        <v>5561</v>
      </c>
      <c r="C13" s="65" t="s">
        <v>129</v>
      </c>
      <c r="D13" s="65" t="s">
        <v>5562</v>
      </c>
      <c r="E13" s="41" t="s">
        <v>114</v>
      </c>
      <c r="F13" s="65"/>
      <c r="G13" s="65"/>
      <c r="H13" s="65" t="s">
        <v>5563</v>
      </c>
      <c r="I13" s="65"/>
      <c r="J13" s="65" t="s">
        <v>5565</v>
      </c>
      <c r="K13" s="65"/>
      <c r="L13" s="65" t="s">
        <v>5566</v>
      </c>
      <c r="M13" s="65"/>
      <c r="N13" s="65"/>
      <c r="O13" s="15" t="str">
        <f t="shared" si="0"/>
        <v>citation:doc-1095-01</v>
      </c>
      <c r="Q13" s="15" t="str">
        <f>VLOOKUP($O13,'x - paper citations'!$B$3:$E$2000,2,FALSE)</f>
        <v>https://scholar.google.co.uk/scholar?q="Realising Management and Composition of Self-Managed Cells in Pervasive Healthcare"&amp;btnG=&amp;hl=en&amp;as_sdt=0,5</v>
      </c>
      <c r="R13" s="15">
        <f>VLOOKUP($O13,'x - paper citations'!$B$3:$E$2000,3,FALSE)</f>
        <v>10</v>
      </c>
      <c r="S13" s="15" t="str">
        <f>VLOOKUP($O13,'x - paper citations'!$B$3:$E$2000,4,FALSE)</f>
        <v>14/12/2015</v>
      </c>
      <c r="U13" s="80" t="str">
        <f>IF(ISNA(VLOOKUP($B13&amp;":"&amp;U$3,'x - authors'!$B$3:$E$10000,4,FALSE)),"",VLOOKUP($B13&amp;":"&amp;U$3,'x - authors'!$B$3:$E$10000,4,FALSE))</f>
        <v>alberto_schaeffer-filho</v>
      </c>
      <c r="V13" s="80" t="str">
        <f>IF(ISNA(VLOOKUP($B13&amp;":"&amp;V$3,'x - authors'!$B$3:$E$10000,4,FALSE)),"",VLOOKUP($B13&amp;":"&amp;V$3,'x - authors'!$B$3:$E$10000,4,FALSE))</f>
        <v>emil_lupu</v>
      </c>
      <c r="W13" s="80" t="str">
        <f>IF(ISNA(VLOOKUP($B13&amp;":"&amp;W$3,'x - authors'!$B$3:$E$10000,4,FALSE)),"",VLOOKUP($B13&amp;":"&amp;W$3,'x - authors'!$B$3:$E$10000,4,FALSE))</f>
        <v>morris_sloman</v>
      </c>
      <c r="X13" s="80" t="str">
        <f>IF(ISNA(VLOOKUP($B13&amp;":"&amp;X$3,'x - authors'!$B$3:$E$10000,4,FALSE)),"",VLOOKUP($B13&amp;":"&amp;X$3,'x - authors'!$B$3:$E$10000,4,FALSE))</f>
        <v/>
      </c>
      <c r="Y13" s="80" t="str">
        <f>IF(ISNA(VLOOKUP($B13&amp;":"&amp;Y$3,'x - authors'!$B$3:$E$10000,4,FALSE)),"",VLOOKUP($B13&amp;":"&amp;Y$3,'x - authors'!$B$3:$E$10000,4,FALSE))</f>
        <v/>
      </c>
      <c r="Z13" s="80" t="str">
        <f>IF(ISNA(VLOOKUP($B13&amp;":"&amp;Z$3,'x - authors'!$B$3:$E$10000,4,FALSE)),"",VLOOKUP($B13&amp;":"&amp;Z$3,'x - authors'!$B$3:$E$10000,4,FALSE))</f>
        <v/>
      </c>
      <c r="AA13" s="80" t="str">
        <f>IF(ISNA(VLOOKUP($B13&amp;":"&amp;AA$3,'x - authors'!$B$3:$E$10000,4,FALSE)),"",VLOOKUP($B13&amp;":"&amp;AA$3,'x - authors'!$B$3:$E$10000,4,FALSE))</f>
        <v/>
      </c>
      <c r="AB13" s="80" t="str">
        <f>IF(ISNA(VLOOKUP($B13&amp;":"&amp;AB$3,'x - authors'!$B$3:$E$10000,4,FALSE)),"",VLOOKUP($B13&amp;":"&amp;AB$3,'x - authors'!$B$3:$E$10000,4,FALSE))</f>
        <v/>
      </c>
      <c r="AC13" s="80" t="str">
        <f>IF(ISNA(VLOOKUP($B13&amp;":"&amp;AC$3,'x - authors'!$B$3:$E$10000,4,FALSE)),"",VLOOKUP($B13&amp;":"&amp;AC$3,'x - authors'!$B$3:$E$10000,4,FALSE))</f>
        <v/>
      </c>
      <c r="AD13" s="80" t="str">
        <f>IF(ISNA(VLOOKUP($B13&amp;":"&amp;AD$3,'x - authors'!$B$3:$E$10000,4,FALSE)),"",VLOOKUP($B13&amp;":"&amp;AD$3,'x - authors'!$B$3:$E$10000,4,FALSE))</f>
        <v/>
      </c>
      <c r="AE13" s="80" t="str">
        <f>IF(ISNA(VLOOKUP($B13&amp;":"&amp;AE$3,'x - authors'!$B$3:$E$10000,4,FALSE)),"",VLOOKUP($B13&amp;":"&amp;AE$3,'x - authors'!$B$3:$E$10000,4,FALSE))</f>
        <v/>
      </c>
      <c r="AF13" s="80" t="str">
        <f>IF(ISNA(VLOOKUP($B13&amp;":"&amp;AF$3,'x - authors'!$B$3:$E$10000,4,FALSE)),"",VLOOKUP($B13&amp;":"&amp;AF$3,'x - authors'!$B$3:$E$10000,4,FALSE))</f>
        <v/>
      </c>
      <c r="AG13" s="80" t="str">
        <f>IF(ISNA(VLOOKUP($B13&amp;":"&amp;AG$3,'x - authors'!$B$3:$E$10000,4,FALSE)),"",VLOOKUP($B13&amp;":"&amp;AG$3,'x - authors'!$B$3:$E$10000,4,FALSE))</f>
        <v/>
      </c>
      <c r="AH13" s="80" t="str">
        <f>IF(ISNA(VLOOKUP($B13&amp;":"&amp;AH$3,'x - authors'!$B$3:$E$10000,4,FALSE)),"",VLOOKUP($B13&amp;":"&amp;AH$3,'x - authors'!$B$3:$E$10000,4,FALSE))</f>
        <v/>
      </c>
      <c r="AI13" s="80" t="str">
        <f>IF(ISNA(VLOOKUP($B13&amp;":"&amp;AI$3,'x - authors'!$B$3:$E$10000,4,FALSE)),"",VLOOKUP($B13&amp;":"&amp;AI$3,'x - authors'!$B$3:$E$10000,4,FALSE))</f>
        <v/>
      </c>
    </row>
    <row r="14" spans="2:35">
      <c r="B14" s="65" t="s">
        <v>5567</v>
      </c>
      <c r="C14" s="65" t="s">
        <v>129</v>
      </c>
      <c r="D14" s="65" t="s">
        <v>5568</v>
      </c>
      <c r="E14" s="41" t="s">
        <v>114</v>
      </c>
      <c r="F14" s="65"/>
      <c r="G14" s="65"/>
      <c r="H14" s="65" t="s">
        <v>5569</v>
      </c>
      <c r="I14" s="65"/>
      <c r="J14" s="65" t="s">
        <v>5571</v>
      </c>
      <c r="K14" s="65"/>
      <c r="L14" s="65" t="s">
        <v>5572</v>
      </c>
      <c r="M14" s="65"/>
      <c r="N14" s="65"/>
      <c r="O14" s="15" t="str">
        <f t="shared" si="0"/>
        <v>citation:doc-1100-01</v>
      </c>
      <c r="Q14" s="15" t="str">
        <f>VLOOKUP($O14,'x - paper citations'!$B$3:$E$2000,2,FALSE)</f>
        <v>https://scholar.google.co.uk/scholar?q=%22Toward+quality+of+information+aware+rate+control+for+sensor+networks%22&amp;btnG=&amp;hl=en&amp;as_sdt=0%2C5</v>
      </c>
      <c r="R14" s="15">
        <f>VLOOKUP($O14,'x - paper citations'!$B$3:$E$2000,3,FALSE)</f>
        <v>23</v>
      </c>
      <c r="S14" s="15" t="str">
        <f>VLOOKUP($O14,'x - paper citations'!$B$3:$E$2000,4,FALSE)</f>
        <v>09/12/2015</v>
      </c>
      <c r="U14" s="80" t="str">
        <f>IF(ISNA(VLOOKUP($B14&amp;":"&amp;U$3,'x - authors'!$B$3:$E$10000,4,FALSE)),"",VLOOKUP($B14&amp;":"&amp;U$3,'x - authors'!$B$3:$E$10000,4,FALSE))</f>
        <v>zainul_charbiwala</v>
      </c>
      <c r="V14" s="80" t="str">
        <f>IF(ISNA(VLOOKUP($B14&amp;":"&amp;V$3,'x - authors'!$B$3:$E$10000,4,FALSE)),"",VLOOKUP($B14&amp;":"&amp;V$3,'x - authors'!$B$3:$E$10000,4,FALSE))</f>
        <v>sadaf_zahedi</v>
      </c>
      <c r="W14" s="80" t="str">
        <f>IF(ISNA(VLOOKUP($B14&amp;":"&amp;W$3,'x - authors'!$B$3:$E$10000,4,FALSE)),"",VLOOKUP($B14&amp;":"&amp;W$3,'x - authors'!$B$3:$E$10000,4,FALSE))</f>
        <v>younghun_kim</v>
      </c>
      <c r="X14" s="80" t="str">
        <f>IF(ISNA(VLOOKUP($B14&amp;":"&amp;X$3,'x - authors'!$B$3:$E$10000,4,FALSE)),"",VLOOKUP($B14&amp;":"&amp;X$3,'x - authors'!$B$3:$E$10000,4,FALSE))</f>
        <v>mani_srivastava</v>
      </c>
      <c r="Y14" s="80" t="str">
        <f>IF(ISNA(VLOOKUP($B14&amp;":"&amp;Y$3,'x - authors'!$B$3:$E$10000,4,FALSE)),"",VLOOKUP($B14&amp;":"&amp;Y$3,'x - authors'!$B$3:$E$10000,4,FALSE))</f>
        <v>young_cho</v>
      </c>
      <c r="Z14" s="80" t="str">
        <f>IF(ISNA(VLOOKUP($B14&amp;":"&amp;Z$3,'x - authors'!$B$3:$E$10000,4,FALSE)),"",VLOOKUP($B14&amp;":"&amp;Z$3,'x - authors'!$B$3:$E$10000,4,FALSE))</f>
        <v/>
      </c>
      <c r="AA14" s="80" t="str">
        <f>IF(ISNA(VLOOKUP($B14&amp;":"&amp;AA$3,'x - authors'!$B$3:$E$10000,4,FALSE)),"",VLOOKUP($B14&amp;":"&amp;AA$3,'x - authors'!$B$3:$E$10000,4,FALSE))</f>
        <v/>
      </c>
      <c r="AB14" s="80" t="str">
        <f>IF(ISNA(VLOOKUP($B14&amp;":"&amp;AB$3,'x - authors'!$B$3:$E$10000,4,FALSE)),"",VLOOKUP($B14&amp;":"&amp;AB$3,'x - authors'!$B$3:$E$10000,4,FALSE))</f>
        <v/>
      </c>
      <c r="AC14" s="80" t="str">
        <f>IF(ISNA(VLOOKUP($B14&amp;":"&amp;AC$3,'x - authors'!$B$3:$E$10000,4,FALSE)),"",VLOOKUP($B14&amp;":"&amp;AC$3,'x - authors'!$B$3:$E$10000,4,FALSE))</f>
        <v/>
      </c>
      <c r="AD14" s="80" t="str">
        <f>IF(ISNA(VLOOKUP($B14&amp;":"&amp;AD$3,'x - authors'!$B$3:$E$10000,4,FALSE)),"",VLOOKUP($B14&amp;":"&amp;AD$3,'x - authors'!$B$3:$E$10000,4,FALSE))</f>
        <v/>
      </c>
      <c r="AE14" s="80" t="str">
        <f>IF(ISNA(VLOOKUP($B14&amp;":"&amp;AE$3,'x - authors'!$B$3:$E$10000,4,FALSE)),"",VLOOKUP($B14&amp;":"&amp;AE$3,'x - authors'!$B$3:$E$10000,4,FALSE))</f>
        <v/>
      </c>
      <c r="AF14" s="80" t="str">
        <f>IF(ISNA(VLOOKUP($B14&amp;":"&amp;AF$3,'x - authors'!$B$3:$E$10000,4,FALSE)),"",VLOOKUP($B14&amp;":"&amp;AF$3,'x - authors'!$B$3:$E$10000,4,FALSE))</f>
        <v/>
      </c>
      <c r="AG14" s="80" t="str">
        <f>IF(ISNA(VLOOKUP($B14&amp;":"&amp;AG$3,'x - authors'!$B$3:$E$10000,4,FALSE)),"",VLOOKUP($B14&amp;":"&amp;AG$3,'x - authors'!$B$3:$E$10000,4,FALSE))</f>
        <v/>
      </c>
      <c r="AH14" s="80" t="str">
        <f>IF(ISNA(VLOOKUP($B14&amp;":"&amp;AH$3,'x - authors'!$B$3:$E$10000,4,FALSE)),"",VLOOKUP($B14&amp;":"&amp;AH$3,'x - authors'!$B$3:$E$10000,4,FALSE))</f>
        <v/>
      </c>
      <c r="AI14" s="80" t="str">
        <f>IF(ISNA(VLOOKUP($B14&amp;":"&amp;AI$3,'x - authors'!$B$3:$E$10000,4,FALSE)),"",VLOOKUP($B14&amp;":"&amp;AI$3,'x - authors'!$B$3:$E$10000,4,FALSE))</f>
        <v/>
      </c>
    </row>
    <row r="15" spans="2:35">
      <c r="B15" s="65" t="s">
        <v>5573</v>
      </c>
      <c r="C15" s="65" t="s">
        <v>129</v>
      </c>
      <c r="D15" s="65" t="s">
        <v>5574</v>
      </c>
      <c r="E15" s="41" t="s">
        <v>114</v>
      </c>
      <c r="F15" s="65"/>
      <c r="G15" s="65"/>
      <c r="H15" s="65" t="s">
        <v>5575</v>
      </c>
      <c r="I15" s="65"/>
      <c r="J15" s="65" t="s">
        <v>5577</v>
      </c>
      <c r="K15" s="65"/>
      <c r="L15" s="65" t="s">
        <v>5578</v>
      </c>
      <c r="M15" s="65"/>
      <c r="N15" s="65"/>
      <c r="O15" s="15" t="str">
        <f t="shared" si="0"/>
        <v>citation:doc-1102-01</v>
      </c>
      <c r="Q15" s="15" t="str">
        <f>VLOOKUP($O15,'x - paper citations'!$B$3:$E$2000,2,FALSE)</f>
        <v>https://scholar.google.co.uk/scholar?q="Routing of high-priority packets in wireless sensor networks"&amp;btnG=&amp;hl=en&amp;as_sdt=0,5</v>
      </c>
      <c r="R15" s="15">
        <f>VLOOKUP($O15,'x - paper citations'!$B$3:$E$2000,3,FALSE)</f>
        <v>10</v>
      </c>
      <c r="S15" s="15" t="str">
        <f>VLOOKUP($O15,'x - paper citations'!$B$3:$E$2000,4,FALSE)</f>
        <v>09/12/2015</v>
      </c>
      <c r="U15" s="80" t="str">
        <f>IF(ISNA(VLOOKUP($B15&amp;":"&amp;U$3,'x - authors'!$B$3:$E$10000,4,FALSE)),"",VLOOKUP($B15&amp;":"&amp;U$3,'x - authors'!$B$3:$E$10000,4,FALSE))</f>
        <v>erol_gelenbe</v>
      </c>
      <c r="V15" s="80" t="str">
        <f>IF(ISNA(VLOOKUP($B15&amp;":"&amp;V$3,'x - authors'!$B$3:$E$10000,4,FALSE)),"",VLOOKUP($B15&amp;":"&amp;V$3,'x - authors'!$B$3:$E$10000,4,FALSE))</f>
        <v>edith_ngai</v>
      </c>
      <c r="W15" s="80" t="str">
        <f>IF(ISNA(VLOOKUP($B15&amp;":"&amp;W$3,'x - authors'!$B$3:$E$10000,4,FALSE)),"",VLOOKUP($B15&amp;":"&amp;W$3,'x - authors'!$B$3:$E$10000,4,FALSE))</f>
        <v>poonam_yadav</v>
      </c>
      <c r="X15" s="80" t="str">
        <f>IF(ISNA(VLOOKUP($B15&amp;":"&amp;X$3,'x - authors'!$B$3:$E$10000,4,FALSE)),"",VLOOKUP($B15&amp;":"&amp;X$3,'x - authors'!$B$3:$E$10000,4,FALSE))</f>
        <v/>
      </c>
      <c r="Y15" s="80" t="str">
        <f>IF(ISNA(VLOOKUP($B15&amp;":"&amp;Y$3,'x - authors'!$B$3:$E$10000,4,FALSE)),"",VLOOKUP($B15&amp;":"&amp;Y$3,'x - authors'!$B$3:$E$10000,4,FALSE))</f>
        <v/>
      </c>
      <c r="Z15" s="80" t="str">
        <f>IF(ISNA(VLOOKUP($B15&amp;":"&amp;Z$3,'x - authors'!$B$3:$E$10000,4,FALSE)),"",VLOOKUP($B15&amp;":"&amp;Z$3,'x - authors'!$B$3:$E$10000,4,FALSE))</f>
        <v/>
      </c>
      <c r="AA15" s="80" t="str">
        <f>IF(ISNA(VLOOKUP($B15&amp;":"&amp;AA$3,'x - authors'!$B$3:$E$10000,4,FALSE)),"",VLOOKUP($B15&amp;":"&amp;AA$3,'x - authors'!$B$3:$E$10000,4,FALSE))</f>
        <v/>
      </c>
      <c r="AB15" s="80" t="str">
        <f>IF(ISNA(VLOOKUP($B15&amp;":"&amp;AB$3,'x - authors'!$B$3:$E$10000,4,FALSE)),"",VLOOKUP($B15&amp;":"&amp;AB$3,'x - authors'!$B$3:$E$10000,4,FALSE))</f>
        <v/>
      </c>
      <c r="AC15" s="80" t="str">
        <f>IF(ISNA(VLOOKUP($B15&amp;":"&amp;AC$3,'x - authors'!$B$3:$E$10000,4,FALSE)),"",VLOOKUP($B15&amp;":"&amp;AC$3,'x - authors'!$B$3:$E$10000,4,FALSE))</f>
        <v/>
      </c>
      <c r="AD15" s="80" t="str">
        <f>IF(ISNA(VLOOKUP($B15&amp;":"&amp;AD$3,'x - authors'!$B$3:$E$10000,4,FALSE)),"",VLOOKUP($B15&amp;":"&amp;AD$3,'x - authors'!$B$3:$E$10000,4,FALSE))</f>
        <v/>
      </c>
      <c r="AE15" s="80" t="str">
        <f>IF(ISNA(VLOOKUP($B15&amp;":"&amp;AE$3,'x - authors'!$B$3:$E$10000,4,FALSE)),"",VLOOKUP($B15&amp;":"&amp;AE$3,'x - authors'!$B$3:$E$10000,4,FALSE))</f>
        <v/>
      </c>
      <c r="AF15" s="80" t="str">
        <f>IF(ISNA(VLOOKUP($B15&amp;":"&amp;AF$3,'x - authors'!$B$3:$E$10000,4,FALSE)),"",VLOOKUP($B15&amp;":"&amp;AF$3,'x - authors'!$B$3:$E$10000,4,FALSE))</f>
        <v/>
      </c>
      <c r="AG15" s="80" t="str">
        <f>IF(ISNA(VLOOKUP($B15&amp;":"&amp;AG$3,'x - authors'!$B$3:$E$10000,4,FALSE)),"",VLOOKUP($B15&amp;":"&amp;AG$3,'x - authors'!$B$3:$E$10000,4,FALSE))</f>
        <v/>
      </c>
      <c r="AH15" s="80" t="str">
        <f>IF(ISNA(VLOOKUP($B15&amp;":"&amp;AH$3,'x - authors'!$B$3:$E$10000,4,FALSE)),"",VLOOKUP($B15&amp;":"&amp;AH$3,'x - authors'!$B$3:$E$10000,4,FALSE))</f>
        <v/>
      </c>
      <c r="AI15" s="80" t="str">
        <f>IF(ISNA(VLOOKUP($B15&amp;":"&amp;AI$3,'x - authors'!$B$3:$E$10000,4,FALSE)),"",VLOOKUP($B15&amp;":"&amp;AI$3,'x - authors'!$B$3:$E$10000,4,FALSE))</f>
        <v/>
      </c>
    </row>
    <row r="16" spans="2:35">
      <c r="B16" s="65" t="s">
        <v>5579</v>
      </c>
      <c r="C16" s="65" t="s">
        <v>129</v>
      </c>
      <c r="D16" s="65" t="s">
        <v>5580</v>
      </c>
      <c r="E16" s="41" t="s">
        <v>114</v>
      </c>
      <c r="F16" s="65"/>
      <c r="G16" s="65"/>
      <c r="H16" s="65" t="s">
        <v>5581</v>
      </c>
      <c r="I16" s="65"/>
      <c r="J16" s="65" t="s">
        <v>5583</v>
      </c>
      <c r="K16" s="65"/>
      <c r="L16" s="65" t="s">
        <v>5584</v>
      </c>
      <c r="M16" s="65"/>
      <c r="N16" s="65"/>
      <c r="O16" s="15" t="str">
        <f t="shared" si="0"/>
        <v>citation:doc-1112-01</v>
      </c>
      <c r="Q16" s="15" t="str">
        <f>VLOOKUP($O16,'x - paper citations'!$B$3:$E$2000,2,FALSE)</f>
        <v>https://scholar.google.co.uk/scholar?q="Hierarchical Identity Based Encryption with Polynomially Many Levels"&amp;btnG=&amp;hl=en&amp;as_sdt=0,5</v>
      </c>
      <c r="R16" s="15">
        <f>VLOOKUP($O16,'x - paper citations'!$B$3:$E$2000,3,FALSE)</f>
        <v>111</v>
      </c>
      <c r="S16" s="15" t="str">
        <f>VLOOKUP($O16,'x - paper citations'!$B$3:$E$2000,4,FALSE)</f>
        <v>09/12/2015</v>
      </c>
      <c r="U16" s="80" t="str">
        <f>IF(ISNA(VLOOKUP($B16&amp;":"&amp;U$3,'x - authors'!$B$3:$E$10000,4,FALSE)),"",VLOOKUP($B16&amp;":"&amp;U$3,'x - authors'!$B$3:$E$10000,4,FALSE))</f>
        <v>craig_gentry</v>
      </c>
      <c r="V16" s="80" t="str">
        <f>IF(ISNA(VLOOKUP($B16&amp;":"&amp;V$3,'x - authors'!$B$3:$E$10000,4,FALSE)),"",VLOOKUP($B16&amp;":"&amp;V$3,'x - authors'!$B$3:$E$10000,4,FALSE))</f>
        <v>shai_halevi</v>
      </c>
      <c r="W16" s="80" t="str">
        <f>IF(ISNA(VLOOKUP($B16&amp;":"&amp;W$3,'x - authors'!$B$3:$E$10000,4,FALSE)),"",VLOOKUP($B16&amp;":"&amp;W$3,'x - authors'!$B$3:$E$10000,4,FALSE))</f>
        <v/>
      </c>
      <c r="X16" s="80" t="str">
        <f>IF(ISNA(VLOOKUP($B16&amp;":"&amp;X$3,'x - authors'!$B$3:$E$10000,4,FALSE)),"",VLOOKUP($B16&amp;":"&amp;X$3,'x - authors'!$B$3:$E$10000,4,FALSE))</f>
        <v/>
      </c>
      <c r="Y16" s="80" t="str">
        <f>IF(ISNA(VLOOKUP($B16&amp;":"&amp;Y$3,'x - authors'!$B$3:$E$10000,4,FALSE)),"",VLOOKUP($B16&amp;":"&amp;Y$3,'x - authors'!$B$3:$E$10000,4,FALSE))</f>
        <v/>
      </c>
      <c r="Z16" s="80" t="str">
        <f>IF(ISNA(VLOOKUP($B16&amp;":"&amp;Z$3,'x - authors'!$B$3:$E$10000,4,FALSE)),"",VLOOKUP($B16&amp;":"&amp;Z$3,'x - authors'!$B$3:$E$10000,4,FALSE))</f>
        <v/>
      </c>
      <c r="AA16" s="80" t="str">
        <f>IF(ISNA(VLOOKUP($B16&amp;":"&amp;AA$3,'x - authors'!$B$3:$E$10000,4,FALSE)),"",VLOOKUP($B16&amp;":"&amp;AA$3,'x - authors'!$B$3:$E$10000,4,FALSE))</f>
        <v/>
      </c>
      <c r="AB16" s="80" t="str">
        <f>IF(ISNA(VLOOKUP($B16&amp;":"&amp;AB$3,'x - authors'!$B$3:$E$10000,4,FALSE)),"",VLOOKUP($B16&amp;":"&amp;AB$3,'x - authors'!$B$3:$E$10000,4,FALSE))</f>
        <v/>
      </c>
      <c r="AC16" s="80" t="str">
        <f>IF(ISNA(VLOOKUP($B16&amp;":"&amp;AC$3,'x - authors'!$B$3:$E$10000,4,FALSE)),"",VLOOKUP($B16&amp;":"&amp;AC$3,'x - authors'!$B$3:$E$10000,4,FALSE))</f>
        <v/>
      </c>
      <c r="AD16" s="80" t="str">
        <f>IF(ISNA(VLOOKUP($B16&amp;":"&amp;AD$3,'x - authors'!$B$3:$E$10000,4,FALSE)),"",VLOOKUP($B16&amp;":"&amp;AD$3,'x - authors'!$B$3:$E$10000,4,FALSE))</f>
        <v/>
      </c>
      <c r="AE16" s="80" t="str">
        <f>IF(ISNA(VLOOKUP($B16&amp;":"&amp;AE$3,'x - authors'!$B$3:$E$10000,4,FALSE)),"",VLOOKUP($B16&amp;":"&amp;AE$3,'x - authors'!$B$3:$E$10000,4,FALSE))</f>
        <v/>
      </c>
      <c r="AF16" s="80" t="str">
        <f>IF(ISNA(VLOOKUP($B16&amp;":"&amp;AF$3,'x - authors'!$B$3:$E$10000,4,FALSE)),"",VLOOKUP($B16&amp;":"&amp;AF$3,'x - authors'!$B$3:$E$10000,4,FALSE))</f>
        <v/>
      </c>
      <c r="AG16" s="80" t="str">
        <f>IF(ISNA(VLOOKUP($B16&amp;":"&amp;AG$3,'x - authors'!$B$3:$E$10000,4,FALSE)),"",VLOOKUP($B16&amp;":"&amp;AG$3,'x - authors'!$B$3:$E$10000,4,FALSE))</f>
        <v/>
      </c>
      <c r="AH16" s="80" t="str">
        <f>IF(ISNA(VLOOKUP($B16&amp;":"&amp;AH$3,'x - authors'!$B$3:$E$10000,4,FALSE)),"",VLOOKUP($B16&amp;":"&amp;AH$3,'x - authors'!$B$3:$E$10000,4,FALSE))</f>
        <v/>
      </c>
      <c r="AI16" s="80" t="str">
        <f>IF(ISNA(VLOOKUP($B16&amp;":"&amp;AI$3,'x - authors'!$B$3:$E$10000,4,FALSE)),"",VLOOKUP($B16&amp;":"&amp;AI$3,'x - authors'!$B$3:$E$10000,4,FALSE))</f>
        <v/>
      </c>
    </row>
    <row r="17" spans="2:35">
      <c r="B17" s="65" t="s">
        <v>5585</v>
      </c>
      <c r="C17" s="65" t="s">
        <v>129</v>
      </c>
      <c r="D17" s="65" t="s">
        <v>5586</v>
      </c>
      <c r="E17" s="41" t="s">
        <v>114</v>
      </c>
      <c r="F17" s="65"/>
      <c r="G17" s="65"/>
      <c r="H17" s="65" t="s">
        <v>5587</v>
      </c>
      <c r="I17" s="65"/>
      <c r="J17" s="65" t="s">
        <v>5589</v>
      </c>
      <c r="K17" s="65"/>
      <c r="L17" s="65" t="s">
        <v>5590</v>
      </c>
      <c r="M17" s="65"/>
      <c r="N17" s="65"/>
      <c r="O17" s="15" t="str">
        <f t="shared" si="0"/>
        <v>citation:doc-1121-01</v>
      </c>
      <c r="Q17" s="15" t="str">
        <f>VLOOKUP($O17,'x - paper citations'!$B$3:$E$2000,2,FALSE)</f>
        <v>https://scholar.google.co.uk/scholar?q="Identifying Social Communities in Complex Communications for Network Efficiency"&amp;btnG=&amp;hl=en&amp;as_sdt=0,5</v>
      </c>
      <c r="R17" s="15">
        <f>VLOOKUP($O17,'x - paper citations'!$B$3:$E$2000,3,FALSE)</f>
        <v>18</v>
      </c>
      <c r="S17" s="15" t="str">
        <f>VLOOKUP($O17,'x - paper citations'!$B$3:$E$2000,4,FALSE)</f>
        <v>09/12/2015</v>
      </c>
      <c r="U17" s="80" t="str">
        <f>IF(ISNA(VLOOKUP($B17&amp;":"&amp;U$3,'x - authors'!$B$3:$E$10000,4,FALSE)),"",VLOOKUP($B17&amp;":"&amp;U$3,'x - authors'!$B$3:$E$10000,4,FALSE))</f>
        <v>pan_hui</v>
      </c>
      <c r="V17" s="80" t="str">
        <f>IF(ISNA(VLOOKUP($B17&amp;":"&amp;V$3,'x - authors'!$B$3:$E$10000,4,FALSE)),"",VLOOKUP($B17&amp;":"&amp;V$3,'x - authors'!$B$3:$E$10000,4,FALSE))</f>
        <v>eiko_yoneki</v>
      </c>
      <c r="W17" s="80" t="str">
        <f>IF(ISNA(VLOOKUP($B17&amp;":"&amp;W$3,'x - authors'!$B$3:$E$10000,4,FALSE)),"",VLOOKUP($B17&amp;":"&amp;W$3,'x - authors'!$B$3:$E$10000,4,FALSE))</f>
        <v>jon_crowcroft</v>
      </c>
      <c r="X17" s="80" t="str">
        <f>IF(ISNA(VLOOKUP($B17&amp;":"&amp;X$3,'x - authors'!$B$3:$E$10000,4,FALSE)),"",VLOOKUP($B17&amp;":"&amp;X$3,'x - authors'!$B$3:$E$10000,4,FALSE))</f>
        <v/>
      </c>
      <c r="Y17" s="80" t="str">
        <f>IF(ISNA(VLOOKUP($B17&amp;":"&amp;Y$3,'x - authors'!$B$3:$E$10000,4,FALSE)),"",VLOOKUP($B17&amp;":"&amp;Y$3,'x - authors'!$B$3:$E$10000,4,FALSE))</f>
        <v/>
      </c>
      <c r="Z17" s="80" t="str">
        <f>IF(ISNA(VLOOKUP($B17&amp;":"&amp;Z$3,'x - authors'!$B$3:$E$10000,4,FALSE)),"",VLOOKUP($B17&amp;":"&amp;Z$3,'x - authors'!$B$3:$E$10000,4,FALSE))</f>
        <v/>
      </c>
      <c r="AA17" s="80" t="str">
        <f>IF(ISNA(VLOOKUP($B17&amp;":"&amp;AA$3,'x - authors'!$B$3:$E$10000,4,FALSE)),"",VLOOKUP($B17&amp;":"&amp;AA$3,'x - authors'!$B$3:$E$10000,4,FALSE))</f>
        <v/>
      </c>
      <c r="AB17" s="80" t="str">
        <f>IF(ISNA(VLOOKUP($B17&amp;":"&amp;AB$3,'x - authors'!$B$3:$E$10000,4,FALSE)),"",VLOOKUP($B17&amp;":"&amp;AB$3,'x - authors'!$B$3:$E$10000,4,FALSE))</f>
        <v/>
      </c>
      <c r="AC17" s="80" t="str">
        <f>IF(ISNA(VLOOKUP($B17&amp;":"&amp;AC$3,'x - authors'!$B$3:$E$10000,4,FALSE)),"",VLOOKUP($B17&amp;":"&amp;AC$3,'x - authors'!$B$3:$E$10000,4,FALSE))</f>
        <v/>
      </c>
      <c r="AD17" s="80" t="str">
        <f>IF(ISNA(VLOOKUP($B17&amp;":"&amp;AD$3,'x - authors'!$B$3:$E$10000,4,FALSE)),"",VLOOKUP($B17&amp;":"&amp;AD$3,'x - authors'!$B$3:$E$10000,4,FALSE))</f>
        <v/>
      </c>
      <c r="AE17" s="80" t="str">
        <f>IF(ISNA(VLOOKUP($B17&amp;":"&amp;AE$3,'x - authors'!$B$3:$E$10000,4,FALSE)),"",VLOOKUP($B17&amp;":"&amp;AE$3,'x - authors'!$B$3:$E$10000,4,FALSE))</f>
        <v/>
      </c>
      <c r="AF17" s="80" t="str">
        <f>IF(ISNA(VLOOKUP($B17&amp;":"&amp;AF$3,'x - authors'!$B$3:$E$10000,4,FALSE)),"",VLOOKUP($B17&amp;":"&amp;AF$3,'x - authors'!$B$3:$E$10000,4,FALSE))</f>
        <v/>
      </c>
      <c r="AG17" s="80" t="str">
        <f>IF(ISNA(VLOOKUP($B17&amp;":"&amp;AG$3,'x - authors'!$B$3:$E$10000,4,FALSE)),"",VLOOKUP($B17&amp;":"&amp;AG$3,'x - authors'!$B$3:$E$10000,4,FALSE))</f>
        <v/>
      </c>
      <c r="AH17" s="80" t="str">
        <f>IF(ISNA(VLOOKUP($B17&amp;":"&amp;AH$3,'x - authors'!$B$3:$E$10000,4,FALSE)),"",VLOOKUP($B17&amp;":"&amp;AH$3,'x - authors'!$B$3:$E$10000,4,FALSE))</f>
        <v/>
      </c>
      <c r="AI17" s="80" t="str">
        <f>IF(ISNA(VLOOKUP($B17&amp;":"&amp;AI$3,'x - authors'!$B$3:$E$10000,4,FALSE)),"",VLOOKUP($B17&amp;":"&amp;AI$3,'x - authors'!$B$3:$E$10000,4,FALSE))</f>
        <v/>
      </c>
    </row>
    <row r="18" spans="2:35">
      <c r="B18" s="65" t="s">
        <v>5591</v>
      </c>
      <c r="C18" s="65" t="s">
        <v>129</v>
      </c>
      <c r="D18" s="65" t="s">
        <v>5592</v>
      </c>
      <c r="E18" s="41" t="s">
        <v>114</v>
      </c>
      <c r="F18" s="65"/>
      <c r="G18" s="65"/>
      <c r="H18" s="65" t="s">
        <v>5593</v>
      </c>
      <c r="I18" s="65"/>
      <c r="J18" s="65" t="s">
        <v>5595</v>
      </c>
      <c r="K18" s="65"/>
      <c r="L18" s="65" t="s">
        <v>5596</v>
      </c>
      <c r="M18" s="65"/>
      <c r="N18" s="65"/>
      <c r="O18" s="15" t="str">
        <f t="shared" si="0"/>
        <v>citation:doc-1171-01</v>
      </c>
      <c r="Q18" s="15" t="str">
        <f>VLOOKUP($O18,'x - paper citations'!$B$3:$E$2000,2,FALSE)</f>
        <v>https://scholar.google.co.uk/scholar?q="FairCast: Fair Multi-Media Streaming in Ad Hoc Networks through Local Congestion Control"&amp;btnG=&amp;hl=en&amp;as_sdt=0,5</v>
      </c>
      <c r="R18" s="15">
        <f>VLOOKUP($O18,'x - paper citations'!$B$3:$E$2000,3,FALSE)</f>
        <v>15</v>
      </c>
      <c r="S18" s="15" t="str">
        <f>VLOOKUP($O18,'x - paper citations'!$B$3:$E$2000,4,FALSE)</f>
        <v>10/12/2015</v>
      </c>
      <c r="U18" s="80" t="str">
        <f>IF(ISNA(VLOOKUP($B18&amp;":"&amp;U$3,'x - authors'!$B$3:$E$10000,4,FALSE)),"",VLOOKUP($B18&amp;":"&amp;U$3,'x - authors'!$B$3:$E$10000,4,FALSE))</f>
        <v>gustavo_marfia</v>
      </c>
      <c r="V18" s="80" t="str">
        <f>IF(ISNA(VLOOKUP($B18&amp;":"&amp;V$3,'x - authors'!$B$3:$E$10000,4,FALSE)),"",VLOOKUP($B18&amp;":"&amp;V$3,'x - authors'!$B$3:$E$10000,4,FALSE))</f>
        <v>paolo_lutterotti</v>
      </c>
      <c r="W18" s="80" t="str">
        <f>IF(ISNA(VLOOKUP($B18&amp;":"&amp;W$3,'x - authors'!$B$3:$E$10000,4,FALSE)),"",VLOOKUP($B18&amp;":"&amp;W$3,'x - authors'!$B$3:$E$10000,4,FALSE))</f>
        <v>stephan_eidenbenz</v>
      </c>
      <c r="X18" s="80" t="str">
        <f>IF(ISNA(VLOOKUP($B18&amp;":"&amp;X$3,'x - authors'!$B$3:$E$10000,4,FALSE)),"",VLOOKUP($B18&amp;":"&amp;X$3,'x - authors'!$B$3:$E$10000,4,FALSE))</f>
        <v>giovanni_pau</v>
      </c>
      <c r="Y18" s="80" t="str">
        <f>IF(ISNA(VLOOKUP($B18&amp;":"&amp;Y$3,'x - authors'!$B$3:$E$10000,4,FALSE)),"",VLOOKUP($B18&amp;":"&amp;Y$3,'x - authors'!$B$3:$E$10000,4,FALSE))</f>
        <v>mario_gerla</v>
      </c>
      <c r="Z18" s="80" t="str">
        <f>IF(ISNA(VLOOKUP($B18&amp;":"&amp;Z$3,'x - authors'!$B$3:$E$10000,4,FALSE)),"",VLOOKUP($B18&amp;":"&amp;Z$3,'x - authors'!$B$3:$E$10000,4,FALSE))</f>
        <v/>
      </c>
      <c r="AA18" s="80" t="str">
        <f>IF(ISNA(VLOOKUP($B18&amp;":"&amp;AA$3,'x - authors'!$B$3:$E$10000,4,FALSE)),"",VLOOKUP($B18&amp;":"&amp;AA$3,'x - authors'!$B$3:$E$10000,4,FALSE))</f>
        <v/>
      </c>
      <c r="AB18" s="80" t="str">
        <f>IF(ISNA(VLOOKUP($B18&amp;":"&amp;AB$3,'x - authors'!$B$3:$E$10000,4,FALSE)),"",VLOOKUP($B18&amp;":"&amp;AB$3,'x - authors'!$B$3:$E$10000,4,FALSE))</f>
        <v/>
      </c>
      <c r="AC18" s="80" t="str">
        <f>IF(ISNA(VLOOKUP($B18&amp;":"&amp;AC$3,'x - authors'!$B$3:$E$10000,4,FALSE)),"",VLOOKUP($B18&amp;":"&amp;AC$3,'x - authors'!$B$3:$E$10000,4,FALSE))</f>
        <v/>
      </c>
      <c r="AD18" s="80" t="str">
        <f>IF(ISNA(VLOOKUP($B18&amp;":"&amp;AD$3,'x - authors'!$B$3:$E$10000,4,FALSE)),"",VLOOKUP($B18&amp;":"&amp;AD$3,'x - authors'!$B$3:$E$10000,4,FALSE))</f>
        <v/>
      </c>
      <c r="AE18" s="80" t="str">
        <f>IF(ISNA(VLOOKUP($B18&amp;":"&amp;AE$3,'x - authors'!$B$3:$E$10000,4,FALSE)),"",VLOOKUP($B18&amp;":"&amp;AE$3,'x - authors'!$B$3:$E$10000,4,FALSE))</f>
        <v/>
      </c>
      <c r="AF18" s="80" t="str">
        <f>IF(ISNA(VLOOKUP($B18&amp;":"&amp;AF$3,'x - authors'!$B$3:$E$10000,4,FALSE)),"",VLOOKUP($B18&amp;":"&amp;AF$3,'x - authors'!$B$3:$E$10000,4,FALSE))</f>
        <v/>
      </c>
      <c r="AG18" s="80" t="str">
        <f>IF(ISNA(VLOOKUP($B18&amp;":"&amp;AG$3,'x - authors'!$B$3:$E$10000,4,FALSE)),"",VLOOKUP($B18&amp;":"&amp;AG$3,'x - authors'!$B$3:$E$10000,4,FALSE))</f>
        <v/>
      </c>
      <c r="AH18" s="80" t="str">
        <f>IF(ISNA(VLOOKUP($B18&amp;":"&amp;AH$3,'x - authors'!$B$3:$E$10000,4,FALSE)),"",VLOOKUP($B18&amp;":"&amp;AH$3,'x - authors'!$B$3:$E$10000,4,FALSE))</f>
        <v/>
      </c>
      <c r="AI18" s="80" t="str">
        <f>IF(ISNA(VLOOKUP($B18&amp;":"&amp;AI$3,'x - authors'!$B$3:$E$10000,4,FALSE)),"",VLOOKUP($B18&amp;":"&amp;AI$3,'x - authors'!$B$3:$E$10000,4,FALSE))</f>
        <v/>
      </c>
    </row>
    <row r="19" spans="2:35">
      <c r="B19" s="65" t="s">
        <v>5597</v>
      </c>
      <c r="C19" s="65" t="s">
        <v>129</v>
      </c>
      <c r="D19" s="65" t="s">
        <v>5598</v>
      </c>
      <c r="E19" s="41" t="s">
        <v>959</v>
      </c>
      <c r="F19" s="65"/>
      <c r="G19" s="65"/>
      <c r="H19" s="65" t="s">
        <v>5599</v>
      </c>
      <c r="I19" s="65"/>
      <c r="J19" s="65" t="s">
        <v>5602</v>
      </c>
      <c r="K19" s="65"/>
      <c r="L19" s="65" t="s">
        <v>5603</v>
      </c>
      <c r="M19" s="65"/>
      <c r="N19" s="65"/>
      <c r="O19" s="15" t="str">
        <f t="shared" si="0"/>
        <v>citation:doc-1183-01</v>
      </c>
      <c r="Q19" s="15" t="str">
        <f>VLOOKUP($O19,'x - paper citations'!$B$3:$E$2000,2,FALSE)</f>
        <v>https://scholar.google.co.uk/scholar?q="Adaptive Random Re-Routing for Differentiated QoS in Sensor Networks"&amp;btnG=&amp;hl=en&amp;as_sdt=0,5</v>
      </c>
      <c r="R19" s="15">
        <f>VLOOKUP($O19,'x - paper citations'!$B$3:$E$2000,3,FALSE)</f>
        <v>26</v>
      </c>
      <c r="S19" s="15" t="str">
        <f>VLOOKUP($O19,'x - paper citations'!$B$3:$E$2000,4,FALSE)</f>
        <v>10/12/2015</v>
      </c>
      <c r="U19" s="80" t="str">
        <f>IF(ISNA(VLOOKUP($B19&amp;":"&amp;U$3,'x - authors'!$B$3:$E$10000,4,FALSE)),"",VLOOKUP($B19&amp;":"&amp;U$3,'x - authors'!$B$3:$E$10000,4,FALSE))</f>
        <v>erol_gelenbe</v>
      </c>
      <c r="V19" s="80" t="str">
        <f>IF(ISNA(VLOOKUP($B19&amp;":"&amp;V$3,'x - authors'!$B$3:$E$10000,4,FALSE)),"",VLOOKUP($B19&amp;":"&amp;V$3,'x - authors'!$B$3:$E$10000,4,FALSE))</f>
        <v>edith_ngai</v>
      </c>
      <c r="W19" s="80" t="str">
        <f>IF(ISNA(VLOOKUP($B19&amp;":"&amp;W$3,'x - authors'!$B$3:$E$10000,4,FALSE)),"",VLOOKUP($B19&amp;":"&amp;W$3,'x - authors'!$B$3:$E$10000,4,FALSE))</f>
        <v/>
      </c>
      <c r="X19" s="80" t="str">
        <f>IF(ISNA(VLOOKUP($B19&amp;":"&amp;X$3,'x - authors'!$B$3:$E$10000,4,FALSE)),"",VLOOKUP($B19&amp;":"&amp;X$3,'x - authors'!$B$3:$E$10000,4,FALSE))</f>
        <v/>
      </c>
      <c r="Y19" s="80" t="str">
        <f>IF(ISNA(VLOOKUP($B19&amp;":"&amp;Y$3,'x - authors'!$B$3:$E$10000,4,FALSE)),"",VLOOKUP($B19&amp;":"&amp;Y$3,'x - authors'!$B$3:$E$10000,4,FALSE))</f>
        <v/>
      </c>
      <c r="Z19" s="80" t="str">
        <f>IF(ISNA(VLOOKUP($B19&amp;":"&amp;Z$3,'x - authors'!$B$3:$E$10000,4,FALSE)),"",VLOOKUP($B19&amp;":"&amp;Z$3,'x - authors'!$B$3:$E$10000,4,FALSE))</f>
        <v/>
      </c>
      <c r="AA19" s="80" t="str">
        <f>IF(ISNA(VLOOKUP($B19&amp;":"&amp;AA$3,'x - authors'!$B$3:$E$10000,4,FALSE)),"",VLOOKUP($B19&amp;":"&amp;AA$3,'x - authors'!$B$3:$E$10000,4,FALSE))</f>
        <v/>
      </c>
      <c r="AB19" s="80" t="str">
        <f>IF(ISNA(VLOOKUP($B19&amp;":"&amp;AB$3,'x - authors'!$B$3:$E$10000,4,FALSE)),"",VLOOKUP($B19&amp;":"&amp;AB$3,'x - authors'!$B$3:$E$10000,4,FALSE))</f>
        <v/>
      </c>
      <c r="AC19" s="80" t="str">
        <f>IF(ISNA(VLOOKUP($B19&amp;":"&amp;AC$3,'x - authors'!$B$3:$E$10000,4,FALSE)),"",VLOOKUP($B19&amp;":"&amp;AC$3,'x - authors'!$B$3:$E$10000,4,FALSE))</f>
        <v/>
      </c>
      <c r="AD19" s="80" t="str">
        <f>IF(ISNA(VLOOKUP($B19&amp;":"&amp;AD$3,'x - authors'!$B$3:$E$10000,4,FALSE)),"",VLOOKUP($B19&amp;":"&amp;AD$3,'x - authors'!$B$3:$E$10000,4,FALSE))</f>
        <v/>
      </c>
      <c r="AE19" s="80" t="str">
        <f>IF(ISNA(VLOOKUP($B19&amp;":"&amp;AE$3,'x - authors'!$B$3:$E$10000,4,FALSE)),"",VLOOKUP($B19&amp;":"&amp;AE$3,'x - authors'!$B$3:$E$10000,4,FALSE))</f>
        <v/>
      </c>
      <c r="AF19" s="80" t="str">
        <f>IF(ISNA(VLOOKUP($B19&amp;":"&amp;AF$3,'x - authors'!$B$3:$E$10000,4,FALSE)),"",VLOOKUP($B19&amp;":"&amp;AF$3,'x - authors'!$B$3:$E$10000,4,FALSE))</f>
        <v/>
      </c>
      <c r="AG19" s="80" t="str">
        <f>IF(ISNA(VLOOKUP($B19&amp;":"&amp;AG$3,'x - authors'!$B$3:$E$10000,4,FALSE)),"",VLOOKUP($B19&amp;":"&amp;AG$3,'x - authors'!$B$3:$E$10000,4,FALSE))</f>
        <v/>
      </c>
      <c r="AH19" s="80" t="str">
        <f>IF(ISNA(VLOOKUP($B19&amp;":"&amp;AH$3,'x - authors'!$B$3:$E$10000,4,FALSE)),"",VLOOKUP($B19&amp;":"&amp;AH$3,'x - authors'!$B$3:$E$10000,4,FALSE))</f>
        <v/>
      </c>
      <c r="AI19" s="80" t="str">
        <f>IF(ISNA(VLOOKUP($B19&amp;":"&amp;AI$3,'x - authors'!$B$3:$E$10000,4,FALSE)),"",VLOOKUP($B19&amp;":"&amp;AI$3,'x - authors'!$B$3:$E$10000,4,FALSE))</f>
        <v/>
      </c>
    </row>
    <row r="20" spans="2:35">
      <c r="B20" s="65" t="s">
        <v>5604</v>
      </c>
      <c r="C20" s="65" t="s">
        <v>129</v>
      </c>
      <c r="D20" s="65" t="s">
        <v>5605</v>
      </c>
      <c r="E20" s="41" t="s">
        <v>114</v>
      </c>
      <c r="F20" s="65"/>
      <c r="G20" s="65"/>
      <c r="H20" s="65" t="s">
        <v>5606</v>
      </c>
      <c r="I20" s="65"/>
      <c r="J20" s="65" t="s">
        <v>5608</v>
      </c>
      <c r="K20" s="65"/>
      <c r="L20" s="65" t="s">
        <v>5609</v>
      </c>
      <c r="M20" s="65"/>
      <c r="N20" s="65"/>
      <c r="O20" s="15" t="str">
        <f t="shared" si="0"/>
        <v>citation:doc-1195a-01</v>
      </c>
      <c r="Q20" s="15" t="str">
        <f>VLOOKUP($O20,'x - paper citations'!$B$3:$E$2000,2,FALSE)</f>
        <v>https://scholar.google.co.uk/scholar?q="On Low Dimensional Random Projections and Similarity Search"&amp;btnG=&amp;hl=en&amp;as_sdt=0,5</v>
      </c>
      <c r="R20" s="15">
        <f>VLOOKUP($O20,'x - paper citations'!$B$3:$E$2000,3,FALSE)</f>
        <v>2</v>
      </c>
      <c r="S20" s="15" t="str">
        <f>VLOOKUP($O20,'x - paper citations'!$B$3:$E$2000,4,FALSE)</f>
        <v>10/12/2015</v>
      </c>
      <c r="U20" s="80" t="str">
        <f>IF(ISNA(VLOOKUP($B20&amp;":"&amp;U$3,'x - authors'!$B$3:$E$10000,4,FALSE)),"",VLOOKUP($B20&amp;":"&amp;U$3,'x - authors'!$B$3:$E$10000,4,FALSE))</f>
        <v>yu-en_lu</v>
      </c>
      <c r="V20" s="80" t="str">
        <f>IF(ISNA(VLOOKUP($B20&amp;":"&amp;V$3,'x - authors'!$B$3:$E$10000,4,FALSE)),"",VLOOKUP($B20&amp;":"&amp;V$3,'x - authors'!$B$3:$E$10000,4,FALSE))</f>
        <v>pietro_lio</v>
      </c>
      <c r="W20" s="80" t="str">
        <f>IF(ISNA(VLOOKUP($B20&amp;":"&amp;W$3,'x - authors'!$B$3:$E$10000,4,FALSE)),"",VLOOKUP($B20&amp;":"&amp;W$3,'x - authors'!$B$3:$E$10000,4,FALSE))</f>
        <v>steven_hand</v>
      </c>
      <c r="X20" s="80" t="str">
        <f>IF(ISNA(VLOOKUP($B20&amp;":"&amp;X$3,'x - authors'!$B$3:$E$10000,4,FALSE)),"",VLOOKUP($B20&amp;":"&amp;X$3,'x - authors'!$B$3:$E$10000,4,FALSE))</f>
        <v/>
      </c>
      <c r="Y20" s="80" t="str">
        <f>IF(ISNA(VLOOKUP($B20&amp;":"&amp;Y$3,'x - authors'!$B$3:$E$10000,4,FALSE)),"",VLOOKUP($B20&amp;":"&amp;Y$3,'x - authors'!$B$3:$E$10000,4,FALSE))</f>
        <v/>
      </c>
      <c r="Z20" s="80" t="str">
        <f>IF(ISNA(VLOOKUP($B20&amp;":"&amp;Z$3,'x - authors'!$B$3:$E$10000,4,FALSE)),"",VLOOKUP($B20&amp;":"&amp;Z$3,'x - authors'!$B$3:$E$10000,4,FALSE))</f>
        <v/>
      </c>
      <c r="AA20" s="80" t="str">
        <f>IF(ISNA(VLOOKUP($B20&amp;":"&amp;AA$3,'x - authors'!$B$3:$E$10000,4,FALSE)),"",VLOOKUP($B20&amp;":"&amp;AA$3,'x - authors'!$B$3:$E$10000,4,FALSE))</f>
        <v/>
      </c>
      <c r="AB20" s="80" t="str">
        <f>IF(ISNA(VLOOKUP($B20&amp;":"&amp;AB$3,'x - authors'!$B$3:$E$10000,4,FALSE)),"",VLOOKUP($B20&amp;":"&amp;AB$3,'x - authors'!$B$3:$E$10000,4,FALSE))</f>
        <v/>
      </c>
      <c r="AC20" s="80" t="str">
        <f>IF(ISNA(VLOOKUP($B20&amp;":"&amp;AC$3,'x - authors'!$B$3:$E$10000,4,FALSE)),"",VLOOKUP($B20&amp;":"&amp;AC$3,'x - authors'!$B$3:$E$10000,4,FALSE))</f>
        <v/>
      </c>
      <c r="AD20" s="80" t="str">
        <f>IF(ISNA(VLOOKUP($B20&amp;":"&amp;AD$3,'x - authors'!$B$3:$E$10000,4,FALSE)),"",VLOOKUP($B20&amp;":"&amp;AD$3,'x - authors'!$B$3:$E$10000,4,FALSE))</f>
        <v/>
      </c>
      <c r="AE20" s="80" t="str">
        <f>IF(ISNA(VLOOKUP($B20&amp;":"&amp;AE$3,'x - authors'!$B$3:$E$10000,4,FALSE)),"",VLOOKUP($B20&amp;":"&amp;AE$3,'x - authors'!$B$3:$E$10000,4,FALSE))</f>
        <v/>
      </c>
      <c r="AF20" s="80" t="str">
        <f>IF(ISNA(VLOOKUP($B20&amp;":"&amp;AF$3,'x - authors'!$B$3:$E$10000,4,FALSE)),"",VLOOKUP($B20&amp;":"&amp;AF$3,'x - authors'!$B$3:$E$10000,4,FALSE))</f>
        <v/>
      </c>
      <c r="AG20" s="80" t="str">
        <f>IF(ISNA(VLOOKUP($B20&amp;":"&amp;AG$3,'x - authors'!$B$3:$E$10000,4,FALSE)),"",VLOOKUP($B20&amp;":"&amp;AG$3,'x - authors'!$B$3:$E$10000,4,FALSE))</f>
        <v/>
      </c>
      <c r="AH20" s="80" t="str">
        <f>IF(ISNA(VLOOKUP($B20&amp;":"&amp;AH$3,'x - authors'!$B$3:$E$10000,4,FALSE)),"",VLOOKUP($B20&amp;":"&amp;AH$3,'x - authors'!$B$3:$E$10000,4,FALSE))</f>
        <v/>
      </c>
      <c r="AI20" s="80" t="str">
        <f>IF(ISNA(VLOOKUP($B20&amp;":"&amp;AI$3,'x - authors'!$B$3:$E$10000,4,FALSE)),"",VLOOKUP($B20&amp;":"&amp;AI$3,'x - authors'!$B$3:$E$10000,4,FALSE))</f>
        <v/>
      </c>
    </row>
    <row r="21" spans="2:35">
      <c r="B21" s="65" t="s">
        <v>5610</v>
      </c>
      <c r="C21" s="65" t="s">
        <v>129</v>
      </c>
      <c r="D21" s="65" t="s">
        <v>5611</v>
      </c>
      <c r="E21" s="41" t="s">
        <v>956</v>
      </c>
      <c r="F21" s="65"/>
      <c r="G21" s="65"/>
      <c r="H21" s="65" t="s">
        <v>5612</v>
      </c>
      <c r="I21" s="65"/>
      <c r="J21" s="65" t="s">
        <v>5615</v>
      </c>
      <c r="K21" s="65"/>
      <c r="L21" s="65" t="s">
        <v>5616</v>
      </c>
      <c r="M21" s="65"/>
      <c r="N21" s="65"/>
      <c r="O21" s="15" t="str">
        <f t="shared" si="0"/>
        <v>citation:doc-1219a-01</v>
      </c>
      <c r="Q21" s="15" t="str">
        <f>VLOOKUP($O21,'x - paper citations'!$B$3:$E$2000,2,FALSE)</f>
        <v>https://scholar.google.co.uk/scholar?q="Utility-Based Adaptation in Mission-oriented Wireless Sensor Networks"&amp;btnG=&amp;hl=en&amp;as_sdt=0,5</v>
      </c>
      <c r="R21" s="15">
        <f>VLOOKUP($O21,'x - paper citations'!$B$3:$E$2000,3,FALSE)</f>
        <v>52</v>
      </c>
      <c r="S21" s="15" t="str">
        <f>VLOOKUP($O21,'x - paper citations'!$B$3:$E$2000,4,FALSE)</f>
        <v>10/12/2015</v>
      </c>
      <c r="U21" s="80" t="str">
        <f>IF(ISNA(VLOOKUP($B21&amp;":"&amp;U$3,'x - authors'!$B$3:$E$10000,4,FALSE)),"",VLOOKUP($B21&amp;":"&amp;U$3,'x - authors'!$B$3:$E$10000,4,FALSE))</f>
        <v>sharanya_eswaran</v>
      </c>
      <c r="V21" s="80" t="str">
        <f>IF(ISNA(VLOOKUP($B21&amp;":"&amp;V$3,'x - authors'!$B$3:$E$10000,4,FALSE)),"",VLOOKUP($B21&amp;":"&amp;V$3,'x - authors'!$B$3:$E$10000,4,FALSE))</f>
        <v>archan_misra</v>
      </c>
      <c r="W21" s="80" t="str">
        <f>IF(ISNA(VLOOKUP($B21&amp;":"&amp;W$3,'x - authors'!$B$3:$E$10000,4,FALSE)),"",VLOOKUP($B21&amp;":"&amp;W$3,'x - authors'!$B$3:$E$10000,4,FALSE))</f>
        <v>thomas_laporta</v>
      </c>
      <c r="X21" s="80" t="str">
        <f>IF(ISNA(VLOOKUP($B21&amp;":"&amp;X$3,'x - authors'!$B$3:$E$10000,4,FALSE)),"",VLOOKUP($B21&amp;":"&amp;X$3,'x - authors'!$B$3:$E$10000,4,FALSE))</f>
        <v/>
      </c>
      <c r="Y21" s="80" t="str">
        <f>IF(ISNA(VLOOKUP($B21&amp;":"&amp;Y$3,'x - authors'!$B$3:$E$10000,4,FALSE)),"",VLOOKUP($B21&amp;":"&amp;Y$3,'x - authors'!$B$3:$E$10000,4,FALSE))</f>
        <v/>
      </c>
      <c r="Z21" s="80" t="str">
        <f>IF(ISNA(VLOOKUP($B21&amp;":"&amp;Z$3,'x - authors'!$B$3:$E$10000,4,FALSE)),"",VLOOKUP($B21&amp;":"&amp;Z$3,'x - authors'!$B$3:$E$10000,4,FALSE))</f>
        <v/>
      </c>
      <c r="AA21" s="80" t="str">
        <f>IF(ISNA(VLOOKUP($B21&amp;":"&amp;AA$3,'x - authors'!$B$3:$E$10000,4,FALSE)),"",VLOOKUP($B21&amp;":"&amp;AA$3,'x - authors'!$B$3:$E$10000,4,FALSE))</f>
        <v/>
      </c>
      <c r="AB21" s="80" t="str">
        <f>IF(ISNA(VLOOKUP($B21&amp;":"&amp;AB$3,'x - authors'!$B$3:$E$10000,4,FALSE)),"",VLOOKUP($B21&amp;":"&amp;AB$3,'x - authors'!$B$3:$E$10000,4,FALSE))</f>
        <v/>
      </c>
      <c r="AC21" s="80" t="str">
        <f>IF(ISNA(VLOOKUP($B21&amp;":"&amp;AC$3,'x - authors'!$B$3:$E$10000,4,FALSE)),"",VLOOKUP($B21&amp;":"&amp;AC$3,'x - authors'!$B$3:$E$10000,4,FALSE))</f>
        <v/>
      </c>
      <c r="AD21" s="80" t="str">
        <f>IF(ISNA(VLOOKUP($B21&amp;":"&amp;AD$3,'x - authors'!$B$3:$E$10000,4,FALSE)),"",VLOOKUP($B21&amp;":"&amp;AD$3,'x - authors'!$B$3:$E$10000,4,FALSE))</f>
        <v/>
      </c>
      <c r="AE21" s="80" t="str">
        <f>IF(ISNA(VLOOKUP($B21&amp;":"&amp;AE$3,'x - authors'!$B$3:$E$10000,4,FALSE)),"",VLOOKUP($B21&amp;":"&amp;AE$3,'x - authors'!$B$3:$E$10000,4,FALSE))</f>
        <v/>
      </c>
      <c r="AF21" s="80" t="str">
        <f>IF(ISNA(VLOOKUP($B21&amp;":"&amp;AF$3,'x - authors'!$B$3:$E$10000,4,FALSE)),"",VLOOKUP($B21&amp;":"&amp;AF$3,'x - authors'!$B$3:$E$10000,4,FALSE))</f>
        <v/>
      </c>
      <c r="AG21" s="80" t="str">
        <f>IF(ISNA(VLOOKUP($B21&amp;":"&amp;AG$3,'x - authors'!$B$3:$E$10000,4,FALSE)),"",VLOOKUP($B21&amp;":"&amp;AG$3,'x - authors'!$B$3:$E$10000,4,FALSE))</f>
        <v/>
      </c>
      <c r="AH21" s="80" t="str">
        <f>IF(ISNA(VLOOKUP($B21&amp;":"&amp;AH$3,'x - authors'!$B$3:$E$10000,4,FALSE)),"",VLOOKUP($B21&amp;":"&amp;AH$3,'x - authors'!$B$3:$E$10000,4,FALSE))</f>
        <v/>
      </c>
      <c r="AI21" s="80" t="str">
        <f>IF(ISNA(VLOOKUP($B21&amp;":"&amp;AI$3,'x - authors'!$B$3:$E$10000,4,FALSE)),"",VLOOKUP($B21&amp;":"&amp;AI$3,'x - authors'!$B$3:$E$10000,4,FALSE))</f>
        <v/>
      </c>
    </row>
    <row r="22" spans="2:35">
      <c r="B22" s="65" t="s">
        <v>5617</v>
      </c>
      <c r="C22" s="65" t="s">
        <v>129</v>
      </c>
      <c r="D22" s="65" t="s">
        <v>5618</v>
      </c>
      <c r="E22" s="83" t="s">
        <v>999</v>
      </c>
      <c r="F22" s="65" t="s">
        <v>5453</v>
      </c>
      <c r="G22" s="65"/>
      <c r="H22" s="65" t="s">
        <v>5619</v>
      </c>
      <c r="I22" s="65"/>
      <c r="J22" s="65" t="s">
        <v>5622</v>
      </c>
      <c r="K22" s="65"/>
      <c r="L22" s="65" t="s">
        <v>5623</v>
      </c>
      <c r="M22" s="65"/>
      <c r="N22" s="65"/>
      <c r="O22" s="15" t="str">
        <f t="shared" si="0"/>
        <v>citation:doc-1238-01</v>
      </c>
      <c r="Q22" s="15" t="str">
        <f>VLOOKUP($O22,'x - paper citations'!$B$3:$E$2000,2,FALSE)</f>
        <v>https://scholar.google.co.uk/scholar?q="Aggregate Message Authentication Codes"&amp;btnG=&amp;hl=en&amp;as_sdt=0,5</v>
      </c>
      <c r="R22" s="15">
        <f>VLOOKUP($O22,'x - paper citations'!$B$3:$E$2000,3,FALSE)</f>
        <v>76</v>
      </c>
      <c r="S22" s="15" t="str">
        <f>VLOOKUP($O22,'x - paper citations'!$B$3:$E$2000,4,FALSE)</f>
        <v>10/12/2015</v>
      </c>
      <c r="U22" s="80" t="str">
        <f>IF(ISNA(VLOOKUP($B22&amp;":"&amp;U$3,'x - authors'!$B$3:$E$10000,4,FALSE)),"",VLOOKUP($B22&amp;":"&amp;U$3,'x - authors'!$B$3:$E$10000,4,FALSE))</f>
        <v>jon_katz</v>
      </c>
      <c r="V22" s="80" t="str">
        <f>IF(ISNA(VLOOKUP($B22&amp;":"&amp;V$3,'x - authors'!$B$3:$E$10000,4,FALSE)),"",VLOOKUP($B22&amp;":"&amp;V$3,'x - authors'!$B$3:$E$10000,4,FALSE))</f>
        <v>yehuda_lindell</v>
      </c>
      <c r="W22" s="80" t="str">
        <f>IF(ISNA(VLOOKUP($B22&amp;":"&amp;W$3,'x - authors'!$B$3:$E$10000,4,FALSE)),"",VLOOKUP($B22&amp;":"&amp;W$3,'x - authors'!$B$3:$E$10000,4,FALSE))</f>
        <v/>
      </c>
      <c r="X22" s="80" t="str">
        <f>IF(ISNA(VLOOKUP($B22&amp;":"&amp;X$3,'x - authors'!$B$3:$E$10000,4,FALSE)),"",VLOOKUP($B22&amp;":"&amp;X$3,'x - authors'!$B$3:$E$10000,4,FALSE))</f>
        <v/>
      </c>
      <c r="Y22" s="80" t="str">
        <f>IF(ISNA(VLOOKUP($B22&amp;":"&amp;Y$3,'x - authors'!$B$3:$E$10000,4,FALSE)),"",VLOOKUP($B22&amp;":"&amp;Y$3,'x - authors'!$B$3:$E$10000,4,FALSE))</f>
        <v/>
      </c>
      <c r="Z22" s="80" t="str">
        <f>IF(ISNA(VLOOKUP($B22&amp;":"&amp;Z$3,'x - authors'!$B$3:$E$10000,4,FALSE)),"",VLOOKUP($B22&amp;":"&amp;Z$3,'x - authors'!$B$3:$E$10000,4,FALSE))</f>
        <v/>
      </c>
      <c r="AA22" s="80" t="str">
        <f>IF(ISNA(VLOOKUP($B22&amp;":"&amp;AA$3,'x - authors'!$B$3:$E$10000,4,FALSE)),"",VLOOKUP($B22&amp;":"&amp;AA$3,'x - authors'!$B$3:$E$10000,4,FALSE))</f>
        <v/>
      </c>
      <c r="AB22" s="80" t="str">
        <f>IF(ISNA(VLOOKUP($B22&amp;":"&amp;AB$3,'x - authors'!$B$3:$E$10000,4,FALSE)),"",VLOOKUP($B22&amp;":"&amp;AB$3,'x - authors'!$B$3:$E$10000,4,FALSE))</f>
        <v/>
      </c>
      <c r="AC22" s="80" t="str">
        <f>IF(ISNA(VLOOKUP($B22&amp;":"&amp;AC$3,'x - authors'!$B$3:$E$10000,4,FALSE)),"",VLOOKUP($B22&amp;":"&amp;AC$3,'x - authors'!$B$3:$E$10000,4,FALSE))</f>
        <v/>
      </c>
      <c r="AD22" s="80" t="str">
        <f>IF(ISNA(VLOOKUP($B22&amp;":"&amp;AD$3,'x - authors'!$B$3:$E$10000,4,FALSE)),"",VLOOKUP($B22&amp;":"&amp;AD$3,'x - authors'!$B$3:$E$10000,4,FALSE))</f>
        <v/>
      </c>
      <c r="AE22" s="80" t="str">
        <f>IF(ISNA(VLOOKUP($B22&amp;":"&amp;AE$3,'x - authors'!$B$3:$E$10000,4,FALSE)),"",VLOOKUP($B22&amp;":"&amp;AE$3,'x - authors'!$B$3:$E$10000,4,FALSE))</f>
        <v/>
      </c>
      <c r="AF22" s="80" t="str">
        <f>IF(ISNA(VLOOKUP($B22&amp;":"&amp;AF$3,'x - authors'!$B$3:$E$10000,4,FALSE)),"",VLOOKUP($B22&amp;":"&amp;AF$3,'x - authors'!$B$3:$E$10000,4,FALSE))</f>
        <v/>
      </c>
      <c r="AG22" s="80" t="str">
        <f>IF(ISNA(VLOOKUP($B22&amp;":"&amp;AG$3,'x - authors'!$B$3:$E$10000,4,FALSE)),"",VLOOKUP($B22&amp;":"&amp;AG$3,'x - authors'!$B$3:$E$10000,4,FALSE))</f>
        <v/>
      </c>
      <c r="AH22" s="80" t="str">
        <f>IF(ISNA(VLOOKUP($B22&amp;":"&amp;AH$3,'x - authors'!$B$3:$E$10000,4,FALSE)),"",VLOOKUP($B22&amp;":"&amp;AH$3,'x - authors'!$B$3:$E$10000,4,FALSE))</f>
        <v/>
      </c>
      <c r="AI22" s="80" t="str">
        <f>IF(ISNA(VLOOKUP($B22&amp;":"&amp;AI$3,'x - authors'!$B$3:$E$10000,4,FALSE)),"",VLOOKUP($B22&amp;":"&amp;AI$3,'x - authors'!$B$3:$E$10000,4,FALSE))</f>
        <v/>
      </c>
    </row>
    <row r="23" spans="2:35">
      <c r="B23" s="65" t="s">
        <v>5624</v>
      </c>
      <c r="C23" s="65" t="s">
        <v>129</v>
      </c>
      <c r="D23" s="65" t="s">
        <v>5625</v>
      </c>
      <c r="E23" s="41" t="s">
        <v>953</v>
      </c>
      <c r="F23" s="65"/>
      <c r="G23" s="65"/>
      <c r="H23" s="65" t="s">
        <v>5626</v>
      </c>
      <c r="I23" s="65"/>
      <c r="J23" s="65" t="s">
        <v>5629</v>
      </c>
      <c r="K23" s="65"/>
      <c r="L23" s="65" t="s">
        <v>5630</v>
      </c>
      <c r="M23" s="65"/>
      <c r="N23" s="65"/>
      <c r="O23" s="15" t="str">
        <f t="shared" si="0"/>
        <v>citation:doc-1256-01</v>
      </c>
      <c r="Q23" s="15" t="str">
        <f>VLOOKUP($O23,'x - paper citations'!$B$3:$E$2000,2,FALSE)</f>
        <v>https://scholar.google.co.uk/scholar?q="A New Privacy Enhanced Matchmaking Protocol"&amp;btnG=&amp;hl=en&amp;as_sdt=0,5</v>
      </c>
      <c r="R23" s="15">
        <f>VLOOKUP($O23,'x - paper citations'!$B$3:$E$2000,3,FALSE)</f>
        <v>18</v>
      </c>
      <c r="S23" s="15" t="str">
        <f>VLOOKUP($O23,'x - paper citations'!$B$3:$E$2000,4,FALSE)</f>
        <v>09/01/2016</v>
      </c>
      <c r="U23" s="80" t="str">
        <f>IF(ISNA(VLOOKUP($B23&amp;":"&amp;U$3,'x - authors'!$B$3:$E$10000,4,FALSE)),"",VLOOKUP($B23&amp;":"&amp;U$3,'x - authors'!$B$3:$E$10000,4,FALSE))</f>
        <v>ji_sun_shin</v>
      </c>
      <c r="V23" s="80" t="str">
        <f>IF(ISNA(VLOOKUP($B23&amp;":"&amp;V$3,'x - authors'!$B$3:$E$10000,4,FALSE)),"",VLOOKUP($B23&amp;":"&amp;V$3,'x - authors'!$B$3:$E$10000,4,FALSE))</f>
        <v>virgil_gligor</v>
      </c>
      <c r="W23" s="80" t="str">
        <f>IF(ISNA(VLOOKUP($B23&amp;":"&amp;W$3,'x - authors'!$B$3:$E$10000,4,FALSE)),"",VLOOKUP($B23&amp;":"&amp;W$3,'x - authors'!$B$3:$E$10000,4,FALSE))</f>
        <v/>
      </c>
      <c r="X23" s="80" t="str">
        <f>IF(ISNA(VLOOKUP($B23&amp;":"&amp;X$3,'x - authors'!$B$3:$E$10000,4,FALSE)),"",VLOOKUP($B23&amp;":"&amp;X$3,'x - authors'!$B$3:$E$10000,4,FALSE))</f>
        <v/>
      </c>
      <c r="Y23" s="80" t="str">
        <f>IF(ISNA(VLOOKUP($B23&amp;":"&amp;Y$3,'x - authors'!$B$3:$E$10000,4,FALSE)),"",VLOOKUP($B23&amp;":"&amp;Y$3,'x - authors'!$B$3:$E$10000,4,FALSE))</f>
        <v/>
      </c>
      <c r="Z23" s="80" t="str">
        <f>IF(ISNA(VLOOKUP($B23&amp;":"&amp;Z$3,'x - authors'!$B$3:$E$10000,4,FALSE)),"",VLOOKUP($B23&amp;":"&amp;Z$3,'x - authors'!$B$3:$E$10000,4,FALSE))</f>
        <v/>
      </c>
      <c r="AA23" s="80" t="str">
        <f>IF(ISNA(VLOOKUP($B23&amp;":"&amp;AA$3,'x - authors'!$B$3:$E$10000,4,FALSE)),"",VLOOKUP($B23&amp;":"&amp;AA$3,'x - authors'!$B$3:$E$10000,4,FALSE))</f>
        <v/>
      </c>
      <c r="AB23" s="80" t="str">
        <f>IF(ISNA(VLOOKUP($B23&amp;":"&amp;AB$3,'x - authors'!$B$3:$E$10000,4,FALSE)),"",VLOOKUP($B23&amp;":"&amp;AB$3,'x - authors'!$B$3:$E$10000,4,FALSE))</f>
        <v/>
      </c>
      <c r="AC23" s="80" t="str">
        <f>IF(ISNA(VLOOKUP($B23&amp;":"&amp;AC$3,'x - authors'!$B$3:$E$10000,4,FALSE)),"",VLOOKUP($B23&amp;":"&amp;AC$3,'x - authors'!$B$3:$E$10000,4,FALSE))</f>
        <v/>
      </c>
      <c r="AD23" s="80" t="str">
        <f>IF(ISNA(VLOOKUP($B23&amp;":"&amp;AD$3,'x - authors'!$B$3:$E$10000,4,FALSE)),"",VLOOKUP($B23&amp;":"&amp;AD$3,'x - authors'!$B$3:$E$10000,4,FALSE))</f>
        <v/>
      </c>
      <c r="AE23" s="80" t="str">
        <f>IF(ISNA(VLOOKUP($B23&amp;":"&amp;AE$3,'x - authors'!$B$3:$E$10000,4,FALSE)),"",VLOOKUP($B23&amp;":"&amp;AE$3,'x - authors'!$B$3:$E$10000,4,FALSE))</f>
        <v/>
      </c>
      <c r="AF23" s="80" t="str">
        <f>IF(ISNA(VLOOKUP($B23&amp;":"&amp;AF$3,'x - authors'!$B$3:$E$10000,4,FALSE)),"",VLOOKUP($B23&amp;":"&amp;AF$3,'x - authors'!$B$3:$E$10000,4,FALSE))</f>
        <v/>
      </c>
      <c r="AG23" s="80" t="str">
        <f>IF(ISNA(VLOOKUP($B23&amp;":"&amp;AG$3,'x - authors'!$B$3:$E$10000,4,FALSE)),"",VLOOKUP($B23&amp;":"&amp;AG$3,'x - authors'!$B$3:$E$10000,4,FALSE))</f>
        <v/>
      </c>
      <c r="AH23" s="80" t="str">
        <f>IF(ISNA(VLOOKUP($B23&amp;":"&amp;AH$3,'x - authors'!$B$3:$E$10000,4,FALSE)),"",VLOOKUP($B23&amp;":"&amp;AH$3,'x - authors'!$B$3:$E$10000,4,FALSE))</f>
        <v/>
      </c>
      <c r="AI23" s="80" t="str">
        <f>IF(ISNA(VLOOKUP($B23&amp;":"&amp;AI$3,'x - authors'!$B$3:$E$10000,4,FALSE)),"",VLOOKUP($B23&amp;":"&amp;AI$3,'x - authors'!$B$3:$E$10000,4,FALSE))</f>
        <v/>
      </c>
    </row>
    <row r="24" spans="2:35">
      <c r="B24" s="65" t="s">
        <v>5631</v>
      </c>
      <c r="C24" s="65" t="s">
        <v>129</v>
      </c>
      <c r="D24" s="65" t="s">
        <v>5632</v>
      </c>
      <c r="E24" s="41" t="s">
        <v>948</v>
      </c>
      <c r="F24" s="65"/>
      <c r="G24" s="65"/>
      <c r="H24" s="65" t="s">
        <v>5633</v>
      </c>
      <c r="I24" s="65"/>
      <c r="J24" s="65" t="s">
        <v>5636</v>
      </c>
      <c r="K24" s="65"/>
      <c r="L24" s="65" t="s">
        <v>5637</v>
      </c>
      <c r="M24" s="65" t="s">
        <v>5638</v>
      </c>
      <c r="N24" s="65"/>
      <c r="O24" s="15" t="str">
        <f t="shared" si="0"/>
        <v>citation:doc-1282-01</v>
      </c>
      <c r="Q24" s="15" t="str">
        <f>VLOOKUP($O24,'x - paper citations'!$B$3:$E$2000,2,FALSE)</f>
        <v>https://scholar.google.co.uk/scholar?q="Gait Feature Subset Selection by Mutual Information"&amp;btnG=&amp;hl=en&amp;as_sdt=0,5</v>
      </c>
      <c r="R24" s="15">
        <f>VLOOKUP($O24,'x - paper citations'!$B$3:$E$2000,3,FALSE)</f>
        <v>94</v>
      </c>
      <c r="S24" s="15" t="str">
        <f>VLOOKUP($O24,'x - paper citations'!$B$3:$E$2000,4,FALSE)</f>
        <v>15/02/2016</v>
      </c>
      <c r="U24" s="80" t="str">
        <f>IF(ISNA(VLOOKUP($B24&amp;":"&amp;U$3,'x - authors'!$B$3:$E$10000,4,FALSE)),"",VLOOKUP($B24&amp;":"&amp;U$3,'x - authors'!$B$3:$E$10000,4,FALSE))</f>
        <v>baofeng_guo</v>
      </c>
      <c r="V24" s="80" t="str">
        <f>IF(ISNA(VLOOKUP($B24&amp;":"&amp;V$3,'x - authors'!$B$3:$E$10000,4,FALSE)),"",VLOOKUP($B24&amp;":"&amp;V$3,'x - authors'!$B$3:$E$10000,4,FALSE))</f>
        <v>mark_nixon</v>
      </c>
      <c r="W24" s="80" t="str">
        <f>IF(ISNA(VLOOKUP($B24&amp;":"&amp;W$3,'x - authors'!$B$3:$E$10000,4,FALSE)),"",VLOOKUP($B24&amp;":"&amp;W$3,'x - authors'!$B$3:$E$10000,4,FALSE))</f>
        <v/>
      </c>
      <c r="X24" s="80" t="str">
        <f>IF(ISNA(VLOOKUP($B24&amp;":"&amp;X$3,'x - authors'!$B$3:$E$10000,4,FALSE)),"",VLOOKUP($B24&amp;":"&amp;X$3,'x - authors'!$B$3:$E$10000,4,FALSE))</f>
        <v/>
      </c>
      <c r="Y24" s="80" t="str">
        <f>IF(ISNA(VLOOKUP($B24&amp;":"&amp;Y$3,'x - authors'!$B$3:$E$10000,4,FALSE)),"",VLOOKUP($B24&amp;":"&amp;Y$3,'x - authors'!$B$3:$E$10000,4,FALSE))</f>
        <v/>
      </c>
      <c r="Z24" s="80" t="str">
        <f>IF(ISNA(VLOOKUP($B24&amp;":"&amp;Z$3,'x - authors'!$B$3:$E$10000,4,FALSE)),"",VLOOKUP($B24&amp;":"&amp;Z$3,'x - authors'!$B$3:$E$10000,4,FALSE))</f>
        <v/>
      </c>
      <c r="AA24" s="80" t="str">
        <f>IF(ISNA(VLOOKUP($B24&amp;":"&amp;AA$3,'x - authors'!$B$3:$E$10000,4,FALSE)),"",VLOOKUP($B24&amp;":"&amp;AA$3,'x - authors'!$B$3:$E$10000,4,FALSE))</f>
        <v/>
      </c>
      <c r="AB24" s="80" t="str">
        <f>IF(ISNA(VLOOKUP($B24&amp;":"&amp;AB$3,'x - authors'!$B$3:$E$10000,4,FALSE)),"",VLOOKUP($B24&amp;":"&amp;AB$3,'x - authors'!$B$3:$E$10000,4,FALSE))</f>
        <v/>
      </c>
      <c r="AC24" s="80" t="str">
        <f>IF(ISNA(VLOOKUP($B24&amp;":"&amp;AC$3,'x - authors'!$B$3:$E$10000,4,FALSE)),"",VLOOKUP($B24&amp;":"&amp;AC$3,'x - authors'!$B$3:$E$10000,4,FALSE))</f>
        <v/>
      </c>
      <c r="AD24" s="80" t="str">
        <f>IF(ISNA(VLOOKUP($B24&amp;":"&amp;AD$3,'x - authors'!$B$3:$E$10000,4,FALSE)),"",VLOOKUP($B24&amp;":"&amp;AD$3,'x - authors'!$B$3:$E$10000,4,FALSE))</f>
        <v/>
      </c>
      <c r="AE24" s="80" t="str">
        <f>IF(ISNA(VLOOKUP($B24&amp;":"&amp;AE$3,'x - authors'!$B$3:$E$10000,4,FALSE)),"",VLOOKUP($B24&amp;":"&amp;AE$3,'x - authors'!$B$3:$E$10000,4,FALSE))</f>
        <v/>
      </c>
      <c r="AF24" s="80" t="str">
        <f>IF(ISNA(VLOOKUP($B24&amp;":"&amp;AF$3,'x - authors'!$B$3:$E$10000,4,FALSE)),"",VLOOKUP($B24&amp;":"&amp;AF$3,'x - authors'!$B$3:$E$10000,4,FALSE))</f>
        <v/>
      </c>
      <c r="AG24" s="80" t="str">
        <f>IF(ISNA(VLOOKUP($B24&amp;":"&amp;AG$3,'x - authors'!$B$3:$E$10000,4,FALSE)),"",VLOOKUP($B24&amp;":"&amp;AG$3,'x - authors'!$B$3:$E$10000,4,FALSE))</f>
        <v/>
      </c>
      <c r="AH24" s="80" t="str">
        <f>IF(ISNA(VLOOKUP($B24&amp;":"&amp;AH$3,'x - authors'!$B$3:$E$10000,4,FALSE)),"",VLOOKUP($B24&amp;":"&amp;AH$3,'x - authors'!$B$3:$E$10000,4,FALSE))</f>
        <v/>
      </c>
      <c r="AI24" s="80" t="str">
        <f>IF(ISNA(VLOOKUP($B24&amp;":"&amp;AI$3,'x - authors'!$B$3:$E$10000,4,FALSE)),"",VLOOKUP($B24&amp;":"&amp;AI$3,'x - authors'!$B$3:$E$10000,4,FALSE))</f>
        <v/>
      </c>
    </row>
    <row r="25" spans="2:35">
      <c r="B25" s="65" t="s">
        <v>5639</v>
      </c>
      <c r="C25" s="65" t="s">
        <v>129</v>
      </c>
      <c r="D25" s="65" t="s">
        <v>5640</v>
      </c>
      <c r="E25" s="83" t="s">
        <v>940</v>
      </c>
      <c r="F25" s="65"/>
      <c r="G25" s="65"/>
      <c r="H25" s="65" t="s">
        <v>5641</v>
      </c>
      <c r="I25" s="65"/>
      <c r="J25" s="65" t="s">
        <v>5643</v>
      </c>
      <c r="K25" s="65"/>
      <c r="L25" s="65" t="s">
        <v>5644</v>
      </c>
      <c r="M25" s="65"/>
      <c r="N25" s="65"/>
      <c r="O25" s="15" t="str">
        <f t="shared" si="0"/>
        <v>citation:doc-1330-01</v>
      </c>
      <c r="Q25" s="15" t="str">
        <f>VLOOKUP($O25,'x - paper citations'!$B$3:$E$2000,2,FALSE)</f>
        <v>https://scholar.google.co.uk/scholar?q="A Reusable Commitment Management Service using Semantic Web Technology"&amp;btnG=&amp;hl=en&amp;as_sdt=0,5</v>
      </c>
      <c r="R25" s="15">
        <f>VLOOKUP($O25,'x - paper citations'!$B$3:$E$2000,3,FALSE)</f>
        <v>5</v>
      </c>
      <c r="S25" s="15" t="str">
        <f>VLOOKUP($O25,'x - paper citations'!$B$3:$E$2000,4,FALSE)</f>
        <v>10/12/2015</v>
      </c>
      <c r="U25" s="80" t="str">
        <f>IF(ISNA(VLOOKUP($B25&amp;":"&amp;U$3,'x - authors'!$B$3:$E$10000,4,FALSE)),"",VLOOKUP($B25&amp;":"&amp;U$3,'x - authors'!$B$3:$E$10000,4,FALSE))</f>
        <v>alun_preece</v>
      </c>
      <c r="V25" s="80" t="str">
        <f>IF(ISNA(VLOOKUP($B25&amp;":"&amp;V$3,'x - authors'!$B$3:$E$10000,4,FALSE)),"",VLOOKUP($B25&amp;":"&amp;V$3,'x - authors'!$B$3:$E$10000,4,FALSE))</f>
        <v>stuart_chalmers</v>
      </c>
      <c r="W25" s="80" t="str">
        <f>IF(ISNA(VLOOKUP($B25&amp;":"&amp;W$3,'x - authors'!$B$3:$E$10000,4,FALSE)),"",VLOOKUP($B25&amp;":"&amp;W$3,'x - authors'!$B$3:$E$10000,4,FALSE))</f>
        <v>craig_mckenzie</v>
      </c>
      <c r="X25" s="80" t="str">
        <f>IF(ISNA(VLOOKUP($B25&amp;":"&amp;X$3,'x - authors'!$B$3:$E$10000,4,FALSE)),"",VLOOKUP($B25&amp;":"&amp;X$3,'x - authors'!$B$3:$E$10000,4,FALSE))</f>
        <v/>
      </c>
      <c r="Y25" s="80" t="str">
        <f>IF(ISNA(VLOOKUP($B25&amp;":"&amp;Y$3,'x - authors'!$B$3:$E$10000,4,FALSE)),"",VLOOKUP($B25&amp;":"&amp;Y$3,'x - authors'!$B$3:$E$10000,4,FALSE))</f>
        <v/>
      </c>
      <c r="Z25" s="80" t="str">
        <f>IF(ISNA(VLOOKUP($B25&amp;":"&amp;Z$3,'x - authors'!$B$3:$E$10000,4,FALSE)),"",VLOOKUP($B25&amp;":"&amp;Z$3,'x - authors'!$B$3:$E$10000,4,FALSE))</f>
        <v/>
      </c>
      <c r="AA25" s="80" t="str">
        <f>IF(ISNA(VLOOKUP($B25&amp;":"&amp;AA$3,'x - authors'!$B$3:$E$10000,4,FALSE)),"",VLOOKUP($B25&amp;":"&amp;AA$3,'x - authors'!$B$3:$E$10000,4,FALSE))</f>
        <v/>
      </c>
      <c r="AB25" s="80" t="str">
        <f>IF(ISNA(VLOOKUP($B25&amp;":"&amp;AB$3,'x - authors'!$B$3:$E$10000,4,FALSE)),"",VLOOKUP($B25&amp;":"&amp;AB$3,'x - authors'!$B$3:$E$10000,4,FALSE))</f>
        <v/>
      </c>
      <c r="AC25" s="80" t="str">
        <f>IF(ISNA(VLOOKUP($B25&amp;":"&amp;AC$3,'x - authors'!$B$3:$E$10000,4,FALSE)),"",VLOOKUP($B25&amp;":"&amp;AC$3,'x - authors'!$B$3:$E$10000,4,FALSE))</f>
        <v/>
      </c>
      <c r="AD25" s="80" t="str">
        <f>IF(ISNA(VLOOKUP($B25&amp;":"&amp;AD$3,'x - authors'!$B$3:$E$10000,4,FALSE)),"",VLOOKUP($B25&amp;":"&amp;AD$3,'x - authors'!$B$3:$E$10000,4,FALSE))</f>
        <v/>
      </c>
      <c r="AE25" s="80" t="str">
        <f>IF(ISNA(VLOOKUP($B25&amp;":"&amp;AE$3,'x - authors'!$B$3:$E$10000,4,FALSE)),"",VLOOKUP($B25&amp;":"&amp;AE$3,'x - authors'!$B$3:$E$10000,4,FALSE))</f>
        <v/>
      </c>
      <c r="AF25" s="80" t="str">
        <f>IF(ISNA(VLOOKUP($B25&amp;":"&amp;AF$3,'x - authors'!$B$3:$E$10000,4,FALSE)),"",VLOOKUP($B25&amp;":"&amp;AF$3,'x - authors'!$B$3:$E$10000,4,FALSE))</f>
        <v/>
      </c>
      <c r="AG25" s="80" t="str">
        <f>IF(ISNA(VLOOKUP($B25&amp;":"&amp;AG$3,'x - authors'!$B$3:$E$10000,4,FALSE)),"",VLOOKUP($B25&amp;":"&amp;AG$3,'x - authors'!$B$3:$E$10000,4,FALSE))</f>
        <v/>
      </c>
      <c r="AH25" s="80" t="str">
        <f>IF(ISNA(VLOOKUP($B25&amp;":"&amp;AH$3,'x - authors'!$B$3:$E$10000,4,FALSE)),"",VLOOKUP($B25&amp;":"&amp;AH$3,'x - authors'!$B$3:$E$10000,4,FALSE))</f>
        <v/>
      </c>
      <c r="AI25" s="80" t="str">
        <f>IF(ISNA(VLOOKUP($B25&amp;":"&amp;AI$3,'x - authors'!$B$3:$E$10000,4,FALSE)),"",VLOOKUP($B25&amp;":"&amp;AI$3,'x - authors'!$B$3:$E$10000,4,FALSE))</f>
        <v/>
      </c>
    </row>
    <row r="26" spans="2:35">
      <c r="B26" s="65" t="s">
        <v>5645</v>
      </c>
      <c r="C26" s="65" t="s">
        <v>129</v>
      </c>
      <c r="D26" s="65" t="s">
        <v>5646</v>
      </c>
      <c r="E26" s="41" t="s">
        <v>985</v>
      </c>
      <c r="F26" s="65" t="s">
        <v>5428</v>
      </c>
      <c r="G26" s="65"/>
      <c r="H26" s="65" t="s">
        <v>5647</v>
      </c>
      <c r="I26" s="65"/>
      <c r="J26" s="65" t="s">
        <v>5650</v>
      </c>
      <c r="K26" s="65"/>
      <c r="L26" s="65" t="s">
        <v>5651</v>
      </c>
      <c r="M26" s="65"/>
      <c r="N26" s="65"/>
      <c r="O26" s="15" t="str">
        <f t="shared" si="0"/>
        <v>citation:doc-1341-01</v>
      </c>
      <c r="Q26" s="15" t="str">
        <f>VLOOKUP($O26,'x - paper citations'!$B$3:$E$2000,2,FALSE)</f>
        <v>https://scholar.google.co.uk/scholar?q="On the study of analogue network coding for multi-pair, bidirectional relay channels"&amp;btnG=&amp;hl=en&amp;as_sdt=0,5</v>
      </c>
      <c r="R26" s="15">
        <f>VLOOKUP($O26,'x - paper citations'!$B$3:$E$2000,3,FALSE)</f>
        <v>50</v>
      </c>
      <c r="S26" s="15" t="str">
        <f>VLOOKUP($O26,'x - paper citations'!$B$3:$E$2000,4,FALSE)</f>
        <v>09/01/2016</v>
      </c>
      <c r="U26" s="80" t="str">
        <f>IF(ISNA(VLOOKUP($B26&amp;":"&amp;U$3,'x - authors'!$B$3:$E$10000,4,FALSE)),"",VLOOKUP($B26&amp;":"&amp;U$3,'x - authors'!$B$3:$E$10000,4,FALSE))</f>
        <v>chee_yen_leow</v>
      </c>
      <c r="V26" s="80" t="str">
        <f>IF(ISNA(VLOOKUP($B26&amp;":"&amp;V$3,'x - authors'!$B$3:$E$10000,4,FALSE)),"",VLOOKUP($B26&amp;":"&amp;V$3,'x - authors'!$B$3:$E$10000,4,FALSE))</f>
        <v>zhiguo_ding</v>
      </c>
      <c r="W26" s="80" t="str">
        <f>IF(ISNA(VLOOKUP($B26&amp;":"&amp;W$3,'x - authors'!$B$3:$E$10000,4,FALSE)),"",VLOOKUP($B26&amp;":"&amp;W$3,'x - authors'!$B$3:$E$10000,4,FALSE))</f>
        <v>kin_leung</v>
      </c>
      <c r="X26" s="80" t="str">
        <f>IF(ISNA(VLOOKUP($B26&amp;":"&amp;X$3,'x - authors'!$B$3:$E$10000,4,FALSE)),"",VLOOKUP($B26&amp;":"&amp;X$3,'x - authors'!$B$3:$E$10000,4,FALSE))</f>
        <v>dennis_goeckel</v>
      </c>
      <c r="Y26" s="80" t="str">
        <f>IF(ISNA(VLOOKUP($B26&amp;":"&amp;Y$3,'x - authors'!$B$3:$E$10000,4,FALSE)),"",VLOOKUP($B26&amp;":"&amp;Y$3,'x - authors'!$B$3:$E$10000,4,FALSE))</f>
        <v/>
      </c>
      <c r="Z26" s="80" t="str">
        <f>IF(ISNA(VLOOKUP($B26&amp;":"&amp;Z$3,'x - authors'!$B$3:$E$10000,4,FALSE)),"",VLOOKUP($B26&amp;":"&amp;Z$3,'x - authors'!$B$3:$E$10000,4,FALSE))</f>
        <v/>
      </c>
      <c r="AA26" s="80" t="str">
        <f>IF(ISNA(VLOOKUP($B26&amp;":"&amp;AA$3,'x - authors'!$B$3:$E$10000,4,FALSE)),"",VLOOKUP($B26&amp;":"&amp;AA$3,'x - authors'!$B$3:$E$10000,4,FALSE))</f>
        <v/>
      </c>
      <c r="AB26" s="80" t="str">
        <f>IF(ISNA(VLOOKUP($B26&amp;":"&amp;AB$3,'x - authors'!$B$3:$E$10000,4,FALSE)),"",VLOOKUP($B26&amp;":"&amp;AB$3,'x - authors'!$B$3:$E$10000,4,FALSE))</f>
        <v/>
      </c>
      <c r="AC26" s="80" t="str">
        <f>IF(ISNA(VLOOKUP($B26&amp;":"&amp;AC$3,'x - authors'!$B$3:$E$10000,4,FALSE)),"",VLOOKUP($B26&amp;":"&amp;AC$3,'x - authors'!$B$3:$E$10000,4,FALSE))</f>
        <v/>
      </c>
      <c r="AD26" s="80" t="str">
        <f>IF(ISNA(VLOOKUP($B26&amp;":"&amp;AD$3,'x - authors'!$B$3:$E$10000,4,FALSE)),"",VLOOKUP($B26&amp;":"&amp;AD$3,'x - authors'!$B$3:$E$10000,4,FALSE))</f>
        <v/>
      </c>
      <c r="AE26" s="80" t="str">
        <f>IF(ISNA(VLOOKUP($B26&amp;":"&amp;AE$3,'x - authors'!$B$3:$E$10000,4,FALSE)),"",VLOOKUP($B26&amp;":"&amp;AE$3,'x - authors'!$B$3:$E$10000,4,FALSE))</f>
        <v/>
      </c>
      <c r="AF26" s="80" t="str">
        <f>IF(ISNA(VLOOKUP($B26&amp;":"&amp;AF$3,'x - authors'!$B$3:$E$10000,4,FALSE)),"",VLOOKUP($B26&amp;":"&amp;AF$3,'x - authors'!$B$3:$E$10000,4,FALSE))</f>
        <v/>
      </c>
      <c r="AG26" s="80" t="str">
        <f>IF(ISNA(VLOOKUP($B26&amp;":"&amp;AG$3,'x - authors'!$B$3:$E$10000,4,FALSE)),"",VLOOKUP($B26&amp;":"&amp;AG$3,'x - authors'!$B$3:$E$10000,4,FALSE))</f>
        <v/>
      </c>
      <c r="AH26" s="80" t="str">
        <f>IF(ISNA(VLOOKUP($B26&amp;":"&amp;AH$3,'x - authors'!$B$3:$E$10000,4,FALSE)),"",VLOOKUP($B26&amp;":"&amp;AH$3,'x - authors'!$B$3:$E$10000,4,FALSE))</f>
        <v/>
      </c>
      <c r="AI26" s="80" t="str">
        <f>IF(ISNA(VLOOKUP($B26&amp;":"&amp;AI$3,'x - authors'!$B$3:$E$10000,4,FALSE)),"",VLOOKUP($B26&amp;":"&amp;AI$3,'x - authors'!$B$3:$E$10000,4,FALSE))</f>
        <v/>
      </c>
    </row>
    <row r="27" spans="2:35">
      <c r="B27" s="65" t="s">
        <v>5652</v>
      </c>
      <c r="C27" s="65" t="s">
        <v>129</v>
      </c>
      <c r="D27" s="65" t="s">
        <v>5653</v>
      </c>
      <c r="E27" s="41" t="s">
        <v>985</v>
      </c>
      <c r="F27" s="65" t="s">
        <v>5428</v>
      </c>
      <c r="G27" s="65"/>
      <c r="H27" s="65" t="s">
        <v>5654</v>
      </c>
      <c r="I27" s="65"/>
      <c r="J27" s="65" t="s">
        <v>5656</v>
      </c>
      <c r="K27" s="65"/>
      <c r="L27" s="65" t="s">
        <v>5657</v>
      </c>
      <c r="M27" s="65"/>
      <c r="N27" s="65"/>
      <c r="O27" s="15" t="str">
        <f t="shared" si="0"/>
        <v>citation:doc-1342-01</v>
      </c>
      <c r="Q27" s="15" t="str">
        <f>VLOOKUP($O27,'x - paper citations'!$B$3:$E$2000,2,FALSE)</f>
        <v>https://scholar.google.co.uk/scholar?q="Physical Layer Network Coding and Precoding for the Two-Way Relay Channel in Cellular Systems"&amp;btnG=&amp;hl=en&amp;as_sdt=0,5</v>
      </c>
      <c r="R27" s="15">
        <f>VLOOKUP($O27,'x - paper citations'!$B$3:$E$2000,3,FALSE)</f>
        <v>72</v>
      </c>
      <c r="S27" s="15" t="str">
        <f>VLOOKUP($O27,'x - paper citations'!$B$3:$E$2000,4,FALSE)</f>
        <v>10/12/2015</v>
      </c>
      <c r="U27" s="80" t="str">
        <f>IF(ISNA(VLOOKUP($B27&amp;":"&amp;U$3,'x - authors'!$B$3:$E$10000,4,FALSE)),"",VLOOKUP($B27&amp;":"&amp;U$3,'x - authors'!$B$3:$E$10000,4,FALSE))</f>
        <v>zhiguo_ding</v>
      </c>
      <c r="V27" s="80" t="str">
        <f>IF(ISNA(VLOOKUP($B27&amp;":"&amp;V$3,'x - authors'!$B$3:$E$10000,4,FALSE)),"",VLOOKUP($B27&amp;":"&amp;V$3,'x - authors'!$B$3:$E$10000,4,FALSE))</f>
        <v>ioannis_krikidis</v>
      </c>
      <c r="W27" s="80" t="str">
        <f>IF(ISNA(VLOOKUP($B27&amp;":"&amp;W$3,'x - authors'!$B$3:$E$10000,4,FALSE)),"",VLOOKUP($B27&amp;":"&amp;W$3,'x - authors'!$B$3:$E$10000,4,FALSE))</f>
        <v>john_thompson</v>
      </c>
      <c r="X27" s="80" t="str">
        <f>IF(ISNA(VLOOKUP($B27&amp;":"&amp;X$3,'x - authors'!$B$3:$E$10000,4,FALSE)),"",VLOOKUP($B27&amp;":"&amp;X$3,'x - authors'!$B$3:$E$10000,4,FALSE))</f>
        <v>kin_leung</v>
      </c>
      <c r="Y27" s="80" t="str">
        <f>IF(ISNA(VLOOKUP($B27&amp;":"&amp;Y$3,'x - authors'!$B$3:$E$10000,4,FALSE)),"",VLOOKUP($B27&amp;":"&amp;Y$3,'x - authors'!$B$3:$E$10000,4,FALSE))</f>
        <v/>
      </c>
      <c r="Z27" s="80" t="str">
        <f>IF(ISNA(VLOOKUP($B27&amp;":"&amp;Z$3,'x - authors'!$B$3:$E$10000,4,FALSE)),"",VLOOKUP($B27&amp;":"&amp;Z$3,'x - authors'!$B$3:$E$10000,4,FALSE))</f>
        <v/>
      </c>
      <c r="AA27" s="80" t="str">
        <f>IF(ISNA(VLOOKUP($B27&amp;":"&amp;AA$3,'x - authors'!$B$3:$E$10000,4,FALSE)),"",VLOOKUP($B27&amp;":"&amp;AA$3,'x - authors'!$B$3:$E$10000,4,FALSE))</f>
        <v/>
      </c>
      <c r="AB27" s="80" t="str">
        <f>IF(ISNA(VLOOKUP($B27&amp;":"&amp;AB$3,'x - authors'!$B$3:$E$10000,4,FALSE)),"",VLOOKUP($B27&amp;":"&amp;AB$3,'x - authors'!$B$3:$E$10000,4,FALSE))</f>
        <v/>
      </c>
      <c r="AC27" s="80" t="str">
        <f>IF(ISNA(VLOOKUP($B27&amp;":"&amp;AC$3,'x - authors'!$B$3:$E$10000,4,FALSE)),"",VLOOKUP($B27&amp;":"&amp;AC$3,'x - authors'!$B$3:$E$10000,4,FALSE))</f>
        <v/>
      </c>
      <c r="AD27" s="80" t="str">
        <f>IF(ISNA(VLOOKUP($B27&amp;":"&amp;AD$3,'x - authors'!$B$3:$E$10000,4,FALSE)),"",VLOOKUP($B27&amp;":"&amp;AD$3,'x - authors'!$B$3:$E$10000,4,FALSE))</f>
        <v/>
      </c>
      <c r="AE27" s="80" t="str">
        <f>IF(ISNA(VLOOKUP($B27&amp;":"&amp;AE$3,'x - authors'!$B$3:$E$10000,4,FALSE)),"",VLOOKUP($B27&amp;":"&amp;AE$3,'x - authors'!$B$3:$E$10000,4,FALSE))</f>
        <v/>
      </c>
      <c r="AF27" s="80" t="str">
        <f>IF(ISNA(VLOOKUP($B27&amp;":"&amp;AF$3,'x - authors'!$B$3:$E$10000,4,FALSE)),"",VLOOKUP($B27&amp;":"&amp;AF$3,'x - authors'!$B$3:$E$10000,4,FALSE))</f>
        <v/>
      </c>
      <c r="AG27" s="80" t="str">
        <f>IF(ISNA(VLOOKUP($B27&amp;":"&amp;AG$3,'x - authors'!$B$3:$E$10000,4,FALSE)),"",VLOOKUP($B27&amp;":"&amp;AG$3,'x - authors'!$B$3:$E$10000,4,FALSE))</f>
        <v/>
      </c>
      <c r="AH27" s="80" t="str">
        <f>IF(ISNA(VLOOKUP($B27&amp;":"&amp;AH$3,'x - authors'!$B$3:$E$10000,4,FALSE)),"",VLOOKUP($B27&amp;":"&amp;AH$3,'x - authors'!$B$3:$E$10000,4,FALSE))</f>
        <v/>
      </c>
      <c r="AI27" s="80" t="str">
        <f>IF(ISNA(VLOOKUP($B27&amp;":"&amp;AI$3,'x - authors'!$B$3:$E$10000,4,FALSE)),"",VLOOKUP($B27&amp;":"&amp;AI$3,'x - authors'!$B$3:$E$10000,4,FALSE))</f>
        <v/>
      </c>
    </row>
    <row r="28" spans="2:35">
      <c r="B28" s="65" t="s">
        <v>5658</v>
      </c>
      <c r="C28" s="65" t="s">
        <v>129</v>
      </c>
      <c r="D28" s="65" t="s">
        <v>5659</v>
      </c>
      <c r="E28" s="41" t="s">
        <v>985</v>
      </c>
      <c r="F28" s="65" t="s">
        <v>5428</v>
      </c>
      <c r="G28" s="65"/>
      <c r="H28" s="65" t="s">
        <v>5660</v>
      </c>
      <c r="I28" s="65"/>
      <c r="J28" s="65" t="s">
        <v>5662</v>
      </c>
      <c r="K28" s="65"/>
      <c r="L28" s="65" t="s">
        <v>5663</v>
      </c>
      <c r="M28" s="65"/>
      <c r="N28" s="65"/>
      <c r="O28" s="15" t="str">
        <f t="shared" si="0"/>
        <v>citation:doc-1343-01</v>
      </c>
      <c r="Q28" s="15" t="str">
        <f>VLOOKUP($O28,'x - paper citations'!$B$3:$E$2000,2,FALSE)</f>
        <v>https://scholar.google.co.uk/scholar?q="Cross-layer Routing Using Cooperative Transmission in Vehicular Ad-hoc Networks"&amp;btnG=&amp;hl=en&amp;as_sdt=0,5</v>
      </c>
      <c r="R28" s="15">
        <f>VLOOKUP($O28,'x - paper citations'!$B$3:$E$2000,3,FALSE)</f>
        <v>32</v>
      </c>
      <c r="S28" s="15" t="str">
        <f>VLOOKUP($O28,'x - paper citations'!$B$3:$E$2000,4,FALSE)</f>
        <v>09/02/2016</v>
      </c>
      <c r="U28" s="80" t="str">
        <f>IF(ISNA(VLOOKUP($B28&amp;":"&amp;U$3,'x - authors'!$B$3:$E$10000,4,FALSE)),"",VLOOKUP($B28&amp;":"&amp;U$3,'x - authors'!$B$3:$E$10000,4,FALSE))</f>
        <v>zhiguo_ding</v>
      </c>
      <c r="V28" s="80" t="str">
        <f>IF(ISNA(VLOOKUP($B28&amp;":"&amp;V$3,'x - authors'!$B$3:$E$10000,4,FALSE)),"",VLOOKUP($B28&amp;":"&amp;V$3,'x - authors'!$B$3:$E$10000,4,FALSE))</f>
        <v>kin_leung</v>
      </c>
      <c r="W28" s="80" t="str">
        <f>IF(ISNA(VLOOKUP($B28&amp;":"&amp;W$3,'x - authors'!$B$3:$E$10000,4,FALSE)),"",VLOOKUP($B28&amp;":"&amp;W$3,'x - authors'!$B$3:$E$10000,4,FALSE))</f>
        <v/>
      </c>
      <c r="X28" s="80" t="str">
        <f>IF(ISNA(VLOOKUP($B28&amp;":"&amp;X$3,'x - authors'!$B$3:$E$10000,4,FALSE)),"",VLOOKUP($B28&amp;":"&amp;X$3,'x - authors'!$B$3:$E$10000,4,FALSE))</f>
        <v/>
      </c>
      <c r="Y28" s="80" t="str">
        <f>IF(ISNA(VLOOKUP($B28&amp;":"&amp;Y$3,'x - authors'!$B$3:$E$10000,4,FALSE)),"",VLOOKUP($B28&amp;":"&amp;Y$3,'x - authors'!$B$3:$E$10000,4,FALSE))</f>
        <v/>
      </c>
      <c r="Z28" s="80" t="str">
        <f>IF(ISNA(VLOOKUP($B28&amp;":"&amp;Z$3,'x - authors'!$B$3:$E$10000,4,FALSE)),"",VLOOKUP($B28&amp;":"&amp;Z$3,'x - authors'!$B$3:$E$10000,4,FALSE))</f>
        <v/>
      </c>
      <c r="AA28" s="80" t="str">
        <f>IF(ISNA(VLOOKUP($B28&amp;":"&amp;AA$3,'x - authors'!$B$3:$E$10000,4,FALSE)),"",VLOOKUP($B28&amp;":"&amp;AA$3,'x - authors'!$B$3:$E$10000,4,FALSE))</f>
        <v/>
      </c>
      <c r="AB28" s="80" t="str">
        <f>IF(ISNA(VLOOKUP($B28&amp;":"&amp;AB$3,'x - authors'!$B$3:$E$10000,4,FALSE)),"",VLOOKUP($B28&amp;":"&amp;AB$3,'x - authors'!$B$3:$E$10000,4,FALSE))</f>
        <v/>
      </c>
      <c r="AC28" s="80" t="str">
        <f>IF(ISNA(VLOOKUP($B28&amp;":"&amp;AC$3,'x - authors'!$B$3:$E$10000,4,FALSE)),"",VLOOKUP($B28&amp;":"&amp;AC$3,'x - authors'!$B$3:$E$10000,4,FALSE))</f>
        <v/>
      </c>
      <c r="AD28" s="80" t="str">
        <f>IF(ISNA(VLOOKUP($B28&amp;":"&amp;AD$3,'x - authors'!$B$3:$E$10000,4,FALSE)),"",VLOOKUP($B28&amp;":"&amp;AD$3,'x - authors'!$B$3:$E$10000,4,FALSE))</f>
        <v/>
      </c>
      <c r="AE28" s="80" t="str">
        <f>IF(ISNA(VLOOKUP($B28&amp;":"&amp;AE$3,'x - authors'!$B$3:$E$10000,4,FALSE)),"",VLOOKUP($B28&amp;":"&amp;AE$3,'x - authors'!$B$3:$E$10000,4,FALSE))</f>
        <v/>
      </c>
      <c r="AF28" s="80" t="str">
        <f>IF(ISNA(VLOOKUP($B28&amp;":"&amp;AF$3,'x - authors'!$B$3:$E$10000,4,FALSE)),"",VLOOKUP($B28&amp;":"&amp;AF$3,'x - authors'!$B$3:$E$10000,4,FALSE))</f>
        <v/>
      </c>
      <c r="AG28" s="80" t="str">
        <f>IF(ISNA(VLOOKUP($B28&amp;":"&amp;AG$3,'x - authors'!$B$3:$E$10000,4,FALSE)),"",VLOOKUP($B28&amp;":"&amp;AG$3,'x - authors'!$B$3:$E$10000,4,FALSE))</f>
        <v/>
      </c>
      <c r="AH28" s="80" t="str">
        <f>IF(ISNA(VLOOKUP($B28&amp;":"&amp;AH$3,'x - authors'!$B$3:$E$10000,4,FALSE)),"",VLOOKUP($B28&amp;":"&amp;AH$3,'x - authors'!$B$3:$E$10000,4,FALSE))</f>
        <v/>
      </c>
      <c r="AI28" s="80" t="str">
        <f>IF(ISNA(VLOOKUP($B28&amp;":"&amp;AI$3,'x - authors'!$B$3:$E$10000,4,FALSE)),"",VLOOKUP($B28&amp;":"&amp;AI$3,'x - authors'!$B$3:$E$10000,4,FALSE))</f>
        <v/>
      </c>
    </row>
    <row r="29" spans="2:35">
      <c r="B29" s="65" t="s">
        <v>5664</v>
      </c>
      <c r="C29" s="65" t="s">
        <v>129</v>
      </c>
      <c r="D29" s="65" t="s">
        <v>5665</v>
      </c>
      <c r="E29" s="41" t="s">
        <v>985</v>
      </c>
      <c r="F29" s="65" t="s">
        <v>5428</v>
      </c>
      <c r="G29" s="65"/>
      <c r="H29" s="65" t="s">
        <v>5647</v>
      </c>
      <c r="I29" s="65"/>
      <c r="J29" s="65" t="s">
        <v>5667</v>
      </c>
      <c r="K29" s="65"/>
      <c r="L29" s="65" t="s">
        <v>5668</v>
      </c>
      <c r="M29" s="65"/>
      <c r="N29" s="65"/>
      <c r="O29" s="15" t="str">
        <f t="shared" si="0"/>
        <v>citation:doc-1344-01</v>
      </c>
      <c r="Q29" s="15" t="str">
        <f>VLOOKUP($O29,'x - paper citations'!$B$3:$E$2000,2,FALSE)</f>
        <v>https://scholar.google.co.uk/scholar?q="Cooperative Transmission Protocols for Wireless Broadcast Channels"&amp;btnG=&amp;hl=en&amp;as_sdt=0,5</v>
      </c>
      <c r="R29" s="15">
        <f>VLOOKUP($O29,'x - paper citations'!$B$3:$E$2000,3,FALSE)</f>
        <v>15</v>
      </c>
      <c r="S29" s="15" t="str">
        <f>VLOOKUP($O29,'x - paper citations'!$B$3:$E$2000,4,FALSE)</f>
        <v>10/12/2015</v>
      </c>
      <c r="U29" s="80" t="str">
        <f>IF(ISNA(VLOOKUP($B29&amp;":"&amp;U$3,'x - authors'!$B$3:$E$10000,4,FALSE)),"",VLOOKUP($B29&amp;":"&amp;U$3,'x - authors'!$B$3:$E$10000,4,FALSE))</f>
        <v>zhiguo_ding</v>
      </c>
      <c r="V29" s="80" t="str">
        <f>IF(ISNA(VLOOKUP($B29&amp;":"&amp;V$3,'x - authors'!$B$3:$E$10000,4,FALSE)),"",VLOOKUP($B29&amp;":"&amp;V$3,'x - authors'!$B$3:$E$10000,4,FALSE))</f>
        <v>kin_leung</v>
      </c>
      <c r="W29" s="80" t="str">
        <f>IF(ISNA(VLOOKUP($B29&amp;":"&amp;W$3,'x - authors'!$B$3:$E$10000,4,FALSE)),"",VLOOKUP($B29&amp;":"&amp;W$3,'x - authors'!$B$3:$E$10000,4,FALSE))</f>
        <v>dennis_goeckel</v>
      </c>
      <c r="X29" s="80" t="str">
        <f>IF(ISNA(VLOOKUP($B29&amp;":"&amp;X$3,'x - authors'!$B$3:$E$10000,4,FALSE)),"",VLOOKUP($B29&amp;":"&amp;X$3,'x - authors'!$B$3:$E$10000,4,FALSE))</f>
        <v>don_towsley</v>
      </c>
      <c r="Y29" s="80" t="str">
        <f>IF(ISNA(VLOOKUP($B29&amp;":"&amp;Y$3,'x - authors'!$B$3:$E$10000,4,FALSE)),"",VLOOKUP($B29&amp;":"&amp;Y$3,'x - authors'!$B$3:$E$10000,4,FALSE))</f>
        <v/>
      </c>
      <c r="Z29" s="80" t="str">
        <f>IF(ISNA(VLOOKUP($B29&amp;":"&amp;Z$3,'x - authors'!$B$3:$E$10000,4,FALSE)),"",VLOOKUP($B29&amp;":"&amp;Z$3,'x - authors'!$B$3:$E$10000,4,FALSE))</f>
        <v/>
      </c>
      <c r="AA29" s="80" t="str">
        <f>IF(ISNA(VLOOKUP($B29&amp;":"&amp;AA$3,'x - authors'!$B$3:$E$10000,4,FALSE)),"",VLOOKUP($B29&amp;":"&amp;AA$3,'x - authors'!$B$3:$E$10000,4,FALSE))</f>
        <v/>
      </c>
      <c r="AB29" s="80" t="str">
        <f>IF(ISNA(VLOOKUP($B29&amp;":"&amp;AB$3,'x - authors'!$B$3:$E$10000,4,FALSE)),"",VLOOKUP($B29&amp;":"&amp;AB$3,'x - authors'!$B$3:$E$10000,4,FALSE))</f>
        <v/>
      </c>
      <c r="AC29" s="80" t="str">
        <f>IF(ISNA(VLOOKUP($B29&amp;":"&amp;AC$3,'x - authors'!$B$3:$E$10000,4,FALSE)),"",VLOOKUP($B29&amp;":"&amp;AC$3,'x - authors'!$B$3:$E$10000,4,FALSE))</f>
        <v/>
      </c>
      <c r="AD29" s="80" t="str">
        <f>IF(ISNA(VLOOKUP($B29&amp;":"&amp;AD$3,'x - authors'!$B$3:$E$10000,4,FALSE)),"",VLOOKUP($B29&amp;":"&amp;AD$3,'x - authors'!$B$3:$E$10000,4,FALSE))</f>
        <v/>
      </c>
      <c r="AE29" s="80" t="str">
        <f>IF(ISNA(VLOOKUP($B29&amp;":"&amp;AE$3,'x - authors'!$B$3:$E$10000,4,FALSE)),"",VLOOKUP($B29&amp;":"&amp;AE$3,'x - authors'!$B$3:$E$10000,4,FALSE))</f>
        <v/>
      </c>
      <c r="AF29" s="80" t="str">
        <f>IF(ISNA(VLOOKUP($B29&amp;":"&amp;AF$3,'x - authors'!$B$3:$E$10000,4,FALSE)),"",VLOOKUP($B29&amp;":"&amp;AF$3,'x - authors'!$B$3:$E$10000,4,FALSE))</f>
        <v/>
      </c>
      <c r="AG29" s="80" t="str">
        <f>IF(ISNA(VLOOKUP($B29&amp;":"&amp;AG$3,'x - authors'!$B$3:$E$10000,4,FALSE)),"",VLOOKUP($B29&amp;":"&amp;AG$3,'x - authors'!$B$3:$E$10000,4,FALSE))</f>
        <v/>
      </c>
      <c r="AH29" s="80" t="str">
        <f>IF(ISNA(VLOOKUP($B29&amp;":"&amp;AH$3,'x - authors'!$B$3:$E$10000,4,FALSE)),"",VLOOKUP($B29&amp;":"&amp;AH$3,'x - authors'!$B$3:$E$10000,4,FALSE))</f>
        <v/>
      </c>
      <c r="AI29" s="80" t="str">
        <f>IF(ISNA(VLOOKUP($B29&amp;":"&amp;AI$3,'x - authors'!$B$3:$E$10000,4,FALSE)),"",VLOOKUP($B29&amp;":"&amp;AI$3,'x - authors'!$B$3:$E$10000,4,FALSE))</f>
        <v/>
      </c>
    </row>
    <row r="30" spans="2:35">
      <c r="B30" s="65" t="s">
        <v>5669</v>
      </c>
      <c r="C30" s="65" t="s">
        <v>129</v>
      </c>
      <c r="D30" s="65" t="s">
        <v>5670</v>
      </c>
      <c r="E30" s="41" t="s">
        <v>985</v>
      </c>
      <c r="F30" s="65" t="s">
        <v>5447</v>
      </c>
      <c r="G30" s="65"/>
      <c r="H30" s="65" t="s">
        <v>5671</v>
      </c>
      <c r="I30" s="65"/>
      <c r="J30" s="65" t="s">
        <v>5673</v>
      </c>
      <c r="K30" s="65"/>
      <c r="L30" s="65" t="s">
        <v>5674</v>
      </c>
      <c r="M30" s="65"/>
      <c r="N30" s="65"/>
      <c r="O30" s="15" t="str">
        <f t="shared" si="0"/>
        <v>citation:doc-1346-01</v>
      </c>
      <c r="Q30" s="15" t="str">
        <f>VLOOKUP($O30,'x - paper citations'!$B$3:$E$2000,2,FALSE)</f>
        <v>https://scholar.google.co.uk/scholar?q="Entropy of Digraphs and Infinite Networks"&amp;btnG=&amp;hl=en&amp;as_sdt=0,5</v>
      </c>
      <c r="R30" s="15">
        <f>VLOOKUP($O30,'x - paper citations'!$B$3:$E$2000,3,FALSE)</f>
        <v>0</v>
      </c>
      <c r="S30" s="15" t="str">
        <f>VLOOKUP($O30,'x - paper citations'!$B$3:$E$2000,4,FALSE)</f>
        <v>10/01/2016</v>
      </c>
      <c r="U30" s="80" t="str">
        <f>IF(ISNA(VLOOKUP($B30&amp;":"&amp;U$3,'x - authors'!$B$3:$E$10000,4,FALSE)),"",VLOOKUP($B30&amp;":"&amp;U$3,'x - authors'!$B$3:$E$10000,4,FALSE))</f>
        <v>abbe_mowshowitz</v>
      </c>
      <c r="V30" s="80" t="str">
        <f>IF(ISNA(VLOOKUP($B30&amp;":"&amp;V$3,'x - authors'!$B$3:$E$10000,4,FALSE)),"",VLOOKUP($B30&amp;":"&amp;V$3,'x - authors'!$B$3:$E$10000,4,FALSE))</f>
        <v/>
      </c>
      <c r="W30" s="80" t="str">
        <f>IF(ISNA(VLOOKUP($B30&amp;":"&amp;W$3,'x - authors'!$B$3:$E$10000,4,FALSE)),"",VLOOKUP($B30&amp;":"&amp;W$3,'x - authors'!$B$3:$E$10000,4,FALSE))</f>
        <v/>
      </c>
      <c r="X30" s="80" t="str">
        <f>IF(ISNA(VLOOKUP($B30&amp;":"&amp;X$3,'x - authors'!$B$3:$E$10000,4,FALSE)),"",VLOOKUP($B30&amp;":"&amp;X$3,'x - authors'!$B$3:$E$10000,4,FALSE))</f>
        <v/>
      </c>
      <c r="Y30" s="80" t="str">
        <f>IF(ISNA(VLOOKUP($B30&amp;":"&amp;Y$3,'x - authors'!$B$3:$E$10000,4,FALSE)),"",VLOOKUP($B30&amp;":"&amp;Y$3,'x - authors'!$B$3:$E$10000,4,FALSE))</f>
        <v/>
      </c>
      <c r="Z30" s="80" t="str">
        <f>IF(ISNA(VLOOKUP($B30&amp;":"&amp;Z$3,'x - authors'!$B$3:$E$10000,4,FALSE)),"",VLOOKUP($B30&amp;":"&amp;Z$3,'x - authors'!$B$3:$E$10000,4,FALSE))</f>
        <v/>
      </c>
      <c r="AA30" s="80" t="str">
        <f>IF(ISNA(VLOOKUP($B30&amp;":"&amp;AA$3,'x - authors'!$B$3:$E$10000,4,FALSE)),"",VLOOKUP($B30&amp;":"&amp;AA$3,'x - authors'!$B$3:$E$10000,4,FALSE))</f>
        <v/>
      </c>
      <c r="AB30" s="80" t="str">
        <f>IF(ISNA(VLOOKUP($B30&amp;":"&amp;AB$3,'x - authors'!$B$3:$E$10000,4,FALSE)),"",VLOOKUP($B30&amp;":"&amp;AB$3,'x - authors'!$B$3:$E$10000,4,FALSE))</f>
        <v/>
      </c>
      <c r="AC30" s="80" t="str">
        <f>IF(ISNA(VLOOKUP($B30&amp;":"&amp;AC$3,'x - authors'!$B$3:$E$10000,4,FALSE)),"",VLOOKUP($B30&amp;":"&amp;AC$3,'x - authors'!$B$3:$E$10000,4,FALSE))</f>
        <v/>
      </c>
      <c r="AD30" s="80" t="str">
        <f>IF(ISNA(VLOOKUP($B30&amp;":"&amp;AD$3,'x - authors'!$B$3:$E$10000,4,FALSE)),"",VLOOKUP($B30&amp;":"&amp;AD$3,'x - authors'!$B$3:$E$10000,4,FALSE))</f>
        <v/>
      </c>
      <c r="AE30" s="80" t="str">
        <f>IF(ISNA(VLOOKUP($B30&amp;":"&amp;AE$3,'x - authors'!$B$3:$E$10000,4,FALSE)),"",VLOOKUP($B30&amp;":"&amp;AE$3,'x - authors'!$B$3:$E$10000,4,FALSE))</f>
        <v/>
      </c>
      <c r="AF30" s="80" t="str">
        <f>IF(ISNA(VLOOKUP($B30&amp;":"&amp;AF$3,'x - authors'!$B$3:$E$10000,4,FALSE)),"",VLOOKUP($B30&amp;":"&amp;AF$3,'x - authors'!$B$3:$E$10000,4,FALSE))</f>
        <v/>
      </c>
      <c r="AG30" s="80" t="str">
        <f>IF(ISNA(VLOOKUP($B30&amp;":"&amp;AG$3,'x - authors'!$B$3:$E$10000,4,FALSE)),"",VLOOKUP($B30&amp;":"&amp;AG$3,'x - authors'!$B$3:$E$10000,4,FALSE))</f>
        <v/>
      </c>
      <c r="AH30" s="80" t="str">
        <f>IF(ISNA(VLOOKUP($B30&amp;":"&amp;AH$3,'x - authors'!$B$3:$E$10000,4,FALSE)),"",VLOOKUP($B30&amp;":"&amp;AH$3,'x - authors'!$B$3:$E$10000,4,FALSE))</f>
        <v/>
      </c>
      <c r="AI30" s="80" t="str">
        <f>IF(ISNA(VLOOKUP($B30&amp;":"&amp;AI$3,'x - authors'!$B$3:$E$10000,4,FALSE)),"",VLOOKUP($B30&amp;":"&amp;AI$3,'x - authors'!$B$3:$E$10000,4,FALSE))</f>
        <v/>
      </c>
    </row>
    <row r="31" spans="2:35">
      <c r="B31" s="65" t="s">
        <v>5675</v>
      </c>
      <c r="C31" s="65" t="s">
        <v>129</v>
      </c>
      <c r="D31" s="65" t="s">
        <v>5676</v>
      </c>
      <c r="E31" s="41" t="s">
        <v>985</v>
      </c>
      <c r="F31" s="65" t="s">
        <v>5447</v>
      </c>
      <c r="G31" s="65"/>
      <c r="H31" s="65" t="s">
        <v>5677</v>
      </c>
      <c r="I31" s="65"/>
      <c r="J31" s="65" t="s">
        <v>5679</v>
      </c>
      <c r="K31" s="65"/>
      <c r="L31" s="65" t="s">
        <v>5680</v>
      </c>
      <c r="M31" s="65"/>
      <c r="N31" s="65"/>
      <c r="O31" s="15" t="str">
        <f t="shared" si="0"/>
        <v>citation:doc-1347-01</v>
      </c>
      <c r="Q31" s="15" t="str">
        <f>VLOOKUP($O31,'x - paper citations'!$B$3:$E$2000,2,FALSE)</f>
        <v>https://scholar.google.co.uk/scholar?q="A symmetry index for graphs"&amp;btnG=&amp;hl=en&amp;as_sdt=0,5</v>
      </c>
      <c r="R31" s="15">
        <f>VLOOKUP($O31,'x - paper citations'!$B$3:$E$2000,3,FALSE)</f>
        <v>6</v>
      </c>
      <c r="S31" s="15" t="str">
        <f>VLOOKUP($O31,'x - paper citations'!$B$3:$E$2000,4,FALSE)</f>
        <v>10/12/2015</v>
      </c>
      <c r="U31" s="80" t="str">
        <f>IF(ISNA(VLOOKUP($B31&amp;":"&amp;U$3,'x - authors'!$B$3:$E$10000,4,FALSE)),"",VLOOKUP($B31&amp;":"&amp;U$3,'x - authors'!$B$3:$E$10000,4,FALSE))</f>
        <v>abbe_mowshowitz</v>
      </c>
      <c r="V31" s="80" t="str">
        <f>IF(ISNA(VLOOKUP($B31&amp;":"&amp;V$3,'x - authors'!$B$3:$E$10000,4,FALSE)),"",VLOOKUP($B31&amp;":"&amp;V$3,'x - authors'!$B$3:$E$10000,4,FALSE))</f>
        <v>matthias_dehmer</v>
      </c>
      <c r="W31" s="80" t="str">
        <f>IF(ISNA(VLOOKUP($B31&amp;":"&amp;W$3,'x - authors'!$B$3:$E$10000,4,FALSE)),"",VLOOKUP($B31&amp;":"&amp;W$3,'x - authors'!$B$3:$E$10000,4,FALSE))</f>
        <v/>
      </c>
      <c r="X31" s="80" t="str">
        <f>IF(ISNA(VLOOKUP($B31&amp;":"&amp;X$3,'x - authors'!$B$3:$E$10000,4,FALSE)),"",VLOOKUP($B31&amp;":"&amp;X$3,'x - authors'!$B$3:$E$10000,4,FALSE))</f>
        <v/>
      </c>
      <c r="Y31" s="80" t="str">
        <f>IF(ISNA(VLOOKUP($B31&amp;":"&amp;Y$3,'x - authors'!$B$3:$E$10000,4,FALSE)),"",VLOOKUP($B31&amp;":"&amp;Y$3,'x - authors'!$B$3:$E$10000,4,FALSE))</f>
        <v/>
      </c>
      <c r="Z31" s="80" t="str">
        <f>IF(ISNA(VLOOKUP($B31&amp;":"&amp;Z$3,'x - authors'!$B$3:$E$10000,4,FALSE)),"",VLOOKUP($B31&amp;":"&amp;Z$3,'x - authors'!$B$3:$E$10000,4,FALSE))</f>
        <v/>
      </c>
      <c r="AA31" s="80" t="str">
        <f>IF(ISNA(VLOOKUP($B31&amp;":"&amp;AA$3,'x - authors'!$B$3:$E$10000,4,FALSE)),"",VLOOKUP($B31&amp;":"&amp;AA$3,'x - authors'!$B$3:$E$10000,4,FALSE))</f>
        <v/>
      </c>
      <c r="AB31" s="80" t="str">
        <f>IF(ISNA(VLOOKUP($B31&amp;":"&amp;AB$3,'x - authors'!$B$3:$E$10000,4,FALSE)),"",VLOOKUP($B31&amp;":"&amp;AB$3,'x - authors'!$B$3:$E$10000,4,FALSE))</f>
        <v/>
      </c>
      <c r="AC31" s="80" t="str">
        <f>IF(ISNA(VLOOKUP($B31&amp;":"&amp;AC$3,'x - authors'!$B$3:$E$10000,4,FALSE)),"",VLOOKUP($B31&amp;":"&amp;AC$3,'x - authors'!$B$3:$E$10000,4,FALSE))</f>
        <v/>
      </c>
      <c r="AD31" s="80" t="str">
        <f>IF(ISNA(VLOOKUP($B31&amp;":"&amp;AD$3,'x - authors'!$B$3:$E$10000,4,FALSE)),"",VLOOKUP($B31&amp;":"&amp;AD$3,'x - authors'!$B$3:$E$10000,4,FALSE))</f>
        <v/>
      </c>
      <c r="AE31" s="80" t="str">
        <f>IF(ISNA(VLOOKUP($B31&amp;":"&amp;AE$3,'x - authors'!$B$3:$E$10000,4,FALSE)),"",VLOOKUP($B31&amp;":"&amp;AE$3,'x - authors'!$B$3:$E$10000,4,FALSE))</f>
        <v/>
      </c>
      <c r="AF31" s="80" t="str">
        <f>IF(ISNA(VLOOKUP($B31&amp;":"&amp;AF$3,'x - authors'!$B$3:$E$10000,4,FALSE)),"",VLOOKUP($B31&amp;":"&amp;AF$3,'x - authors'!$B$3:$E$10000,4,FALSE))</f>
        <v/>
      </c>
      <c r="AG31" s="80" t="str">
        <f>IF(ISNA(VLOOKUP($B31&amp;":"&amp;AG$3,'x - authors'!$B$3:$E$10000,4,FALSE)),"",VLOOKUP($B31&amp;":"&amp;AG$3,'x - authors'!$B$3:$E$10000,4,FALSE))</f>
        <v/>
      </c>
      <c r="AH31" s="80" t="str">
        <f>IF(ISNA(VLOOKUP($B31&amp;":"&amp;AH$3,'x - authors'!$B$3:$E$10000,4,FALSE)),"",VLOOKUP($B31&amp;":"&amp;AH$3,'x - authors'!$B$3:$E$10000,4,FALSE))</f>
        <v/>
      </c>
      <c r="AI31" s="80" t="str">
        <f>IF(ISNA(VLOOKUP($B31&amp;":"&amp;AI$3,'x - authors'!$B$3:$E$10000,4,FALSE)),"",VLOOKUP($B31&amp;":"&amp;AI$3,'x - authors'!$B$3:$E$10000,4,FALSE))</f>
        <v/>
      </c>
    </row>
    <row r="32" spans="2:35">
      <c r="B32" s="65" t="s">
        <v>5681</v>
      </c>
      <c r="C32" s="65" t="s">
        <v>129</v>
      </c>
      <c r="D32" s="65" t="s">
        <v>5682</v>
      </c>
      <c r="E32" s="41" t="s">
        <v>985</v>
      </c>
      <c r="F32" s="65" t="s">
        <v>5447</v>
      </c>
      <c r="G32" s="65"/>
      <c r="H32" s="65" t="s">
        <v>5683</v>
      </c>
      <c r="I32" s="65"/>
      <c r="J32" s="65" t="s">
        <v>5685</v>
      </c>
      <c r="K32" s="65"/>
      <c r="L32" s="65" t="s">
        <v>5686</v>
      </c>
      <c r="M32" s="65"/>
      <c r="N32" s="65"/>
      <c r="O32" s="15" t="str">
        <f t="shared" si="0"/>
        <v>citation:doc-1348-01</v>
      </c>
      <c r="Q32" s="15" t="str">
        <f>VLOOKUP($O32,'x - paper citations'!$B$3:$E$2000,2,FALSE)</f>
        <v>https://scholar.google.co.uk/scholar?q="Connections between Classical and Parametric Network Entropies"&amp;btnG=&amp;hl=en&amp;as_sdt=0,5</v>
      </c>
      <c r="R32" s="15">
        <f>VLOOKUP($O32,'x - paper citations'!$B$3:$E$2000,3,FALSE)</f>
        <v>10</v>
      </c>
      <c r="S32" s="15" t="str">
        <f>VLOOKUP($O32,'x - paper citations'!$B$3:$E$2000,4,FALSE)</f>
        <v>09/01/2016</v>
      </c>
      <c r="U32" s="80" t="str">
        <f>IF(ISNA(VLOOKUP($B32&amp;":"&amp;U$3,'x - authors'!$B$3:$E$10000,4,FALSE)),"",VLOOKUP($B32&amp;":"&amp;U$3,'x - authors'!$B$3:$E$10000,4,FALSE))</f>
        <v>matthias_dehmer</v>
      </c>
      <c r="V32" s="80" t="str">
        <f>IF(ISNA(VLOOKUP($B32&amp;":"&amp;V$3,'x - authors'!$B$3:$E$10000,4,FALSE)),"",VLOOKUP($B32&amp;":"&amp;V$3,'x - authors'!$B$3:$E$10000,4,FALSE))</f>
        <v>abbe_mowshowitz</v>
      </c>
      <c r="W32" s="80" t="str">
        <f>IF(ISNA(VLOOKUP($B32&amp;":"&amp;W$3,'x - authors'!$B$3:$E$10000,4,FALSE)),"",VLOOKUP($B32&amp;":"&amp;W$3,'x - authors'!$B$3:$E$10000,4,FALSE))</f>
        <v>frank_emmert-streib</v>
      </c>
      <c r="X32" s="80" t="str">
        <f>IF(ISNA(VLOOKUP($B32&amp;":"&amp;X$3,'x - authors'!$B$3:$E$10000,4,FALSE)),"",VLOOKUP($B32&amp;":"&amp;X$3,'x - authors'!$B$3:$E$10000,4,FALSE))</f>
        <v/>
      </c>
      <c r="Y32" s="80" t="str">
        <f>IF(ISNA(VLOOKUP($B32&amp;":"&amp;Y$3,'x - authors'!$B$3:$E$10000,4,FALSE)),"",VLOOKUP($B32&amp;":"&amp;Y$3,'x - authors'!$B$3:$E$10000,4,FALSE))</f>
        <v/>
      </c>
      <c r="Z32" s="80" t="str">
        <f>IF(ISNA(VLOOKUP($B32&amp;":"&amp;Z$3,'x - authors'!$B$3:$E$10000,4,FALSE)),"",VLOOKUP($B32&amp;":"&amp;Z$3,'x - authors'!$B$3:$E$10000,4,FALSE))</f>
        <v/>
      </c>
      <c r="AA32" s="80" t="str">
        <f>IF(ISNA(VLOOKUP($B32&amp;":"&amp;AA$3,'x - authors'!$B$3:$E$10000,4,FALSE)),"",VLOOKUP($B32&amp;":"&amp;AA$3,'x - authors'!$B$3:$E$10000,4,FALSE))</f>
        <v/>
      </c>
      <c r="AB32" s="80" t="str">
        <f>IF(ISNA(VLOOKUP($B32&amp;":"&amp;AB$3,'x - authors'!$B$3:$E$10000,4,FALSE)),"",VLOOKUP($B32&amp;":"&amp;AB$3,'x - authors'!$B$3:$E$10000,4,FALSE))</f>
        <v/>
      </c>
      <c r="AC32" s="80" t="str">
        <f>IF(ISNA(VLOOKUP($B32&amp;":"&amp;AC$3,'x - authors'!$B$3:$E$10000,4,FALSE)),"",VLOOKUP($B32&amp;":"&amp;AC$3,'x - authors'!$B$3:$E$10000,4,FALSE))</f>
        <v/>
      </c>
      <c r="AD32" s="80" t="str">
        <f>IF(ISNA(VLOOKUP($B32&amp;":"&amp;AD$3,'x - authors'!$B$3:$E$10000,4,FALSE)),"",VLOOKUP($B32&amp;":"&amp;AD$3,'x - authors'!$B$3:$E$10000,4,FALSE))</f>
        <v/>
      </c>
      <c r="AE32" s="80" t="str">
        <f>IF(ISNA(VLOOKUP($B32&amp;":"&amp;AE$3,'x - authors'!$B$3:$E$10000,4,FALSE)),"",VLOOKUP($B32&amp;":"&amp;AE$3,'x - authors'!$B$3:$E$10000,4,FALSE))</f>
        <v/>
      </c>
      <c r="AF32" s="80" t="str">
        <f>IF(ISNA(VLOOKUP($B32&amp;":"&amp;AF$3,'x - authors'!$B$3:$E$10000,4,FALSE)),"",VLOOKUP($B32&amp;":"&amp;AF$3,'x - authors'!$B$3:$E$10000,4,FALSE))</f>
        <v/>
      </c>
      <c r="AG32" s="80" t="str">
        <f>IF(ISNA(VLOOKUP($B32&amp;":"&amp;AG$3,'x - authors'!$B$3:$E$10000,4,FALSE)),"",VLOOKUP($B32&amp;":"&amp;AG$3,'x - authors'!$B$3:$E$10000,4,FALSE))</f>
        <v/>
      </c>
      <c r="AH32" s="80" t="str">
        <f>IF(ISNA(VLOOKUP($B32&amp;":"&amp;AH$3,'x - authors'!$B$3:$E$10000,4,FALSE)),"",VLOOKUP($B32&amp;":"&amp;AH$3,'x - authors'!$B$3:$E$10000,4,FALSE))</f>
        <v/>
      </c>
      <c r="AI32" s="80" t="str">
        <f>IF(ISNA(VLOOKUP($B32&amp;":"&amp;AI$3,'x - authors'!$B$3:$E$10000,4,FALSE)),"",VLOOKUP($B32&amp;":"&amp;AI$3,'x - authors'!$B$3:$E$10000,4,FALSE))</f>
        <v/>
      </c>
    </row>
    <row r="33" spans="2:35">
      <c r="B33" s="65" t="s">
        <v>5687</v>
      </c>
      <c r="C33" s="65" t="s">
        <v>129</v>
      </c>
      <c r="D33" s="65" t="s">
        <v>5688</v>
      </c>
      <c r="E33" s="41" t="s">
        <v>976</v>
      </c>
      <c r="F33" s="65" t="s">
        <v>5447</v>
      </c>
      <c r="G33" s="65"/>
      <c r="H33" s="65" t="s">
        <v>5689</v>
      </c>
      <c r="I33" s="65"/>
      <c r="J33" s="65" t="s">
        <v>5692</v>
      </c>
      <c r="K33" s="65"/>
      <c r="L33" s="65" t="s">
        <v>5693</v>
      </c>
      <c r="M33" s="65"/>
      <c r="N33" s="65"/>
      <c r="O33" s="15" t="str">
        <f t="shared" si="0"/>
        <v>citation:doc-1350-01</v>
      </c>
      <c r="Q33" s="15" t="str">
        <f>VLOOKUP($O33,'x - paper citations'!$B$3:$E$2000,2,FALSE)</f>
        <v>https://scholar.google.co.uk/scholar?q="Cost Effective Multi-Period Spraying for Routing in Delay Tolerant Networks"&amp;btnG=&amp;hl=en&amp;as_sdt=0,5</v>
      </c>
      <c r="R33" s="15">
        <f>VLOOKUP($O33,'x - paper citations'!$B$3:$E$2000,3,FALSE)</f>
        <v>73</v>
      </c>
      <c r="S33" s="15" t="str">
        <f>VLOOKUP($O33,'x - paper citations'!$B$3:$E$2000,4,FALSE)</f>
        <v>09/01/2016</v>
      </c>
      <c r="U33" s="80" t="str">
        <f>IF(ISNA(VLOOKUP($B33&amp;":"&amp;U$3,'x - authors'!$B$3:$E$10000,4,FALSE)),"",VLOOKUP($B33&amp;":"&amp;U$3,'x - authors'!$B$3:$E$10000,4,FALSE))</f>
        <v>eyuphan_bulut</v>
      </c>
      <c r="V33" s="80" t="str">
        <f>IF(ISNA(VLOOKUP($B33&amp;":"&amp;V$3,'x - authors'!$B$3:$E$10000,4,FALSE)),"",VLOOKUP($B33&amp;":"&amp;V$3,'x - authors'!$B$3:$E$10000,4,FALSE))</f>
        <v>zijian_wang</v>
      </c>
      <c r="W33" s="80" t="str">
        <f>IF(ISNA(VLOOKUP($B33&amp;":"&amp;W$3,'x - authors'!$B$3:$E$10000,4,FALSE)),"",VLOOKUP($B33&amp;":"&amp;W$3,'x - authors'!$B$3:$E$10000,4,FALSE))</f>
        <v>boleslaw_szymanski</v>
      </c>
      <c r="X33" s="80" t="str">
        <f>IF(ISNA(VLOOKUP($B33&amp;":"&amp;X$3,'x - authors'!$B$3:$E$10000,4,FALSE)),"",VLOOKUP($B33&amp;":"&amp;X$3,'x - authors'!$B$3:$E$10000,4,FALSE))</f>
        <v/>
      </c>
      <c r="Y33" s="80" t="str">
        <f>IF(ISNA(VLOOKUP($B33&amp;":"&amp;Y$3,'x - authors'!$B$3:$E$10000,4,FALSE)),"",VLOOKUP($B33&amp;":"&amp;Y$3,'x - authors'!$B$3:$E$10000,4,FALSE))</f>
        <v/>
      </c>
      <c r="Z33" s="80" t="str">
        <f>IF(ISNA(VLOOKUP($B33&amp;":"&amp;Z$3,'x - authors'!$B$3:$E$10000,4,FALSE)),"",VLOOKUP($B33&amp;":"&amp;Z$3,'x - authors'!$B$3:$E$10000,4,FALSE))</f>
        <v/>
      </c>
      <c r="AA33" s="80" t="str">
        <f>IF(ISNA(VLOOKUP($B33&amp;":"&amp;AA$3,'x - authors'!$B$3:$E$10000,4,FALSE)),"",VLOOKUP($B33&amp;":"&amp;AA$3,'x - authors'!$B$3:$E$10000,4,FALSE))</f>
        <v/>
      </c>
      <c r="AB33" s="80" t="str">
        <f>IF(ISNA(VLOOKUP($B33&amp;":"&amp;AB$3,'x - authors'!$B$3:$E$10000,4,FALSE)),"",VLOOKUP($B33&amp;":"&amp;AB$3,'x - authors'!$B$3:$E$10000,4,FALSE))</f>
        <v/>
      </c>
      <c r="AC33" s="80" t="str">
        <f>IF(ISNA(VLOOKUP($B33&amp;":"&amp;AC$3,'x - authors'!$B$3:$E$10000,4,FALSE)),"",VLOOKUP($B33&amp;":"&amp;AC$3,'x - authors'!$B$3:$E$10000,4,FALSE))</f>
        <v/>
      </c>
      <c r="AD33" s="80" t="str">
        <f>IF(ISNA(VLOOKUP($B33&amp;":"&amp;AD$3,'x - authors'!$B$3:$E$10000,4,FALSE)),"",VLOOKUP($B33&amp;":"&amp;AD$3,'x - authors'!$B$3:$E$10000,4,FALSE))</f>
        <v/>
      </c>
      <c r="AE33" s="80" t="str">
        <f>IF(ISNA(VLOOKUP($B33&amp;":"&amp;AE$3,'x - authors'!$B$3:$E$10000,4,FALSE)),"",VLOOKUP($B33&amp;":"&amp;AE$3,'x - authors'!$B$3:$E$10000,4,FALSE))</f>
        <v/>
      </c>
      <c r="AF33" s="80" t="str">
        <f>IF(ISNA(VLOOKUP($B33&amp;":"&amp;AF$3,'x - authors'!$B$3:$E$10000,4,FALSE)),"",VLOOKUP($B33&amp;":"&amp;AF$3,'x - authors'!$B$3:$E$10000,4,FALSE))</f>
        <v/>
      </c>
      <c r="AG33" s="80" t="str">
        <f>IF(ISNA(VLOOKUP($B33&amp;":"&amp;AG$3,'x - authors'!$B$3:$E$10000,4,FALSE)),"",VLOOKUP($B33&amp;":"&amp;AG$3,'x - authors'!$B$3:$E$10000,4,FALSE))</f>
        <v/>
      </c>
      <c r="AH33" s="80" t="str">
        <f>IF(ISNA(VLOOKUP($B33&amp;":"&amp;AH$3,'x - authors'!$B$3:$E$10000,4,FALSE)),"",VLOOKUP($B33&amp;":"&amp;AH$3,'x - authors'!$B$3:$E$10000,4,FALSE))</f>
        <v/>
      </c>
      <c r="AI33" s="80" t="str">
        <f>IF(ISNA(VLOOKUP($B33&amp;":"&amp;AI$3,'x - authors'!$B$3:$E$10000,4,FALSE)),"",VLOOKUP($B33&amp;":"&amp;AI$3,'x - authors'!$B$3:$E$10000,4,FALSE))</f>
        <v/>
      </c>
    </row>
    <row r="34" spans="2:35">
      <c r="B34" s="65" t="s">
        <v>5694</v>
      </c>
      <c r="C34" s="65" t="s">
        <v>129</v>
      </c>
      <c r="D34" s="65" t="s">
        <v>5695</v>
      </c>
      <c r="E34" s="83" t="s">
        <v>6755</v>
      </c>
      <c r="F34" s="65" t="s">
        <v>5435</v>
      </c>
      <c r="G34" s="65"/>
      <c r="H34" s="65" t="s">
        <v>5696</v>
      </c>
      <c r="I34" s="65"/>
      <c r="J34" s="65" t="s">
        <v>5699</v>
      </c>
      <c r="K34" s="65"/>
      <c r="L34" s="65" t="s">
        <v>5700</v>
      </c>
      <c r="M34" s="65"/>
      <c r="N34" s="65"/>
      <c r="O34" s="15" t="str">
        <f t="shared" si="0"/>
        <v>citation:doc-1354-01</v>
      </c>
      <c r="Q34" s="15" t="str">
        <f>VLOOKUP($O34,'x - paper citations'!$B$3:$E$2000,2,FALSE)</f>
        <v>https://scholar.google.co.uk/scholar?q="A Taxonomy of Biologically Inspired Research in Computer Networking"&amp;btnG=&amp;hl=en&amp;as_sdt=0,5</v>
      </c>
      <c r="R34" s="15">
        <f>VLOOKUP($O34,'x - paper citations'!$B$3:$E$2000,3,FALSE)</f>
        <v>104</v>
      </c>
      <c r="S34" s="15" t="str">
        <f>VLOOKUP($O34,'x - paper citations'!$B$3:$E$2000,4,FALSE)</f>
        <v>09/01/2016</v>
      </c>
      <c r="U34" s="80" t="str">
        <f>IF(ISNA(VLOOKUP($B34&amp;":"&amp;U$3,'x - authors'!$B$3:$E$10000,4,FALSE)),"",VLOOKUP($B34&amp;":"&amp;U$3,'x - authors'!$B$3:$E$10000,4,FALSE))</f>
        <v>michael_meisel</v>
      </c>
      <c r="V34" s="80" t="str">
        <f>IF(ISNA(VLOOKUP($B34&amp;":"&amp;V$3,'x - authors'!$B$3:$E$10000,4,FALSE)),"",VLOOKUP($B34&amp;":"&amp;V$3,'x - authors'!$B$3:$E$10000,4,FALSE))</f>
        <v>vasilieos_pappas</v>
      </c>
      <c r="W34" s="80" t="str">
        <f>IF(ISNA(VLOOKUP($B34&amp;":"&amp;W$3,'x - authors'!$B$3:$E$10000,4,FALSE)),"",VLOOKUP($B34&amp;":"&amp;W$3,'x - authors'!$B$3:$E$10000,4,FALSE))</f>
        <v>lixia_zhang</v>
      </c>
      <c r="X34" s="80" t="str">
        <f>IF(ISNA(VLOOKUP($B34&amp;":"&amp;X$3,'x - authors'!$B$3:$E$10000,4,FALSE)),"",VLOOKUP($B34&amp;":"&amp;X$3,'x - authors'!$B$3:$E$10000,4,FALSE))</f>
        <v/>
      </c>
      <c r="Y34" s="80" t="str">
        <f>IF(ISNA(VLOOKUP($B34&amp;":"&amp;Y$3,'x - authors'!$B$3:$E$10000,4,FALSE)),"",VLOOKUP($B34&amp;":"&amp;Y$3,'x - authors'!$B$3:$E$10000,4,FALSE))</f>
        <v/>
      </c>
      <c r="Z34" s="80" t="str">
        <f>IF(ISNA(VLOOKUP($B34&amp;":"&amp;Z$3,'x - authors'!$B$3:$E$10000,4,FALSE)),"",VLOOKUP($B34&amp;":"&amp;Z$3,'x - authors'!$B$3:$E$10000,4,FALSE))</f>
        <v/>
      </c>
      <c r="AA34" s="80" t="str">
        <f>IF(ISNA(VLOOKUP($B34&amp;":"&amp;AA$3,'x - authors'!$B$3:$E$10000,4,FALSE)),"",VLOOKUP($B34&amp;":"&amp;AA$3,'x - authors'!$B$3:$E$10000,4,FALSE))</f>
        <v/>
      </c>
      <c r="AB34" s="80" t="str">
        <f>IF(ISNA(VLOOKUP($B34&amp;":"&amp;AB$3,'x - authors'!$B$3:$E$10000,4,FALSE)),"",VLOOKUP($B34&amp;":"&amp;AB$3,'x - authors'!$B$3:$E$10000,4,FALSE))</f>
        <v/>
      </c>
      <c r="AC34" s="80" t="str">
        <f>IF(ISNA(VLOOKUP($B34&amp;":"&amp;AC$3,'x - authors'!$B$3:$E$10000,4,FALSE)),"",VLOOKUP($B34&amp;":"&amp;AC$3,'x - authors'!$B$3:$E$10000,4,FALSE))</f>
        <v/>
      </c>
      <c r="AD34" s="80" t="str">
        <f>IF(ISNA(VLOOKUP($B34&amp;":"&amp;AD$3,'x - authors'!$B$3:$E$10000,4,FALSE)),"",VLOOKUP($B34&amp;":"&amp;AD$3,'x - authors'!$B$3:$E$10000,4,FALSE))</f>
        <v/>
      </c>
      <c r="AE34" s="80" t="str">
        <f>IF(ISNA(VLOOKUP($B34&amp;":"&amp;AE$3,'x - authors'!$B$3:$E$10000,4,FALSE)),"",VLOOKUP($B34&amp;":"&amp;AE$3,'x - authors'!$B$3:$E$10000,4,FALSE))</f>
        <v/>
      </c>
      <c r="AF34" s="80" t="str">
        <f>IF(ISNA(VLOOKUP($B34&amp;":"&amp;AF$3,'x - authors'!$B$3:$E$10000,4,FALSE)),"",VLOOKUP($B34&amp;":"&amp;AF$3,'x - authors'!$B$3:$E$10000,4,FALSE))</f>
        <v/>
      </c>
      <c r="AG34" s="80" t="str">
        <f>IF(ISNA(VLOOKUP($B34&amp;":"&amp;AG$3,'x - authors'!$B$3:$E$10000,4,FALSE)),"",VLOOKUP($B34&amp;":"&amp;AG$3,'x - authors'!$B$3:$E$10000,4,FALSE))</f>
        <v/>
      </c>
      <c r="AH34" s="80" t="str">
        <f>IF(ISNA(VLOOKUP($B34&amp;":"&amp;AH$3,'x - authors'!$B$3:$E$10000,4,FALSE)),"",VLOOKUP($B34&amp;":"&amp;AH$3,'x - authors'!$B$3:$E$10000,4,FALSE))</f>
        <v/>
      </c>
      <c r="AI34" s="80" t="str">
        <f>IF(ISNA(VLOOKUP($B34&amp;":"&amp;AI$3,'x - authors'!$B$3:$E$10000,4,FALSE)),"",VLOOKUP($B34&amp;":"&amp;AI$3,'x - authors'!$B$3:$E$10000,4,FALSE))</f>
        <v/>
      </c>
    </row>
    <row r="35" spans="2:35">
      <c r="B35" s="65" t="s">
        <v>5701</v>
      </c>
      <c r="C35" s="65" t="s">
        <v>129</v>
      </c>
      <c r="D35" s="65" t="s">
        <v>5702</v>
      </c>
      <c r="E35" s="41" t="s">
        <v>973</v>
      </c>
      <c r="F35" s="65" t="s">
        <v>5445</v>
      </c>
      <c r="G35" s="65"/>
      <c r="H35" s="65" t="s">
        <v>5703</v>
      </c>
      <c r="I35" s="65"/>
      <c r="J35" s="65" t="s">
        <v>5705</v>
      </c>
      <c r="K35" s="65"/>
      <c r="L35" s="65" t="s">
        <v>5706</v>
      </c>
      <c r="M35" s="65"/>
      <c r="N35" s="65"/>
      <c r="O35" s="15" t="str">
        <f t="shared" si="0"/>
        <v>citation:doc-1355-01</v>
      </c>
      <c r="Q35" s="15" t="str">
        <f>VLOOKUP($O35,'x - paper citations'!$B$3:$E$2000,2,FALSE)</f>
        <v>https://scholar.google.co.uk/scholar?q="Resource Determination and Allocation in Sensor Networks: A Hybrid Approach"&amp;btnG=&amp;hl=en&amp;as_sdt=0,5</v>
      </c>
      <c r="R35" s="15">
        <f>VLOOKUP($O35,'x - paper citations'!$B$3:$E$2000,3,FALSE)</f>
        <v>13</v>
      </c>
      <c r="S35" s="15" t="str">
        <f>VLOOKUP($O35,'x - paper citations'!$B$3:$E$2000,4,FALSE)</f>
        <v>09/01/2016</v>
      </c>
      <c r="U35" s="80" t="str">
        <f>IF(ISNA(VLOOKUP($B35&amp;":"&amp;U$3,'x - authors'!$B$3:$E$10000,4,FALSE)),"",VLOOKUP($B35&amp;":"&amp;U$3,'x - authors'!$B$3:$E$10000,4,FALSE))</f>
        <v>murat_sensoy</v>
      </c>
      <c r="V35" s="80" t="str">
        <f>IF(ISNA(VLOOKUP($B35&amp;":"&amp;V$3,'x - authors'!$B$3:$E$10000,4,FALSE)),"",VLOOKUP($B35&amp;":"&amp;V$3,'x - authors'!$B$3:$E$10000,4,FALSE))</f>
        <v>thao_le</v>
      </c>
      <c r="W35" s="80" t="str">
        <f>IF(ISNA(VLOOKUP($B35&amp;":"&amp;W$3,'x - authors'!$B$3:$E$10000,4,FALSE)),"",VLOOKUP($B35&amp;":"&amp;W$3,'x - authors'!$B$3:$E$10000,4,FALSE))</f>
        <v>wamberto_vasconcelos</v>
      </c>
      <c r="X35" s="80" t="str">
        <f>IF(ISNA(VLOOKUP($B35&amp;":"&amp;X$3,'x - authors'!$B$3:$E$10000,4,FALSE)),"",VLOOKUP($B35&amp;":"&amp;X$3,'x - authors'!$B$3:$E$10000,4,FALSE))</f>
        <v>timothy_norman</v>
      </c>
      <c r="Y35" s="80" t="str">
        <f>IF(ISNA(VLOOKUP($B35&amp;":"&amp;Y$3,'x - authors'!$B$3:$E$10000,4,FALSE)),"",VLOOKUP($B35&amp;":"&amp;Y$3,'x - authors'!$B$3:$E$10000,4,FALSE))</f>
        <v>alun_preece</v>
      </c>
      <c r="Z35" s="80" t="str">
        <f>IF(ISNA(VLOOKUP($B35&amp;":"&amp;Z$3,'x - authors'!$B$3:$E$10000,4,FALSE)),"",VLOOKUP($B35&amp;":"&amp;Z$3,'x - authors'!$B$3:$E$10000,4,FALSE))</f>
        <v/>
      </c>
      <c r="AA35" s="80" t="str">
        <f>IF(ISNA(VLOOKUP($B35&amp;":"&amp;AA$3,'x - authors'!$B$3:$E$10000,4,FALSE)),"",VLOOKUP($B35&amp;":"&amp;AA$3,'x - authors'!$B$3:$E$10000,4,FALSE))</f>
        <v/>
      </c>
      <c r="AB35" s="80" t="str">
        <f>IF(ISNA(VLOOKUP($B35&amp;":"&amp;AB$3,'x - authors'!$B$3:$E$10000,4,FALSE)),"",VLOOKUP($B35&amp;":"&amp;AB$3,'x - authors'!$B$3:$E$10000,4,FALSE))</f>
        <v/>
      </c>
      <c r="AC35" s="80" t="str">
        <f>IF(ISNA(VLOOKUP($B35&amp;":"&amp;AC$3,'x - authors'!$B$3:$E$10000,4,FALSE)),"",VLOOKUP($B35&amp;":"&amp;AC$3,'x - authors'!$B$3:$E$10000,4,FALSE))</f>
        <v/>
      </c>
      <c r="AD35" s="80" t="str">
        <f>IF(ISNA(VLOOKUP($B35&amp;":"&amp;AD$3,'x - authors'!$B$3:$E$10000,4,FALSE)),"",VLOOKUP($B35&amp;":"&amp;AD$3,'x - authors'!$B$3:$E$10000,4,FALSE))</f>
        <v/>
      </c>
      <c r="AE35" s="80" t="str">
        <f>IF(ISNA(VLOOKUP($B35&amp;":"&amp;AE$3,'x - authors'!$B$3:$E$10000,4,FALSE)),"",VLOOKUP($B35&amp;":"&amp;AE$3,'x - authors'!$B$3:$E$10000,4,FALSE))</f>
        <v/>
      </c>
      <c r="AF35" s="80" t="str">
        <f>IF(ISNA(VLOOKUP($B35&amp;":"&amp;AF$3,'x - authors'!$B$3:$E$10000,4,FALSE)),"",VLOOKUP($B35&amp;":"&amp;AF$3,'x - authors'!$B$3:$E$10000,4,FALSE))</f>
        <v/>
      </c>
      <c r="AG35" s="80" t="str">
        <f>IF(ISNA(VLOOKUP($B35&amp;":"&amp;AG$3,'x - authors'!$B$3:$E$10000,4,FALSE)),"",VLOOKUP($B35&amp;":"&amp;AG$3,'x - authors'!$B$3:$E$10000,4,FALSE))</f>
        <v/>
      </c>
      <c r="AH35" s="80" t="str">
        <f>IF(ISNA(VLOOKUP($B35&amp;":"&amp;AH$3,'x - authors'!$B$3:$E$10000,4,FALSE)),"",VLOOKUP($B35&amp;":"&amp;AH$3,'x - authors'!$B$3:$E$10000,4,FALSE))</f>
        <v/>
      </c>
      <c r="AI35" s="80" t="str">
        <f>IF(ISNA(VLOOKUP($B35&amp;":"&amp;AI$3,'x - authors'!$B$3:$E$10000,4,FALSE)),"",VLOOKUP($B35&amp;":"&amp;AI$3,'x - authors'!$B$3:$E$10000,4,FALSE))</f>
        <v/>
      </c>
    </row>
    <row r="36" spans="2:35">
      <c r="B36" s="65" t="s">
        <v>5707</v>
      </c>
      <c r="C36" s="65" t="s">
        <v>129</v>
      </c>
      <c r="D36" s="65" t="s">
        <v>5708</v>
      </c>
      <c r="E36" s="41" t="s">
        <v>973</v>
      </c>
      <c r="F36" s="65" t="s">
        <v>5432</v>
      </c>
      <c r="G36" s="65"/>
      <c r="H36" s="65" t="s">
        <v>5709</v>
      </c>
      <c r="I36" s="65"/>
      <c r="J36" s="65" t="s">
        <v>5711</v>
      </c>
      <c r="K36" s="65"/>
      <c r="L36" s="65" t="s">
        <v>5712</v>
      </c>
      <c r="M36" s="65"/>
      <c r="N36" s="65"/>
      <c r="O36" s="15" t="str">
        <f t="shared" si="0"/>
        <v>citation:doc-1357-01</v>
      </c>
      <c r="Q36" s="15" t="str">
        <f>VLOOKUP($O36,'x - paper citations'!$B$3:$E$2000,2,FALSE)</f>
        <v>https://scholar.google.co.uk/scholar?q=%22What Is a Good Plan? Cultural Variations in Expert Planners' Concepts of Plan Quality%22&amp;btnG=&amp;hl=en&amp;as_sdt=0%2C5</v>
      </c>
      <c r="R36" s="15">
        <f>VLOOKUP($O36,'x - paper citations'!$B$3:$E$2000,3,FALSE)</f>
        <v>15</v>
      </c>
      <c r="S36" s="15" t="str">
        <f>VLOOKUP($O36,'x - paper citations'!$B$3:$E$2000,4,FALSE)</f>
        <v>27/11/2015</v>
      </c>
      <c r="U36" s="80" t="str">
        <f>IF(ISNA(VLOOKUP($B36&amp;":"&amp;U$3,'x - authors'!$B$3:$E$10000,4,FALSE)),"",VLOOKUP($B36&amp;":"&amp;U$3,'x - authors'!$B$3:$E$10000,4,FALSE))</f>
        <v>louise_rasmussen</v>
      </c>
      <c r="V36" s="80" t="str">
        <f>IF(ISNA(VLOOKUP($B36&amp;":"&amp;V$3,'x - authors'!$B$3:$E$10000,4,FALSE)),"",VLOOKUP($B36&amp;":"&amp;V$3,'x - authors'!$B$3:$E$10000,4,FALSE))</f>
        <v>winston_sieck</v>
      </c>
      <c r="W36" s="80" t="str">
        <f>IF(ISNA(VLOOKUP($B36&amp;":"&amp;W$3,'x - authors'!$B$3:$E$10000,4,FALSE)),"",VLOOKUP($B36&amp;":"&amp;W$3,'x - authors'!$B$3:$E$10000,4,FALSE))</f>
        <v>paul_smart</v>
      </c>
      <c r="X36" s="80" t="str">
        <f>IF(ISNA(VLOOKUP($B36&amp;":"&amp;X$3,'x - authors'!$B$3:$E$10000,4,FALSE)),"",VLOOKUP($B36&amp;":"&amp;X$3,'x - authors'!$B$3:$E$10000,4,FALSE))</f>
        <v/>
      </c>
      <c r="Y36" s="80" t="str">
        <f>IF(ISNA(VLOOKUP($B36&amp;":"&amp;Y$3,'x - authors'!$B$3:$E$10000,4,FALSE)),"",VLOOKUP($B36&amp;":"&amp;Y$3,'x - authors'!$B$3:$E$10000,4,FALSE))</f>
        <v/>
      </c>
      <c r="Z36" s="80" t="str">
        <f>IF(ISNA(VLOOKUP($B36&amp;":"&amp;Z$3,'x - authors'!$B$3:$E$10000,4,FALSE)),"",VLOOKUP($B36&amp;":"&amp;Z$3,'x - authors'!$B$3:$E$10000,4,FALSE))</f>
        <v/>
      </c>
      <c r="AA36" s="80" t="str">
        <f>IF(ISNA(VLOOKUP($B36&amp;":"&amp;AA$3,'x - authors'!$B$3:$E$10000,4,FALSE)),"",VLOOKUP($B36&amp;":"&amp;AA$3,'x - authors'!$B$3:$E$10000,4,FALSE))</f>
        <v/>
      </c>
      <c r="AB36" s="80" t="str">
        <f>IF(ISNA(VLOOKUP($B36&amp;":"&amp;AB$3,'x - authors'!$B$3:$E$10000,4,FALSE)),"",VLOOKUP($B36&amp;":"&amp;AB$3,'x - authors'!$B$3:$E$10000,4,FALSE))</f>
        <v/>
      </c>
      <c r="AC36" s="80" t="str">
        <f>IF(ISNA(VLOOKUP($B36&amp;":"&amp;AC$3,'x - authors'!$B$3:$E$10000,4,FALSE)),"",VLOOKUP($B36&amp;":"&amp;AC$3,'x - authors'!$B$3:$E$10000,4,FALSE))</f>
        <v/>
      </c>
      <c r="AD36" s="80" t="str">
        <f>IF(ISNA(VLOOKUP($B36&amp;":"&amp;AD$3,'x - authors'!$B$3:$E$10000,4,FALSE)),"",VLOOKUP($B36&amp;":"&amp;AD$3,'x - authors'!$B$3:$E$10000,4,FALSE))</f>
        <v/>
      </c>
      <c r="AE36" s="80" t="str">
        <f>IF(ISNA(VLOOKUP($B36&amp;":"&amp;AE$3,'x - authors'!$B$3:$E$10000,4,FALSE)),"",VLOOKUP($B36&amp;":"&amp;AE$3,'x - authors'!$B$3:$E$10000,4,FALSE))</f>
        <v/>
      </c>
      <c r="AF36" s="80" t="str">
        <f>IF(ISNA(VLOOKUP($B36&amp;":"&amp;AF$3,'x - authors'!$B$3:$E$10000,4,FALSE)),"",VLOOKUP($B36&amp;":"&amp;AF$3,'x - authors'!$B$3:$E$10000,4,FALSE))</f>
        <v/>
      </c>
      <c r="AG36" s="80" t="str">
        <f>IF(ISNA(VLOOKUP($B36&amp;":"&amp;AG$3,'x - authors'!$B$3:$E$10000,4,FALSE)),"",VLOOKUP($B36&amp;":"&amp;AG$3,'x - authors'!$B$3:$E$10000,4,FALSE))</f>
        <v/>
      </c>
      <c r="AH36" s="80" t="str">
        <f>IF(ISNA(VLOOKUP($B36&amp;":"&amp;AH$3,'x - authors'!$B$3:$E$10000,4,FALSE)),"",VLOOKUP($B36&amp;":"&amp;AH$3,'x - authors'!$B$3:$E$10000,4,FALSE))</f>
        <v/>
      </c>
      <c r="AI36" s="80" t="str">
        <f>IF(ISNA(VLOOKUP($B36&amp;":"&amp;AI$3,'x - authors'!$B$3:$E$10000,4,FALSE)),"",VLOOKUP($B36&amp;":"&amp;AI$3,'x - authors'!$B$3:$E$10000,4,FALSE))</f>
        <v/>
      </c>
    </row>
    <row r="37" spans="2:35">
      <c r="B37" s="65" t="s">
        <v>5713</v>
      </c>
      <c r="C37" s="65" t="s">
        <v>129</v>
      </c>
      <c r="D37" s="65" t="s">
        <v>5714</v>
      </c>
      <c r="E37" s="41" t="s">
        <v>967</v>
      </c>
      <c r="F37" s="65"/>
      <c r="G37" s="65"/>
      <c r="H37" s="65" t="s">
        <v>5715</v>
      </c>
      <c r="I37" s="65"/>
      <c r="J37" s="65" t="s">
        <v>5717</v>
      </c>
      <c r="K37" s="65"/>
      <c r="L37" s="65" t="s">
        <v>5718</v>
      </c>
      <c r="M37" s="65"/>
      <c r="N37" s="65"/>
      <c r="O37" s="15" t="str">
        <f t="shared" si="0"/>
        <v>citation:doc-1358-01</v>
      </c>
      <c r="Q37" s="15" t="str">
        <f>VLOOKUP($O37,'x - paper citations'!$B$3:$E$2000,2,FALSE)</f>
        <v>https://scholar.google.co.uk/scholar?q="Bounds on the Throughput Gain of Network Coding in Unicast and Multicast Wireless Networks"&amp;btnG=&amp;hl=en&amp;as_sdt=0,5</v>
      </c>
      <c r="R37" s="15">
        <f>VLOOKUP($O37,'x - paper citations'!$B$3:$E$2000,3,FALSE)</f>
        <v>44</v>
      </c>
      <c r="S37" s="15" t="str">
        <f>VLOOKUP($O37,'x - paper citations'!$B$3:$E$2000,4,FALSE)</f>
        <v>09/01/2016</v>
      </c>
      <c r="U37" s="80" t="str">
        <f>IF(ISNA(VLOOKUP($B37&amp;":"&amp;U$3,'x - authors'!$B$3:$E$10000,4,FALSE)),"",VLOOKUP($B37&amp;":"&amp;U$3,'x - authors'!$B$3:$E$10000,4,FALSE))</f>
        <v>junning_liu</v>
      </c>
      <c r="V37" s="80" t="str">
        <f>IF(ISNA(VLOOKUP($B37&amp;":"&amp;V$3,'x - authors'!$B$3:$E$10000,4,FALSE)),"",VLOOKUP($B37&amp;":"&amp;V$3,'x - authors'!$B$3:$E$10000,4,FALSE))</f>
        <v>dennis_goeckel</v>
      </c>
      <c r="W37" s="80" t="str">
        <f>IF(ISNA(VLOOKUP($B37&amp;":"&amp;W$3,'x - authors'!$B$3:$E$10000,4,FALSE)),"",VLOOKUP($B37&amp;":"&amp;W$3,'x - authors'!$B$3:$E$10000,4,FALSE))</f>
        <v>don_towsley</v>
      </c>
      <c r="X37" s="80" t="str">
        <f>IF(ISNA(VLOOKUP($B37&amp;":"&amp;X$3,'x - authors'!$B$3:$E$10000,4,FALSE)),"",VLOOKUP($B37&amp;":"&amp;X$3,'x - authors'!$B$3:$E$10000,4,FALSE))</f>
        <v/>
      </c>
      <c r="Y37" s="80" t="str">
        <f>IF(ISNA(VLOOKUP($B37&amp;":"&amp;Y$3,'x - authors'!$B$3:$E$10000,4,FALSE)),"",VLOOKUP($B37&amp;":"&amp;Y$3,'x - authors'!$B$3:$E$10000,4,FALSE))</f>
        <v/>
      </c>
      <c r="Z37" s="80" t="str">
        <f>IF(ISNA(VLOOKUP($B37&amp;":"&amp;Z$3,'x - authors'!$B$3:$E$10000,4,FALSE)),"",VLOOKUP($B37&amp;":"&amp;Z$3,'x - authors'!$B$3:$E$10000,4,FALSE))</f>
        <v/>
      </c>
      <c r="AA37" s="80" t="str">
        <f>IF(ISNA(VLOOKUP($B37&amp;":"&amp;AA$3,'x - authors'!$B$3:$E$10000,4,FALSE)),"",VLOOKUP($B37&amp;":"&amp;AA$3,'x - authors'!$B$3:$E$10000,4,FALSE))</f>
        <v/>
      </c>
      <c r="AB37" s="80" t="str">
        <f>IF(ISNA(VLOOKUP($B37&amp;":"&amp;AB$3,'x - authors'!$B$3:$E$10000,4,FALSE)),"",VLOOKUP($B37&amp;":"&amp;AB$3,'x - authors'!$B$3:$E$10000,4,FALSE))</f>
        <v/>
      </c>
      <c r="AC37" s="80" t="str">
        <f>IF(ISNA(VLOOKUP($B37&amp;":"&amp;AC$3,'x - authors'!$B$3:$E$10000,4,FALSE)),"",VLOOKUP($B37&amp;":"&amp;AC$3,'x - authors'!$B$3:$E$10000,4,FALSE))</f>
        <v/>
      </c>
      <c r="AD37" s="80" t="str">
        <f>IF(ISNA(VLOOKUP($B37&amp;":"&amp;AD$3,'x - authors'!$B$3:$E$10000,4,FALSE)),"",VLOOKUP($B37&amp;":"&amp;AD$3,'x - authors'!$B$3:$E$10000,4,FALSE))</f>
        <v/>
      </c>
      <c r="AE37" s="80" t="str">
        <f>IF(ISNA(VLOOKUP($B37&amp;":"&amp;AE$3,'x - authors'!$B$3:$E$10000,4,FALSE)),"",VLOOKUP($B37&amp;":"&amp;AE$3,'x - authors'!$B$3:$E$10000,4,FALSE))</f>
        <v/>
      </c>
      <c r="AF37" s="80" t="str">
        <f>IF(ISNA(VLOOKUP($B37&amp;":"&amp;AF$3,'x - authors'!$B$3:$E$10000,4,FALSE)),"",VLOOKUP($B37&amp;":"&amp;AF$3,'x - authors'!$B$3:$E$10000,4,FALSE))</f>
        <v/>
      </c>
      <c r="AG37" s="80" t="str">
        <f>IF(ISNA(VLOOKUP($B37&amp;":"&amp;AG$3,'x - authors'!$B$3:$E$10000,4,FALSE)),"",VLOOKUP($B37&amp;":"&amp;AG$3,'x - authors'!$B$3:$E$10000,4,FALSE))</f>
        <v/>
      </c>
      <c r="AH37" s="80" t="str">
        <f>IF(ISNA(VLOOKUP($B37&amp;":"&amp;AH$3,'x - authors'!$B$3:$E$10000,4,FALSE)),"",VLOOKUP($B37&amp;":"&amp;AH$3,'x - authors'!$B$3:$E$10000,4,FALSE))</f>
        <v/>
      </c>
      <c r="AI37" s="80" t="str">
        <f>IF(ISNA(VLOOKUP($B37&amp;":"&amp;AI$3,'x - authors'!$B$3:$E$10000,4,FALSE)),"",VLOOKUP($B37&amp;":"&amp;AI$3,'x - authors'!$B$3:$E$10000,4,FALSE))</f>
        <v/>
      </c>
    </row>
    <row r="38" spans="2:35">
      <c r="B38" s="65" t="s">
        <v>5719</v>
      </c>
      <c r="C38" s="65" t="s">
        <v>129</v>
      </c>
      <c r="D38" s="65" t="s">
        <v>5720</v>
      </c>
      <c r="E38" s="41" t="s">
        <v>967</v>
      </c>
      <c r="F38" s="65"/>
      <c r="G38" s="65"/>
      <c r="H38" s="65" t="s">
        <v>5715</v>
      </c>
      <c r="I38" s="65"/>
      <c r="J38" s="65" t="s">
        <v>5722</v>
      </c>
      <c r="K38" s="65"/>
      <c r="L38" s="65" t="s">
        <v>5723</v>
      </c>
      <c r="M38" s="65"/>
      <c r="N38" s="65"/>
      <c r="O38" s="15" t="str">
        <f t="shared" si="0"/>
        <v>citation:doc-1359-01</v>
      </c>
      <c r="Q38" s="15" t="str">
        <f>VLOOKUP($O38,'x - paper citations'!$B$3:$E$2000,2,FALSE)</f>
        <v>https://scholar.google.co.uk/scholar?q="Asymptotic Connectivity Properties of Cooperative Wireless Ad Hoc Networks"&amp;btnG=&amp;hl=en&amp;as_sdt=0,5</v>
      </c>
      <c r="R38" s="15">
        <f>VLOOKUP($O38,'x - paper citations'!$B$3:$E$2000,3,FALSE)</f>
        <v>33</v>
      </c>
      <c r="S38" s="15" t="str">
        <f>VLOOKUP($O38,'x - paper citations'!$B$3:$E$2000,4,FALSE)</f>
        <v>10/01/2016</v>
      </c>
      <c r="U38" s="80" t="str">
        <f>IF(ISNA(VLOOKUP($B38&amp;":"&amp;U$3,'x - authors'!$B$3:$E$10000,4,FALSE)),"",VLOOKUP($B38&amp;":"&amp;U$3,'x - authors'!$B$3:$E$10000,4,FALSE))</f>
        <v>dennis_goeckel</v>
      </c>
      <c r="V38" s="80" t="str">
        <f>IF(ISNA(VLOOKUP($B38&amp;":"&amp;V$3,'x - authors'!$B$3:$E$10000,4,FALSE)),"",VLOOKUP($B38&amp;":"&amp;V$3,'x - authors'!$B$3:$E$10000,4,FALSE))</f>
        <v>benyuan_liu</v>
      </c>
      <c r="W38" s="80" t="str">
        <f>IF(ISNA(VLOOKUP($B38&amp;":"&amp;W$3,'x - authors'!$B$3:$E$10000,4,FALSE)),"",VLOOKUP($B38&amp;":"&amp;W$3,'x - authors'!$B$3:$E$10000,4,FALSE))</f>
        <v>don_towsley</v>
      </c>
      <c r="X38" s="80" t="str">
        <f>IF(ISNA(VLOOKUP($B38&amp;":"&amp;X$3,'x - authors'!$B$3:$E$10000,4,FALSE)),"",VLOOKUP($B38&amp;":"&amp;X$3,'x - authors'!$B$3:$E$10000,4,FALSE))</f>
        <v>liaoruo_wang</v>
      </c>
      <c r="Y38" s="80" t="str">
        <f>IF(ISNA(VLOOKUP($B38&amp;":"&amp;Y$3,'x - authors'!$B$3:$E$10000,4,FALSE)),"",VLOOKUP($B38&amp;":"&amp;Y$3,'x - authors'!$B$3:$E$10000,4,FALSE))</f>
        <v>cedric_westphal</v>
      </c>
      <c r="Z38" s="80" t="str">
        <f>IF(ISNA(VLOOKUP($B38&amp;":"&amp;Z$3,'x - authors'!$B$3:$E$10000,4,FALSE)),"",VLOOKUP($B38&amp;":"&amp;Z$3,'x - authors'!$B$3:$E$10000,4,FALSE))</f>
        <v/>
      </c>
      <c r="AA38" s="80" t="str">
        <f>IF(ISNA(VLOOKUP($B38&amp;":"&amp;AA$3,'x - authors'!$B$3:$E$10000,4,FALSE)),"",VLOOKUP($B38&amp;":"&amp;AA$3,'x - authors'!$B$3:$E$10000,4,FALSE))</f>
        <v/>
      </c>
      <c r="AB38" s="80" t="str">
        <f>IF(ISNA(VLOOKUP($B38&amp;":"&amp;AB$3,'x - authors'!$B$3:$E$10000,4,FALSE)),"",VLOOKUP($B38&amp;":"&amp;AB$3,'x - authors'!$B$3:$E$10000,4,FALSE))</f>
        <v/>
      </c>
      <c r="AC38" s="80" t="str">
        <f>IF(ISNA(VLOOKUP($B38&amp;":"&amp;AC$3,'x - authors'!$B$3:$E$10000,4,FALSE)),"",VLOOKUP($B38&amp;":"&amp;AC$3,'x - authors'!$B$3:$E$10000,4,FALSE))</f>
        <v/>
      </c>
      <c r="AD38" s="80" t="str">
        <f>IF(ISNA(VLOOKUP($B38&amp;":"&amp;AD$3,'x - authors'!$B$3:$E$10000,4,FALSE)),"",VLOOKUP($B38&amp;":"&amp;AD$3,'x - authors'!$B$3:$E$10000,4,FALSE))</f>
        <v/>
      </c>
      <c r="AE38" s="80" t="str">
        <f>IF(ISNA(VLOOKUP($B38&amp;":"&amp;AE$3,'x - authors'!$B$3:$E$10000,4,FALSE)),"",VLOOKUP($B38&amp;":"&amp;AE$3,'x - authors'!$B$3:$E$10000,4,FALSE))</f>
        <v/>
      </c>
      <c r="AF38" s="80" t="str">
        <f>IF(ISNA(VLOOKUP($B38&amp;":"&amp;AF$3,'x - authors'!$B$3:$E$10000,4,FALSE)),"",VLOOKUP($B38&amp;":"&amp;AF$3,'x - authors'!$B$3:$E$10000,4,FALSE))</f>
        <v/>
      </c>
      <c r="AG38" s="80" t="str">
        <f>IF(ISNA(VLOOKUP($B38&amp;":"&amp;AG$3,'x - authors'!$B$3:$E$10000,4,FALSE)),"",VLOOKUP($B38&amp;":"&amp;AG$3,'x - authors'!$B$3:$E$10000,4,FALSE))</f>
        <v/>
      </c>
      <c r="AH38" s="80" t="str">
        <f>IF(ISNA(VLOOKUP($B38&amp;":"&amp;AH$3,'x - authors'!$B$3:$E$10000,4,FALSE)),"",VLOOKUP($B38&amp;":"&amp;AH$3,'x - authors'!$B$3:$E$10000,4,FALSE))</f>
        <v/>
      </c>
      <c r="AI38" s="80" t="str">
        <f>IF(ISNA(VLOOKUP($B38&amp;":"&amp;AI$3,'x - authors'!$B$3:$E$10000,4,FALSE)),"",VLOOKUP($B38&amp;":"&amp;AI$3,'x - authors'!$B$3:$E$10000,4,FALSE))</f>
        <v/>
      </c>
    </row>
    <row r="39" spans="2:35">
      <c r="B39" s="65" t="s">
        <v>5724</v>
      </c>
      <c r="C39" s="65" t="s">
        <v>129</v>
      </c>
      <c r="D39" s="65" t="s">
        <v>5725</v>
      </c>
      <c r="E39" s="41" t="s">
        <v>945</v>
      </c>
      <c r="F39" s="65"/>
      <c r="G39" s="65"/>
      <c r="H39" s="65" t="s">
        <v>5726</v>
      </c>
      <c r="I39" s="65"/>
      <c r="J39" s="65" t="s">
        <v>5729</v>
      </c>
      <c r="K39" s="65"/>
      <c r="L39" s="65" t="s">
        <v>5730</v>
      </c>
      <c r="M39" s="65" t="s">
        <v>5731</v>
      </c>
      <c r="N39" s="65"/>
      <c r="O39" s="15" t="str">
        <f t="shared" si="0"/>
        <v>citation:doc-1361a-01</v>
      </c>
      <c r="Q39" s="15" t="str">
        <f>VLOOKUP($O39,'x - paper citations'!$B$3:$E$2000,2,FALSE)</f>
        <v>https://scholar.google.co.uk/scholar?q="Cognitive and Self-Healing Routing for Sensor Networks"&amp;btnG=&amp;hl=en&amp;as_sdt=0,5</v>
      </c>
      <c r="R39" s="15">
        <f>VLOOKUP($O39,'x - paper citations'!$B$3:$E$2000,3,FALSE)</f>
        <v>3</v>
      </c>
      <c r="S39" s="15" t="str">
        <f>VLOOKUP($O39,'x - paper citations'!$B$3:$E$2000,4,FALSE)</f>
        <v>09/01/2016</v>
      </c>
      <c r="U39" s="80" t="str">
        <f>IF(ISNA(VLOOKUP($B39&amp;":"&amp;U$3,'x - authors'!$B$3:$E$10000,4,FALSE)),"",VLOOKUP($B39&amp;":"&amp;U$3,'x - authors'!$B$3:$E$10000,4,FALSE))</f>
        <v>erol_gelenbe</v>
      </c>
      <c r="V39" s="80" t="str">
        <f>IF(ISNA(VLOOKUP($B39&amp;":"&amp;V$3,'x - authors'!$B$3:$E$10000,4,FALSE)),"",VLOOKUP($B39&amp;":"&amp;V$3,'x - authors'!$B$3:$E$10000,4,FALSE))</f>
        <v>peng_liu</v>
      </c>
      <c r="W39" s="80" t="str">
        <f>IF(ISNA(VLOOKUP($B39&amp;":"&amp;W$3,'x - authors'!$B$3:$E$10000,4,FALSE)),"",VLOOKUP($B39&amp;":"&amp;W$3,'x - authors'!$B$3:$E$10000,4,FALSE))</f>
        <v>boleslaw_szymanski</v>
      </c>
      <c r="X39" s="80" t="str">
        <f>IF(ISNA(VLOOKUP($B39&amp;":"&amp;X$3,'x - authors'!$B$3:$E$10000,4,FALSE)),"",VLOOKUP($B39&amp;":"&amp;X$3,'x - authors'!$B$3:$E$10000,4,FALSE))</f>
        <v>christopher_morrell</v>
      </c>
      <c r="Y39" s="80" t="str">
        <f>IF(ISNA(VLOOKUP($B39&amp;":"&amp;Y$3,'x - authors'!$B$3:$E$10000,4,FALSE)),"",VLOOKUP($B39&amp;":"&amp;Y$3,'x - authors'!$B$3:$E$10000,4,FALSE))</f>
        <v/>
      </c>
      <c r="Z39" s="80" t="str">
        <f>IF(ISNA(VLOOKUP($B39&amp;":"&amp;Z$3,'x - authors'!$B$3:$E$10000,4,FALSE)),"",VLOOKUP($B39&amp;":"&amp;Z$3,'x - authors'!$B$3:$E$10000,4,FALSE))</f>
        <v/>
      </c>
      <c r="AA39" s="80" t="str">
        <f>IF(ISNA(VLOOKUP($B39&amp;":"&amp;AA$3,'x - authors'!$B$3:$E$10000,4,FALSE)),"",VLOOKUP($B39&amp;":"&amp;AA$3,'x - authors'!$B$3:$E$10000,4,FALSE))</f>
        <v/>
      </c>
      <c r="AB39" s="80" t="str">
        <f>IF(ISNA(VLOOKUP($B39&amp;":"&amp;AB$3,'x - authors'!$B$3:$E$10000,4,FALSE)),"",VLOOKUP($B39&amp;":"&amp;AB$3,'x - authors'!$B$3:$E$10000,4,FALSE))</f>
        <v/>
      </c>
      <c r="AC39" s="80" t="str">
        <f>IF(ISNA(VLOOKUP($B39&amp;":"&amp;AC$3,'x - authors'!$B$3:$E$10000,4,FALSE)),"",VLOOKUP($B39&amp;":"&amp;AC$3,'x - authors'!$B$3:$E$10000,4,FALSE))</f>
        <v/>
      </c>
      <c r="AD39" s="80" t="str">
        <f>IF(ISNA(VLOOKUP($B39&amp;":"&amp;AD$3,'x - authors'!$B$3:$E$10000,4,FALSE)),"",VLOOKUP($B39&amp;":"&amp;AD$3,'x - authors'!$B$3:$E$10000,4,FALSE))</f>
        <v/>
      </c>
      <c r="AE39" s="80" t="str">
        <f>IF(ISNA(VLOOKUP($B39&amp;":"&amp;AE$3,'x - authors'!$B$3:$E$10000,4,FALSE)),"",VLOOKUP($B39&amp;":"&amp;AE$3,'x - authors'!$B$3:$E$10000,4,FALSE))</f>
        <v/>
      </c>
      <c r="AF39" s="80" t="str">
        <f>IF(ISNA(VLOOKUP($B39&amp;":"&amp;AF$3,'x - authors'!$B$3:$E$10000,4,FALSE)),"",VLOOKUP($B39&amp;":"&amp;AF$3,'x - authors'!$B$3:$E$10000,4,FALSE))</f>
        <v/>
      </c>
      <c r="AG39" s="80" t="str">
        <f>IF(ISNA(VLOOKUP($B39&amp;":"&amp;AG$3,'x - authors'!$B$3:$E$10000,4,FALSE)),"",VLOOKUP($B39&amp;":"&amp;AG$3,'x - authors'!$B$3:$E$10000,4,FALSE))</f>
        <v/>
      </c>
      <c r="AH39" s="80" t="str">
        <f>IF(ISNA(VLOOKUP($B39&amp;":"&amp;AH$3,'x - authors'!$B$3:$E$10000,4,FALSE)),"",VLOOKUP($B39&amp;":"&amp;AH$3,'x - authors'!$B$3:$E$10000,4,FALSE))</f>
        <v/>
      </c>
      <c r="AI39" s="80" t="str">
        <f>IF(ISNA(VLOOKUP($B39&amp;":"&amp;AI$3,'x - authors'!$B$3:$E$10000,4,FALSE)),"",VLOOKUP($B39&amp;":"&amp;AI$3,'x - authors'!$B$3:$E$10000,4,FALSE))</f>
        <v/>
      </c>
    </row>
    <row r="40" spans="2:35">
      <c r="B40" s="65" t="s">
        <v>5732</v>
      </c>
      <c r="C40" s="65" t="s">
        <v>129</v>
      </c>
      <c r="D40" s="65" t="s">
        <v>5733</v>
      </c>
      <c r="E40" s="41" t="s">
        <v>970</v>
      </c>
      <c r="F40" s="65" t="s">
        <v>5434</v>
      </c>
      <c r="G40" s="65"/>
      <c r="H40" s="65" t="s">
        <v>5734</v>
      </c>
      <c r="I40" s="65"/>
      <c r="J40" s="65" t="s">
        <v>5736</v>
      </c>
      <c r="K40" s="65"/>
      <c r="L40" s="65" t="s">
        <v>5737</v>
      </c>
      <c r="M40" s="65"/>
      <c r="N40" s="65"/>
      <c r="O40" s="15" t="str">
        <f t="shared" si="0"/>
        <v>citation:doc-1362-01</v>
      </c>
      <c r="Q40" s="15" t="str">
        <f>VLOOKUP($O40,'x - paper citations'!$B$3:$E$2000,2,FALSE)</f>
        <v>https://scholar.google.co.uk/scholar?q="MANET QoS Support without Reservations"&amp;btnG=&amp;hl=en&amp;as_sdt=0,5</v>
      </c>
      <c r="R40" s="15">
        <f>VLOOKUP($O40,'x - paper citations'!$B$3:$E$2000,3,FALSE)</f>
        <v>13</v>
      </c>
      <c r="S40" s="15" t="str">
        <f>VLOOKUP($O40,'x - paper citations'!$B$3:$E$2000,4,FALSE)</f>
        <v>10/01/2016</v>
      </c>
      <c r="U40" s="80" t="str">
        <f>IF(ISNA(VLOOKUP($B40&amp;":"&amp;U$3,'x - authors'!$B$3:$E$10000,4,FALSE)),"",VLOOKUP($B40&amp;":"&amp;U$3,'x - authors'!$B$3:$E$10000,4,FALSE))</f>
        <v>soon_young_oh</v>
      </c>
      <c r="V40" s="80" t="str">
        <f>IF(ISNA(VLOOKUP($B40&amp;":"&amp;V$3,'x - authors'!$B$3:$E$10000,4,FALSE)),"",VLOOKUP($B40&amp;":"&amp;V$3,'x - authors'!$B$3:$E$10000,4,FALSE))</f>
        <v>gustavo_marfia</v>
      </c>
      <c r="W40" s="80" t="str">
        <f>IF(ISNA(VLOOKUP($B40&amp;":"&amp;W$3,'x - authors'!$B$3:$E$10000,4,FALSE)),"",VLOOKUP($B40&amp;":"&amp;W$3,'x - authors'!$B$3:$E$10000,4,FALSE))</f>
        <v>mario_gerla</v>
      </c>
      <c r="X40" s="80" t="str">
        <f>IF(ISNA(VLOOKUP($B40&amp;":"&amp;X$3,'x - authors'!$B$3:$E$10000,4,FALSE)),"",VLOOKUP($B40&amp;":"&amp;X$3,'x - authors'!$B$3:$E$10000,4,FALSE))</f>
        <v/>
      </c>
      <c r="Y40" s="80" t="str">
        <f>IF(ISNA(VLOOKUP($B40&amp;":"&amp;Y$3,'x - authors'!$B$3:$E$10000,4,FALSE)),"",VLOOKUP($B40&amp;":"&amp;Y$3,'x - authors'!$B$3:$E$10000,4,FALSE))</f>
        <v/>
      </c>
      <c r="Z40" s="80" t="str">
        <f>IF(ISNA(VLOOKUP($B40&amp;":"&amp;Z$3,'x - authors'!$B$3:$E$10000,4,FALSE)),"",VLOOKUP($B40&amp;":"&amp;Z$3,'x - authors'!$B$3:$E$10000,4,FALSE))</f>
        <v/>
      </c>
      <c r="AA40" s="80" t="str">
        <f>IF(ISNA(VLOOKUP($B40&amp;":"&amp;AA$3,'x - authors'!$B$3:$E$10000,4,FALSE)),"",VLOOKUP($B40&amp;":"&amp;AA$3,'x - authors'!$B$3:$E$10000,4,FALSE))</f>
        <v/>
      </c>
      <c r="AB40" s="80" t="str">
        <f>IF(ISNA(VLOOKUP($B40&amp;":"&amp;AB$3,'x - authors'!$B$3:$E$10000,4,FALSE)),"",VLOOKUP($B40&amp;":"&amp;AB$3,'x - authors'!$B$3:$E$10000,4,FALSE))</f>
        <v/>
      </c>
      <c r="AC40" s="80" t="str">
        <f>IF(ISNA(VLOOKUP($B40&amp;":"&amp;AC$3,'x - authors'!$B$3:$E$10000,4,FALSE)),"",VLOOKUP($B40&amp;":"&amp;AC$3,'x - authors'!$B$3:$E$10000,4,FALSE))</f>
        <v/>
      </c>
      <c r="AD40" s="80" t="str">
        <f>IF(ISNA(VLOOKUP($B40&amp;":"&amp;AD$3,'x - authors'!$B$3:$E$10000,4,FALSE)),"",VLOOKUP($B40&amp;":"&amp;AD$3,'x - authors'!$B$3:$E$10000,4,FALSE))</f>
        <v/>
      </c>
      <c r="AE40" s="80" t="str">
        <f>IF(ISNA(VLOOKUP($B40&amp;":"&amp;AE$3,'x - authors'!$B$3:$E$10000,4,FALSE)),"",VLOOKUP($B40&amp;":"&amp;AE$3,'x - authors'!$B$3:$E$10000,4,FALSE))</f>
        <v/>
      </c>
      <c r="AF40" s="80" t="str">
        <f>IF(ISNA(VLOOKUP($B40&amp;":"&amp;AF$3,'x - authors'!$B$3:$E$10000,4,FALSE)),"",VLOOKUP($B40&amp;":"&amp;AF$3,'x - authors'!$B$3:$E$10000,4,FALSE))</f>
        <v/>
      </c>
      <c r="AG40" s="80" t="str">
        <f>IF(ISNA(VLOOKUP($B40&amp;":"&amp;AG$3,'x - authors'!$B$3:$E$10000,4,FALSE)),"",VLOOKUP($B40&amp;":"&amp;AG$3,'x - authors'!$B$3:$E$10000,4,FALSE))</f>
        <v/>
      </c>
      <c r="AH40" s="80" t="str">
        <f>IF(ISNA(VLOOKUP($B40&amp;":"&amp;AH$3,'x - authors'!$B$3:$E$10000,4,FALSE)),"",VLOOKUP($B40&amp;":"&amp;AH$3,'x - authors'!$B$3:$E$10000,4,FALSE))</f>
        <v/>
      </c>
      <c r="AI40" s="80" t="str">
        <f>IF(ISNA(VLOOKUP($B40&amp;":"&amp;AI$3,'x - authors'!$B$3:$E$10000,4,FALSE)),"",VLOOKUP($B40&amp;":"&amp;AI$3,'x - authors'!$B$3:$E$10000,4,FALSE))</f>
        <v/>
      </c>
    </row>
    <row r="41" spans="2:35">
      <c r="B41" s="65" t="s">
        <v>5738</v>
      </c>
      <c r="C41" s="65" t="s">
        <v>129</v>
      </c>
      <c r="D41" s="65" t="s">
        <v>5739</v>
      </c>
      <c r="E41" s="41" t="s">
        <v>970</v>
      </c>
      <c r="F41" s="65" t="s">
        <v>5443</v>
      </c>
      <c r="G41" s="65"/>
      <c r="H41" s="65" t="s">
        <v>5740</v>
      </c>
      <c r="I41" s="65"/>
      <c r="J41" s="65" t="s">
        <v>5742</v>
      </c>
      <c r="K41" s="65"/>
      <c r="L41" s="65" t="s">
        <v>5743</v>
      </c>
      <c r="M41" s="65"/>
      <c r="N41" s="65"/>
      <c r="O41" s="15" t="str">
        <f t="shared" si="0"/>
        <v>citation:doc-1363-01</v>
      </c>
      <c r="Q41" s="15" t="str">
        <f>VLOOKUP($O41,'x - paper citations'!$B$3:$E$2000,2,FALSE)</f>
        <v>https://scholar.google.co.uk/scholar?q="Temperature Driven Time Synchronization"&amp;btnG=&amp;hl=en&amp;as_sdt=0,5</v>
      </c>
      <c r="R41" s="15">
        <f>VLOOKUP($O41,'x - paper citations'!$B$3:$E$2000,3,FALSE)</f>
        <v>4</v>
      </c>
      <c r="S41" s="15" t="str">
        <f>VLOOKUP($O41,'x - paper citations'!$B$3:$E$2000,4,FALSE)</f>
        <v>09/01/2016</v>
      </c>
      <c r="U41" s="80" t="str">
        <f>IF(ISNA(VLOOKUP($B41&amp;":"&amp;U$3,'x - authors'!$B$3:$E$10000,4,FALSE)),"",VLOOKUP($B41&amp;":"&amp;U$3,'x - authors'!$B$3:$E$10000,4,FALSE))</f>
        <v>thomas_schmid</v>
      </c>
      <c r="V41" s="80" t="str">
        <f>IF(ISNA(VLOOKUP($B41&amp;":"&amp;V$3,'x - authors'!$B$3:$E$10000,4,FALSE)),"",VLOOKUP($B41&amp;":"&amp;V$3,'x - authors'!$B$3:$E$10000,4,FALSE))</f>
        <v>zainul_charbiwala</v>
      </c>
      <c r="W41" s="80" t="str">
        <f>IF(ISNA(VLOOKUP($B41&amp;":"&amp;W$3,'x - authors'!$B$3:$E$10000,4,FALSE)),"",VLOOKUP($B41&amp;":"&amp;W$3,'x - authors'!$B$3:$E$10000,4,FALSE))</f>
        <v>roy_shea</v>
      </c>
      <c r="X41" s="80" t="str">
        <f>IF(ISNA(VLOOKUP($B41&amp;":"&amp;X$3,'x - authors'!$B$3:$E$10000,4,FALSE)),"",VLOOKUP($B41&amp;":"&amp;X$3,'x - authors'!$B$3:$E$10000,4,FALSE))</f>
        <v>mani_srivastava</v>
      </c>
      <c r="Y41" s="80" t="str">
        <f>IF(ISNA(VLOOKUP($B41&amp;":"&amp;Y$3,'x - authors'!$B$3:$E$10000,4,FALSE)),"",VLOOKUP($B41&amp;":"&amp;Y$3,'x - authors'!$B$3:$E$10000,4,FALSE))</f>
        <v/>
      </c>
      <c r="Z41" s="80" t="str">
        <f>IF(ISNA(VLOOKUP($B41&amp;":"&amp;Z$3,'x - authors'!$B$3:$E$10000,4,FALSE)),"",VLOOKUP($B41&amp;":"&amp;Z$3,'x - authors'!$B$3:$E$10000,4,FALSE))</f>
        <v/>
      </c>
      <c r="AA41" s="80" t="str">
        <f>IF(ISNA(VLOOKUP($B41&amp;":"&amp;AA$3,'x - authors'!$B$3:$E$10000,4,FALSE)),"",VLOOKUP($B41&amp;":"&amp;AA$3,'x - authors'!$B$3:$E$10000,4,FALSE))</f>
        <v/>
      </c>
      <c r="AB41" s="80" t="str">
        <f>IF(ISNA(VLOOKUP($B41&amp;":"&amp;AB$3,'x - authors'!$B$3:$E$10000,4,FALSE)),"",VLOOKUP($B41&amp;":"&amp;AB$3,'x - authors'!$B$3:$E$10000,4,FALSE))</f>
        <v/>
      </c>
      <c r="AC41" s="80" t="str">
        <f>IF(ISNA(VLOOKUP($B41&amp;":"&amp;AC$3,'x - authors'!$B$3:$E$10000,4,FALSE)),"",VLOOKUP($B41&amp;":"&amp;AC$3,'x - authors'!$B$3:$E$10000,4,FALSE))</f>
        <v/>
      </c>
      <c r="AD41" s="80" t="str">
        <f>IF(ISNA(VLOOKUP($B41&amp;":"&amp;AD$3,'x - authors'!$B$3:$E$10000,4,FALSE)),"",VLOOKUP($B41&amp;":"&amp;AD$3,'x - authors'!$B$3:$E$10000,4,FALSE))</f>
        <v/>
      </c>
      <c r="AE41" s="80" t="str">
        <f>IF(ISNA(VLOOKUP($B41&amp;":"&amp;AE$3,'x - authors'!$B$3:$E$10000,4,FALSE)),"",VLOOKUP($B41&amp;":"&amp;AE$3,'x - authors'!$B$3:$E$10000,4,FALSE))</f>
        <v/>
      </c>
      <c r="AF41" s="80" t="str">
        <f>IF(ISNA(VLOOKUP($B41&amp;":"&amp;AF$3,'x - authors'!$B$3:$E$10000,4,FALSE)),"",VLOOKUP($B41&amp;":"&amp;AF$3,'x - authors'!$B$3:$E$10000,4,FALSE))</f>
        <v/>
      </c>
      <c r="AG41" s="80" t="str">
        <f>IF(ISNA(VLOOKUP($B41&amp;":"&amp;AG$3,'x - authors'!$B$3:$E$10000,4,FALSE)),"",VLOOKUP($B41&amp;":"&amp;AG$3,'x - authors'!$B$3:$E$10000,4,FALSE))</f>
        <v/>
      </c>
      <c r="AH41" s="80" t="str">
        <f>IF(ISNA(VLOOKUP($B41&amp;":"&amp;AH$3,'x - authors'!$B$3:$E$10000,4,FALSE)),"",VLOOKUP($B41&amp;":"&amp;AH$3,'x - authors'!$B$3:$E$10000,4,FALSE))</f>
        <v/>
      </c>
      <c r="AI41" s="80" t="str">
        <f>IF(ISNA(VLOOKUP($B41&amp;":"&amp;AI$3,'x - authors'!$B$3:$E$10000,4,FALSE)),"",VLOOKUP($B41&amp;":"&amp;AI$3,'x - authors'!$B$3:$E$10000,4,FALSE))</f>
        <v/>
      </c>
    </row>
    <row r="42" spans="2:35">
      <c r="B42" s="65" t="s">
        <v>5744</v>
      </c>
      <c r="C42" s="65" t="s">
        <v>129</v>
      </c>
      <c r="D42" s="65" t="s">
        <v>5745</v>
      </c>
      <c r="E42" s="41" t="s">
        <v>970</v>
      </c>
      <c r="F42" s="65" t="s">
        <v>5447</v>
      </c>
      <c r="G42" s="65"/>
      <c r="H42" s="65" t="s">
        <v>5746</v>
      </c>
      <c r="I42" s="65"/>
      <c r="J42" s="65" t="s">
        <v>5748</v>
      </c>
      <c r="K42" s="65"/>
      <c r="L42" s="65" t="s">
        <v>5749</v>
      </c>
      <c r="M42" s="65" t="s">
        <v>5750</v>
      </c>
      <c r="N42" s="65"/>
      <c r="O42" s="15" t="str">
        <f t="shared" si="0"/>
        <v>citation:doc-1364a-01</v>
      </c>
      <c r="Q42" s="15" t="str">
        <f>VLOOKUP($O42,'x - paper citations'!$B$3:$E$2000,2,FALSE)</f>
        <v>https://scholar.google.co.uk/scholar?q="On the Development of an Internetwork-centric Defense for Scanning Worms"&amp;btnG=&amp;hl=en&amp;as_sdt=0,5</v>
      </c>
      <c r="R42" s="15">
        <f>VLOOKUP($O42,'x - paper citations'!$B$3:$E$2000,3,FALSE)</f>
        <v>8</v>
      </c>
      <c r="S42" s="15" t="str">
        <f>VLOOKUP($O42,'x - paper citations'!$B$3:$E$2000,4,FALSE)</f>
        <v>09/01/2016</v>
      </c>
      <c r="U42" s="80" t="str">
        <f>IF(ISNA(VLOOKUP($B42&amp;":"&amp;U$3,'x - authors'!$B$3:$E$10000,4,FALSE)),"",VLOOKUP($B42&amp;":"&amp;U$3,'x - authors'!$B$3:$E$10000,4,FALSE))</f>
        <v>scott_coull</v>
      </c>
      <c r="V42" s="80" t="str">
        <f>IF(ISNA(VLOOKUP($B42&amp;":"&amp;V$3,'x - authors'!$B$3:$E$10000,4,FALSE)),"",VLOOKUP($B42&amp;":"&amp;V$3,'x - authors'!$B$3:$E$10000,4,FALSE))</f>
        <v>boleslaw_szymanski</v>
      </c>
      <c r="W42" s="80" t="str">
        <f>IF(ISNA(VLOOKUP($B42&amp;":"&amp;W$3,'x - authors'!$B$3:$E$10000,4,FALSE)),"",VLOOKUP($B42&amp;":"&amp;W$3,'x - authors'!$B$3:$E$10000,4,FALSE))</f>
        <v/>
      </c>
      <c r="X42" s="80" t="str">
        <f>IF(ISNA(VLOOKUP($B42&amp;":"&amp;X$3,'x - authors'!$B$3:$E$10000,4,FALSE)),"",VLOOKUP($B42&amp;":"&amp;X$3,'x - authors'!$B$3:$E$10000,4,FALSE))</f>
        <v/>
      </c>
      <c r="Y42" s="80" t="str">
        <f>IF(ISNA(VLOOKUP($B42&amp;":"&amp;Y$3,'x - authors'!$B$3:$E$10000,4,FALSE)),"",VLOOKUP($B42&amp;":"&amp;Y$3,'x - authors'!$B$3:$E$10000,4,FALSE))</f>
        <v/>
      </c>
      <c r="Z42" s="80" t="str">
        <f>IF(ISNA(VLOOKUP($B42&amp;":"&amp;Z$3,'x - authors'!$B$3:$E$10000,4,FALSE)),"",VLOOKUP($B42&amp;":"&amp;Z$3,'x - authors'!$B$3:$E$10000,4,FALSE))</f>
        <v/>
      </c>
      <c r="AA42" s="80" t="str">
        <f>IF(ISNA(VLOOKUP($B42&amp;":"&amp;AA$3,'x - authors'!$B$3:$E$10000,4,FALSE)),"",VLOOKUP($B42&amp;":"&amp;AA$3,'x - authors'!$B$3:$E$10000,4,FALSE))</f>
        <v/>
      </c>
      <c r="AB42" s="80" t="str">
        <f>IF(ISNA(VLOOKUP($B42&amp;":"&amp;AB$3,'x - authors'!$B$3:$E$10000,4,FALSE)),"",VLOOKUP($B42&amp;":"&amp;AB$3,'x - authors'!$B$3:$E$10000,4,FALSE))</f>
        <v/>
      </c>
      <c r="AC42" s="80" t="str">
        <f>IF(ISNA(VLOOKUP($B42&amp;":"&amp;AC$3,'x - authors'!$B$3:$E$10000,4,FALSE)),"",VLOOKUP($B42&amp;":"&amp;AC$3,'x - authors'!$B$3:$E$10000,4,FALSE))</f>
        <v/>
      </c>
      <c r="AD42" s="80" t="str">
        <f>IF(ISNA(VLOOKUP($B42&amp;":"&amp;AD$3,'x - authors'!$B$3:$E$10000,4,FALSE)),"",VLOOKUP($B42&amp;":"&amp;AD$3,'x - authors'!$B$3:$E$10000,4,FALSE))</f>
        <v/>
      </c>
      <c r="AE42" s="80" t="str">
        <f>IF(ISNA(VLOOKUP($B42&amp;":"&amp;AE$3,'x - authors'!$B$3:$E$10000,4,FALSE)),"",VLOOKUP($B42&amp;":"&amp;AE$3,'x - authors'!$B$3:$E$10000,4,FALSE))</f>
        <v/>
      </c>
      <c r="AF42" s="80" t="str">
        <f>IF(ISNA(VLOOKUP($B42&amp;":"&amp;AF$3,'x - authors'!$B$3:$E$10000,4,FALSE)),"",VLOOKUP($B42&amp;":"&amp;AF$3,'x - authors'!$B$3:$E$10000,4,FALSE))</f>
        <v/>
      </c>
      <c r="AG42" s="80" t="str">
        <f>IF(ISNA(VLOOKUP($B42&amp;":"&amp;AG$3,'x - authors'!$B$3:$E$10000,4,FALSE)),"",VLOOKUP($B42&amp;":"&amp;AG$3,'x - authors'!$B$3:$E$10000,4,FALSE))</f>
        <v/>
      </c>
      <c r="AH42" s="80" t="str">
        <f>IF(ISNA(VLOOKUP($B42&amp;":"&amp;AH$3,'x - authors'!$B$3:$E$10000,4,FALSE)),"",VLOOKUP($B42&amp;":"&amp;AH$3,'x - authors'!$B$3:$E$10000,4,FALSE))</f>
        <v/>
      </c>
      <c r="AI42" s="80" t="str">
        <f>IF(ISNA(VLOOKUP($B42&amp;":"&amp;AI$3,'x - authors'!$B$3:$E$10000,4,FALSE)),"",VLOOKUP($B42&amp;":"&amp;AI$3,'x - authors'!$B$3:$E$10000,4,FALSE))</f>
        <v/>
      </c>
    </row>
    <row r="43" spans="2:35">
      <c r="B43" s="65" t="s">
        <v>5751</v>
      </c>
      <c r="C43" s="65" t="s">
        <v>129</v>
      </c>
      <c r="D43" s="65" t="s">
        <v>5752</v>
      </c>
      <c r="E43" s="41" t="s">
        <v>114</v>
      </c>
      <c r="F43" s="65"/>
      <c r="G43" s="65"/>
      <c r="H43" s="65" t="s">
        <v>5753</v>
      </c>
      <c r="I43" s="65"/>
      <c r="J43" s="65" t="s">
        <v>5755</v>
      </c>
      <c r="K43" s="65"/>
      <c r="L43" s="65" t="s">
        <v>5756</v>
      </c>
      <c r="M43" s="65"/>
      <c r="N43" s="65"/>
      <c r="O43" s="15" t="str">
        <f t="shared" si="0"/>
        <v>citation:doc-1365-01</v>
      </c>
      <c r="Q43" s="15" t="str">
        <f>VLOOKUP($O43,'x - paper citations'!$B$3:$E$2000,2,FALSE)</f>
        <v>https://scholar.google.co.uk/scholar?q="Understanding the Quality of Monitoring for Network Management"&amp;btnG=&amp;hl=en&amp;as_sdt=0,5</v>
      </c>
      <c r="R43" s="15">
        <f>VLOOKUP($O43,'x - paper citations'!$B$3:$E$2000,3,FALSE)</f>
        <v>2</v>
      </c>
      <c r="S43" s="15" t="str">
        <f>VLOOKUP($O43,'x - paper citations'!$B$3:$E$2000,4,FALSE)</f>
        <v>09/01/2016</v>
      </c>
      <c r="U43" s="80" t="str">
        <f>IF(ISNA(VLOOKUP($B43&amp;":"&amp;U$3,'x - authors'!$B$3:$E$10000,4,FALSE)),"",VLOOKUP($B43&amp;":"&amp;U$3,'x - authors'!$B$3:$E$10000,4,FALSE))</f>
        <v>dinesh_verma</v>
      </c>
      <c r="V43" s="80" t="str">
        <f>IF(ISNA(VLOOKUP($B43&amp;":"&amp;V$3,'x - authors'!$B$3:$E$10000,4,FALSE)),"",VLOOKUP($B43&amp;":"&amp;V$3,'x - authors'!$B$3:$E$10000,4,FALSE))</f>
        <v>bong_jun_ko</v>
      </c>
      <c r="W43" s="80" t="str">
        <f>IF(ISNA(VLOOKUP($B43&amp;":"&amp;W$3,'x - authors'!$B$3:$E$10000,4,FALSE)),"",VLOOKUP($B43&amp;":"&amp;W$3,'x - authors'!$B$3:$E$10000,4,FALSE))</f>
        <v>petros_zerfos</v>
      </c>
      <c r="X43" s="80" t="str">
        <f>IF(ISNA(VLOOKUP($B43&amp;":"&amp;X$3,'x - authors'!$B$3:$E$10000,4,FALSE)),"",VLOOKUP($B43&amp;":"&amp;X$3,'x - authors'!$B$3:$E$10000,4,FALSE))</f>
        <v>kang_won_lee</v>
      </c>
      <c r="Y43" s="80" t="str">
        <f>IF(ISNA(VLOOKUP($B43&amp;":"&amp;Y$3,'x - authors'!$B$3:$E$10000,4,FALSE)),"",VLOOKUP($B43&amp;":"&amp;Y$3,'x - authors'!$B$3:$E$10000,4,FALSE))</f>
        <v>ting_he</v>
      </c>
      <c r="Z43" s="80" t="str">
        <f>IF(ISNA(VLOOKUP($B43&amp;":"&amp;Z$3,'x - authors'!$B$3:$E$10000,4,FALSE)),"",VLOOKUP($B43&amp;":"&amp;Z$3,'x - authors'!$B$3:$E$10000,4,FALSE))</f>
        <v>matthew_duggan</v>
      </c>
      <c r="AA43" s="80" t="str">
        <f>IF(ISNA(VLOOKUP($B43&amp;":"&amp;AA$3,'x - authors'!$B$3:$E$10000,4,FALSE)),"",VLOOKUP($B43&amp;":"&amp;AA$3,'x - authors'!$B$3:$E$10000,4,FALSE))</f>
        <v>kristian_stewart</v>
      </c>
      <c r="AB43" s="80" t="str">
        <f>IF(ISNA(VLOOKUP($B43&amp;":"&amp;AB$3,'x - authors'!$B$3:$E$10000,4,FALSE)),"",VLOOKUP($B43&amp;":"&amp;AB$3,'x - authors'!$B$3:$E$10000,4,FALSE))</f>
        <v>ananthram_swami</v>
      </c>
      <c r="AC43" s="80" t="str">
        <f>IF(ISNA(VLOOKUP($B43&amp;":"&amp;AC$3,'x - authors'!$B$3:$E$10000,4,FALSE)),"",VLOOKUP($B43&amp;":"&amp;AC$3,'x - authors'!$B$3:$E$10000,4,FALSE))</f>
        <v>nikoletta_sofra</v>
      </c>
      <c r="AD43" s="80" t="str">
        <f>IF(ISNA(VLOOKUP($B43&amp;":"&amp;AD$3,'x - authors'!$B$3:$E$10000,4,FALSE)),"",VLOOKUP($B43&amp;":"&amp;AD$3,'x - authors'!$B$3:$E$10000,4,FALSE))</f>
        <v/>
      </c>
      <c r="AE43" s="80" t="str">
        <f>IF(ISNA(VLOOKUP($B43&amp;":"&amp;AE$3,'x - authors'!$B$3:$E$10000,4,FALSE)),"",VLOOKUP($B43&amp;":"&amp;AE$3,'x - authors'!$B$3:$E$10000,4,FALSE))</f>
        <v/>
      </c>
      <c r="AF43" s="80" t="str">
        <f>IF(ISNA(VLOOKUP($B43&amp;":"&amp;AF$3,'x - authors'!$B$3:$E$10000,4,FALSE)),"",VLOOKUP($B43&amp;":"&amp;AF$3,'x - authors'!$B$3:$E$10000,4,FALSE))</f>
        <v/>
      </c>
      <c r="AG43" s="80" t="str">
        <f>IF(ISNA(VLOOKUP($B43&amp;":"&amp;AG$3,'x - authors'!$B$3:$E$10000,4,FALSE)),"",VLOOKUP($B43&amp;":"&amp;AG$3,'x - authors'!$B$3:$E$10000,4,FALSE))</f>
        <v/>
      </c>
      <c r="AH43" s="80" t="str">
        <f>IF(ISNA(VLOOKUP($B43&amp;":"&amp;AH$3,'x - authors'!$B$3:$E$10000,4,FALSE)),"",VLOOKUP($B43&amp;":"&amp;AH$3,'x - authors'!$B$3:$E$10000,4,FALSE))</f>
        <v/>
      </c>
      <c r="AI43" s="80" t="str">
        <f>IF(ISNA(VLOOKUP($B43&amp;":"&amp;AI$3,'x - authors'!$B$3:$E$10000,4,FALSE)),"",VLOOKUP($B43&amp;":"&amp;AI$3,'x - authors'!$B$3:$E$10000,4,FALSE))</f>
        <v/>
      </c>
    </row>
    <row r="44" spans="2:35">
      <c r="B44" s="65" t="s">
        <v>5757</v>
      </c>
      <c r="C44" s="65" t="s">
        <v>129</v>
      </c>
      <c r="D44" s="65" t="s">
        <v>5758</v>
      </c>
      <c r="E44" s="41" t="s">
        <v>970</v>
      </c>
      <c r="F44" s="65" t="s">
        <v>5430</v>
      </c>
      <c r="G44" s="65"/>
      <c r="H44" s="65" t="s">
        <v>5759</v>
      </c>
      <c r="I44" s="65"/>
      <c r="J44" s="65" t="s">
        <v>5761</v>
      </c>
      <c r="K44" s="65"/>
      <c r="L44" s="65" t="s">
        <v>5762</v>
      </c>
      <c r="M44" s="65"/>
      <c r="N44" s="65"/>
      <c r="O44" s="15" t="str">
        <f t="shared" si="0"/>
        <v>citation:doc-1367-01</v>
      </c>
      <c r="Q44" s="15" t="str">
        <f>VLOOKUP($O44,'x - paper citations'!$B$3:$E$2000,2,FALSE)</f>
        <v>https://scholar.google.co.uk/scholar?q="Agent Support for Policy-driven Collaborative Mission Planning"&amp;btnG=&amp;hl=en&amp;as_sdt=0,5</v>
      </c>
      <c r="R44" s="15">
        <f>VLOOKUP($O44,'x - paper citations'!$B$3:$E$2000,3,FALSE)</f>
        <v>47</v>
      </c>
      <c r="S44" s="15" t="str">
        <f>VLOOKUP($O44,'x - paper citations'!$B$3:$E$2000,4,FALSE)</f>
        <v>09/01/2016</v>
      </c>
      <c r="U44" s="80" t="str">
        <f>IF(ISNA(VLOOKUP($B44&amp;":"&amp;U$3,'x - authors'!$B$3:$E$10000,4,FALSE)),"",VLOOKUP($B44&amp;":"&amp;U$3,'x - authors'!$B$3:$E$10000,4,FALSE))</f>
        <v>katia_sycara</v>
      </c>
      <c r="V44" s="80" t="str">
        <f>IF(ISNA(VLOOKUP($B44&amp;":"&amp;V$3,'x - authors'!$B$3:$E$10000,4,FALSE)),"",VLOOKUP($B44&amp;":"&amp;V$3,'x - authors'!$B$3:$E$10000,4,FALSE))</f>
        <v>timothy_norman</v>
      </c>
      <c r="W44" s="80" t="str">
        <f>IF(ISNA(VLOOKUP($B44&amp;":"&amp;W$3,'x - authors'!$B$3:$E$10000,4,FALSE)),"",VLOOKUP($B44&amp;":"&amp;W$3,'x - authors'!$B$3:$E$10000,4,FALSE))</f>
        <v>joseph_giampapa</v>
      </c>
      <c r="X44" s="80" t="str">
        <f>IF(ISNA(VLOOKUP($B44&amp;":"&amp;X$3,'x - authors'!$B$3:$E$10000,4,FALSE)),"",VLOOKUP($B44&amp;":"&amp;X$3,'x - authors'!$B$3:$E$10000,4,FALSE))</f>
        <v>martin_kollingbaum</v>
      </c>
      <c r="Y44" s="80" t="str">
        <f>IF(ISNA(VLOOKUP($B44&amp;":"&amp;Y$3,'x - authors'!$B$3:$E$10000,4,FALSE)),"",VLOOKUP($B44&amp;":"&amp;Y$3,'x - authors'!$B$3:$E$10000,4,FALSE))</f>
        <v>chris_burnett</v>
      </c>
      <c r="Z44" s="80" t="str">
        <f>IF(ISNA(VLOOKUP($B44&amp;":"&amp;Z$3,'x - authors'!$B$3:$E$10000,4,FALSE)),"",VLOOKUP($B44&amp;":"&amp;Z$3,'x - authors'!$B$3:$E$10000,4,FALSE))</f>
        <v>daniele_masato</v>
      </c>
      <c r="AA44" s="80" t="str">
        <f>IF(ISNA(VLOOKUP($B44&amp;":"&amp;AA$3,'x - authors'!$B$3:$E$10000,4,FALSE)),"",VLOOKUP($B44&amp;":"&amp;AA$3,'x - authors'!$B$3:$E$10000,4,FALSE))</f>
        <v>mairi_mccallum</v>
      </c>
      <c r="AB44" s="80" t="str">
        <f>IF(ISNA(VLOOKUP($B44&amp;":"&amp;AB$3,'x - authors'!$B$3:$E$10000,4,FALSE)),"",VLOOKUP($B44&amp;":"&amp;AB$3,'x - authors'!$B$3:$E$10000,4,FALSE))</f>
        <v>mike_strub</v>
      </c>
      <c r="AC44" s="80" t="str">
        <f>IF(ISNA(VLOOKUP($B44&amp;":"&amp;AC$3,'x - authors'!$B$3:$E$10000,4,FALSE)),"",VLOOKUP($B44&amp;":"&amp;AC$3,'x - authors'!$B$3:$E$10000,4,FALSE))</f>
        <v/>
      </c>
      <c r="AD44" s="80" t="str">
        <f>IF(ISNA(VLOOKUP($B44&amp;":"&amp;AD$3,'x - authors'!$B$3:$E$10000,4,FALSE)),"",VLOOKUP($B44&amp;":"&amp;AD$3,'x - authors'!$B$3:$E$10000,4,FALSE))</f>
        <v/>
      </c>
      <c r="AE44" s="80" t="str">
        <f>IF(ISNA(VLOOKUP($B44&amp;":"&amp;AE$3,'x - authors'!$B$3:$E$10000,4,FALSE)),"",VLOOKUP($B44&amp;":"&amp;AE$3,'x - authors'!$B$3:$E$10000,4,FALSE))</f>
        <v/>
      </c>
      <c r="AF44" s="80" t="str">
        <f>IF(ISNA(VLOOKUP($B44&amp;":"&amp;AF$3,'x - authors'!$B$3:$E$10000,4,FALSE)),"",VLOOKUP($B44&amp;":"&amp;AF$3,'x - authors'!$B$3:$E$10000,4,FALSE))</f>
        <v/>
      </c>
      <c r="AG44" s="80" t="str">
        <f>IF(ISNA(VLOOKUP($B44&amp;":"&amp;AG$3,'x - authors'!$B$3:$E$10000,4,FALSE)),"",VLOOKUP($B44&amp;":"&amp;AG$3,'x - authors'!$B$3:$E$10000,4,FALSE))</f>
        <v/>
      </c>
      <c r="AH44" s="80" t="str">
        <f>IF(ISNA(VLOOKUP($B44&amp;":"&amp;AH$3,'x - authors'!$B$3:$E$10000,4,FALSE)),"",VLOOKUP($B44&amp;":"&amp;AH$3,'x - authors'!$B$3:$E$10000,4,FALSE))</f>
        <v/>
      </c>
      <c r="AI44" s="80" t="str">
        <f>IF(ISNA(VLOOKUP($B44&amp;":"&amp;AI$3,'x - authors'!$B$3:$E$10000,4,FALSE)),"",VLOOKUP($B44&amp;":"&amp;AI$3,'x - authors'!$B$3:$E$10000,4,FALSE))</f>
        <v/>
      </c>
    </row>
    <row r="45" spans="2:35">
      <c r="B45" s="65" t="s">
        <v>5763</v>
      </c>
      <c r="C45" s="65" t="s">
        <v>129</v>
      </c>
      <c r="D45" s="65" t="s">
        <v>5764</v>
      </c>
      <c r="E45" s="41" t="s">
        <v>967</v>
      </c>
      <c r="F45" s="65"/>
      <c r="G45" s="65"/>
      <c r="H45" s="65" t="s">
        <v>5765</v>
      </c>
      <c r="I45" s="65"/>
      <c r="J45" s="65" t="s">
        <v>5767</v>
      </c>
      <c r="K45" s="65"/>
      <c r="L45" s="65" t="s">
        <v>5768</v>
      </c>
      <c r="M45" s="65"/>
      <c r="N45" s="65"/>
      <c r="O45" s="15" t="str">
        <f t="shared" si="0"/>
        <v>citation:doc-1368-01</v>
      </c>
      <c r="Q45" s="15" t="str">
        <f>VLOOKUP($O45,'x - paper citations'!$B$3:$E$2000,2,FALSE)</f>
        <v>https://scholar.google.co.uk/scholar?q="Dynamic Service Execution in Sensor Networks"&amp;btnG=&amp;hl=en&amp;as_sdt=0,5</v>
      </c>
      <c r="R45" s="15">
        <f>VLOOKUP($O45,'x - paper citations'!$B$3:$E$2000,3,FALSE)</f>
        <v>14</v>
      </c>
      <c r="S45" s="15" t="str">
        <f>VLOOKUP($O45,'x - paper citations'!$B$3:$E$2000,4,FALSE)</f>
        <v>09/01/2016</v>
      </c>
      <c r="U45" s="80" t="str">
        <f>IF(ISNA(VLOOKUP($B45&amp;":"&amp;U$3,'x - authors'!$B$3:$E$10000,4,FALSE)),"",VLOOKUP($B45&amp;":"&amp;U$3,'x - authors'!$B$3:$E$10000,4,FALSE))</f>
        <v>lei_chen</v>
      </c>
      <c r="V45" s="80" t="str">
        <f>IF(ISNA(VLOOKUP($B45&amp;":"&amp;V$3,'x - authors'!$B$3:$E$10000,4,FALSE)),"",VLOOKUP($B45&amp;":"&amp;V$3,'x - authors'!$B$3:$E$10000,4,FALSE))</f>
        <v>zijian_wang</v>
      </c>
      <c r="W45" s="80" t="str">
        <f>IF(ISNA(VLOOKUP($B45&amp;":"&amp;W$3,'x - authors'!$B$3:$E$10000,4,FALSE)),"",VLOOKUP($B45&amp;":"&amp;W$3,'x - authors'!$B$3:$E$10000,4,FALSE))</f>
        <v>boleslaw_szymanski</v>
      </c>
      <c r="X45" s="80" t="str">
        <f>IF(ISNA(VLOOKUP($B45&amp;":"&amp;X$3,'x - authors'!$B$3:$E$10000,4,FALSE)),"",VLOOKUP($B45&amp;":"&amp;X$3,'x - authors'!$B$3:$E$10000,4,FALSE))</f>
        <v>joel_branch</v>
      </c>
      <c r="Y45" s="80" t="str">
        <f>IF(ISNA(VLOOKUP($B45&amp;":"&amp;Y$3,'x - authors'!$B$3:$E$10000,4,FALSE)),"",VLOOKUP($B45&amp;":"&amp;Y$3,'x - authors'!$B$3:$E$10000,4,FALSE))</f>
        <v>dinesh_verma</v>
      </c>
      <c r="Z45" s="80" t="str">
        <f>IF(ISNA(VLOOKUP($B45&amp;":"&amp;Z$3,'x - authors'!$B$3:$E$10000,4,FALSE)),"",VLOOKUP($B45&amp;":"&amp;Z$3,'x - authors'!$B$3:$E$10000,4,FALSE))</f>
        <v>raju_damarla</v>
      </c>
      <c r="AA45" s="80" t="str">
        <f>IF(ISNA(VLOOKUP($B45&amp;":"&amp;AA$3,'x - authors'!$B$3:$E$10000,4,FALSE)),"",VLOOKUP($B45&amp;":"&amp;AA$3,'x - authors'!$B$3:$E$10000,4,FALSE))</f>
        <v>john_ibbotson</v>
      </c>
      <c r="AB45" s="80" t="str">
        <f>IF(ISNA(VLOOKUP($B45&amp;":"&amp;AB$3,'x - authors'!$B$3:$E$10000,4,FALSE)),"",VLOOKUP($B45&amp;":"&amp;AB$3,'x - authors'!$B$3:$E$10000,4,FALSE))</f>
        <v/>
      </c>
      <c r="AC45" s="80" t="str">
        <f>IF(ISNA(VLOOKUP($B45&amp;":"&amp;AC$3,'x - authors'!$B$3:$E$10000,4,FALSE)),"",VLOOKUP($B45&amp;":"&amp;AC$3,'x - authors'!$B$3:$E$10000,4,FALSE))</f>
        <v/>
      </c>
      <c r="AD45" s="80" t="str">
        <f>IF(ISNA(VLOOKUP($B45&amp;":"&amp;AD$3,'x - authors'!$B$3:$E$10000,4,FALSE)),"",VLOOKUP($B45&amp;":"&amp;AD$3,'x - authors'!$B$3:$E$10000,4,FALSE))</f>
        <v/>
      </c>
      <c r="AE45" s="80" t="str">
        <f>IF(ISNA(VLOOKUP($B45&amp;":"&amp;AE$3,'x - authors'!$B$3:$E$10000,4,FALSE)),"",VLOOKUP($B45&amp;":"&amp;AE$3,'x - authors'!$B$3:$E$10000,4,FALSE))</f>
        <v/>
      </c>
      <c r="AF45" s="80" t="str">
        <f>IF(ISNA(VLOOKUP($B45&amp;":"&amp;AF$3,'x - authors'!$B$3:$E$10000,4,FALSE)),"",VLOOKUP($B45&amp;":"&amp;AF$3,'x - authors'!$B$3:$E$10000,4,FALSE))</f>
        <v/>
      </c>
      <c r="AG45" s="80" t="str">
        <f>IF(ISNA(VLOOKUP($B45&amp;":"&amp;AG$3,'x - authors'!$B$3:$E$10000,4,FALSE)),"",VLOOKUP($B45&amp;":"&amp;AG$3,'x - authors'!$B$3:$E$10000,4,FALSE))</f>
        <v/>
      </c>
      <c r="AH45" s="80" t="str">
        <f>IF(ISNA(VLOOKUP($B45&amp;":"&amp;AH$3,'x - authors'!$B$3:$E$10000,4,FALSE)),"",VLOOKUP($B45&amp;":"&amp;AH$3,'x - authors'!$B$3:$E$10000,4,FALSE))</f>
        <v/>
      </c>
      <c r="AI45" s="80" t="str">
        <f>IF(ISNA(VLOOKUP($B45&amp;":"&amp;AI$3,'x - authors'!$B$3:$E$10000,4,FALSE)),"",VLOOKUP($B45&amp;":"&amp;AI$3,'x - authors'!$B$3:$E$10000,4,FALSE))</f>
        <v/>
      </c>
    </row>
    <row r="46" spans="2:35">
      <c r="B46" s="65" t="s">
        <v>5769</v>
      </c>
      <c r="C46" s="65" t="s">
        <v>129</v>
      </c>
      <c r="D46" s="65" t="s">
        <v>5770</v>
      </c>
      <c r="E46" s="41" t="s">
        <v>967</v>
      </c>
      <c r="F46" s="65"/>
      <c r="G46" s="65"/>
      <c r="H46" s="65" t="s">
        <v>5771</v>
      </c>
      <c r="I46" s="65"/>
      <c r="J46" s="65" t="s">
        <v>5773</v>
      </c>
      <c r="K46" s="65"/>
      <c r="L46" s="65" t="s">
        <v>5774</v>
      </c>
      <c r="M46" s="65"/>
      <c r="N46" s="65"/>
      <c r="O46" s="15" t="str">
        <f t="shared" si="0"/>
        <v>citation:doc-1369-01</v>
      </c>
      <c r="Q46" s="15" t="str">
        <f>VLOOKUP($O46,'x - paper citations'!$B$3:$E$2000,2,FALSE)</f>
        <v>https://scholar.google.co.uk/scholar?q="Analyzing Team Decision-Making in Tactical Scenarios"&amp;btnG=&amp;hl=en&amp;as_sdt=0,5</v>
      </c>
      <c r="R46" s="15">
        <f>VLOOKUP($O46,'x - paper citations'!$B$3:$E$2000,3,FALSE)</f>
        <v>6</v>
      </c>
      <c r="S46" s="15" t="str">
        <f>VLOOKUP($O46,'x - paper citations'!$B$3:$E$2000,4,FALSE)</f>
        <v>09/01/2016</v>
      </c>
      <c r="U46" s="80" t="str">
        <f>IF(ISNA(VLOOKUP($B46&amp;":"&amp;U$3,'x - authors'!$B$3:$E$10000,4,FALSE)),"",VLOOKUP($B46&amp;":"&amp;U$3,'x - authors'!$B$3:$E$10000,4,FALSE))</f>
        <v>gita_sukthankar</v>
      </c>
      <c r="V46" s="80" t="str">
        <f>IF(ISNA(VLOOKUP($B46&amp;":"&amp;V$3,'x - authors'!$B$3:$E$10000,4,FALSE)),"",VLOOKUP($B46&amp;":"&amp;V$3,'x - authors'!$B$3:$E$10000,4,FALSE))</f>
        <v>katia_sycara</v>
      </c>
      <c r="W46" s="80" t="str">
        <f>IF(ISNA(VLOOKUP($B46&amp;":"&amp;W$3,'x - authors'!$B$3:$E$10000,4,FALSE)),"",VLOOKUP($B46&amp;":"&amp;W$3,'x - authors'!$B$3:$E$10000,4,FALSE))</f>
        <v/>
      </c>
      <c r="X46" s="80" t="str">
        <f>IF(ISNA(VLOOKUP($B46&amp;":"&amp;X$3,'x - authors'!$B$3:$E$10000,4,FALSE)),"",VLOOKUP($B46&amp;":"&amp;X$3,'x - authors'!$B$3:$E$10000,4,FALSE))</f>
        <v/>
      </c>
      <c r="Y46" s="80" t="str">
        <f>IF(ISNA(VLOOKUP($B46&amp;":"&amp;Y$3,'x - authors'!$B$3:$E$10000,4,FALSE)),"",VLOOKUP($B46&amp;":"&amp;Y$3,'x - authors'!$B$3:$E$10000,4,FALSE))</f>
        <v/>
      </c>
      <c r="Z46" s="80" t="str">
        <f>IF(ISNA(VLOOKUP($B46&amp;":"&amp;Z$3,'x - authors'!$B$3:$E$10000,4,FALSE)),"",VLOOKUP($B46&amp;":"&amp;Z$3,'x - authors'!$B$3:$E$10000,4,FALSE))</f>
        <v/>
      </c>
      <c r="AA46" s="80" t="str">
        <f>IF(ISNA(VLOOKUP($B46&amp;":"&amp;AA$3,'x - authors'!$B$3:$E$10000,4,FALSE)),"",VLOOKUP($B46&amp;":"&amp;AA$3,'x - authors'!$B$3:$E$10000,4,FALSE))</f>
        <v/>
      </c>
      <c r="AB46" s="80" t="str">
        <f>IF(ISNA(VLOOKUP($B46&amp;":"&amp;AB$3,'x - authors'!$B$3:$E$10000,4,FALSE)),"",VLOOKUP($B46&amp;":"&amp;AB$3,'x - authors'!$B$3:$E$10000,4,FALSE))</f>
        <v/>
      </c>
      <c r="AC46" s="80" t="str">
        <f>IF(ISNA(VLOOKUP($B46&amp;":"&amp;AC$3,'x - authors'!$B$3:$E$10000,4,FALSE)),"",VLOOKUP($B46&amp;":"&amp;AC$3,'x - authors'!$B$3:$E$10000,4,FALSE))</f>
        <v/>
      </c>
      <c r="AD46" s="80" t="str">
        <f>IF(ISNA(VLOOKUP($B46&amp;":"&amp;AD$3,'x - authors'!$B$3:$E$10000,4,FALSE)),"",VLOOKUP($B46&amp;":"&amp;AD$3,'x - authors'!$B$3:$E$10000,4,FALSE))</f>
        <v/>
      </c>
      <c r="AE46" s="80" t="str">
        <f>IF(ISNA(VLOOKUP($B46&amp;":"&amp;AE$3,'x - authors'!$B$3:$E$10000,4,FALSE)),"",VLOOKUP($B46&amp;":"&amp;AE$3,'x - authors'!$B$3:$E$10000,4,FALSE))</f>
        <v/>
      </c>
      <c r="AF46" s="80" t="str">
        <f>IF(ISNA(VLOOKUP($B46&amp;":"&amp;AF$3,'x - authors'!$B$3:$E$10000,4,FALSE)),"",VLOOKUP($B46&amp;":"&amp;AF$3,'x - authors'!$B$3:$E$10000,4,FALSE))</f>
        <v/>
      </c>
      <c r="AG46" s="80" t="str">
        <f>IF(ISNA(VLOOKUP($B46&amp;":"&amp;AG$3,'x - authors'!$B$3:$E$10000,4,FALSE)),"",VLOOKUP($B46&amp;":"&amp;AG$3,'x - authors'!$B$3:$E$10000,4,FALSE))</f>
        <v/>
      </c>
      <c r="AH46" s="80" t="str">
        <f>IF(ISNA(VLOOKUP($B46&amp;":"&amp;AH$3,'x - authors'!$B$3:$E$10000,4,FALSE)),"",VLOOKUP($B46&amp;":"&amp;AH$3,'x - authors'!$B$3:$E$10000,4,FALSE))</f>
        <v/>
      </c>
      <c r="AI46" s="80" t="str">
        <f>IF(ISNA(VLOOKUP($B46&amp;":"&amp;AI$3,'x - authors'!$B$3:$E$10000,4,FALSE)),"",VLOOKUP($B46&amp;":"&amp;AI$3,'x - authors'!$B$3:$E$10000,4,FALSE))</f>
        <v/>
      </c>
    </row>
    <row r="47" spans="2:35">
      <c r="B47" s="65" t="s">
        <v>5775</v>
      </c>
      <c r="C47" s="65" t="s">
        <v>129</v>
      </c>
      <c r="D47" s="65" t="s">
        <v>5776</v>
      </c>
      <c r="E47" s="41" t="s">
        <v>967</v>
      </c>
      <c r="F47" s="65"/>
      <c r="G47" s="65"/>
      <c r="H47" s="65" t="s">
        <v>5777</v>
      </c>
      <c r="I47" s="65"/>
      <c r="J47" s="65" t="s">
        <v>5779</v>
      </c>
      <c r="K47" s="65"/>
      <c r="L47" s="65" t="s">
        <v>5780</v>
      </c>
      <c r="M47" s="65"/>
      <c r="N47" s="65"/>
      <c r="O47" s="15" t="str">
        <f t="shared" si="0"/>
        <v>citation:doc-1370-01</v>
      </c>
      <c r="Q47" s="15" t="str">
        <f>VLOOKUP($O47,'x - paper citations'!$B$3:$E$2000,2,FALSE)</f>
        <v>https://scholar.google.co.uk/scholar?q="Probabilistic Approaches to Estimating the Quality of Information in Military Sensor Networks"&amp;btnG=&amp;hl=en&amp;as_sdt=0,5</v>
      </c>
      <c r="R47" s="15">
        <f>VLOOKUP($O47,'x - paper citations'!$B$3:$E$2000,3,FALSE)</f>
        <v>17</v>
      </c>
      <c r="S47" s="15" t="str">
        <f>VLOOKUP($O47,'x - paper citations'!$B$3:$E$2000,4,FALSE)</f>
        <v>09/01/2016</v>
      </c>
      <c r="U47" s="80" t="str">
        <f>IF(ISNA(VLOOKUP($B47&amp;":"&amp;U$3,'x - authors'!$B$3:$E$10000,4,FALSE)),"",VLOOKUP($B47&amp;":"&amp;U$3,'x - authors'!$B$3:$E$10000,4,FALSE))</f>
        <v>duncan_gillies</v>
      </c>
      <c r="V47" s="80" t="str">
        <f>IF(ISNA(VLOOKUP($B47&amp;":"&amp;V$3,'x - authors'!$B$3:$E$10000,4,FALSE)),"",VLOOKUP($B47&amp;":"&amp;V$3,'x - authors'!$B$3:$E$10000,4,FALSE))</f>
        <v>dave_thornley</v>
      </c>
      <c r="W47" s="80" t="str">
        <f>IF(ISNA(VLOOKUP($B47&amp;":"&amp;W$3,'x - authors'!$B$3:$E$10000,4,FALSE)),"",VLOOKUP($B47&amp;":"&amp;W$3,'x - authors'!$B$3:$E$10000,4,FALSE))</f>
        <v>chatschik_bisdikian</v>
      </c>
      <c r="X47" s="80" t="str">
        <f>IF(ISNA(VLOOKUP($B47&amp;":"&amp;X$3,'x - authors'!$B$3:$E$10000,4,FALSE)),"",VLOOKUP($B47&amp;":"&amp;X$3,'x - authors'!$B$3:$E$10000,4,FALSE))</f>
        <v/>
      </c>
      <c r="Y47" s="80" t="str">
        <f>IF(ISNA(VLOOKUP($B47&amp;":"&amp;Y$3,'x - authors'!$B$3:$E$10000,4,FALSE)),"",VLOOKUP($B47&amp;":"&amp;Y$3,'x - authors'!$B$3:$E$10000,4,FALSE))</f>
        <v/>
      </c>
      <c r="Z47" s="80" t="str">
        <f>IF(ISNA(VLOOKUP($B47&amp;":"&amp;Z$3,'x - authors'!$B$3:$E$10000,4,FALSE)),"",VLOOKUP($B47&amp;":"&amp;Z$3,'x - authors'!$B$3:$E$10000,4,FALSE))</f>
        <v/>
      </c>
      <c r="AA47" s="80" t="str">
        <f>IF(ISNA(VLOOKUP($B47&amp;":"&amp;AA$3,'x - authors'!$B$3:$E$10000,4,FALSE)),"",VLOOKUP($B47&amp;":"&amp;AA$3,'x - authors'!$B$3:$E$10000,4,FALSE))</f>
        <v/>
      </c>
      <c r="AB47" s="80" t="str">
        <f>IF(ISNA(VLOOKUP($B47&amp;":"&amp;AB$3,'x - authors'!$B$3:$E$10000,4,FALSE)),"",VLOOKUP($B47&amp;":"&amp;AB$3,'x - authors'!$B$3:$E$10000,4,FALSE))</f>
        <v/>
      </c>
      <c r="AC47" s="80" t="str">
        <f>IF(ISNA(VLOOKUP($B47&amp;":"&amp;AC$3,'x - authors'!$B$3:$E$10000,4,FALSE)),"",VLOOKUP($B47&amp;":"&amp;AC$3,'x - authors'!$B$3:$E$10000,4,FALSE))</f>
        <v/>
      </c>
      <c r="AD47" s="80" t="str">
        <f>IF(ISNA(VLOOKUP($B47&amp;":"&amp;AD$3,'x - authors'!$B$3:$E$10000,4,FALSE)),"",VLOOKUP($B47&amp;":"&amp;AD$3,'x - authors'!$B$3:$E$10000,4,FALSE))</f>
        <v/>
      </c>
      <c r="AE47" s="80" t="str">
        <f>IF(ISNA(VLOOKUP($B47&amp;":"&amp;AE$3,'x - authors'!$B$3:$E$10000,4,FALSE)),"",VLOOKUP($B47&amp;":"&amp;AE$3,'x - authors'!$B$3:$E$10000,4,FALSE))</f>
        <v/>
      </c>
      <c r="AF47" s="80" t="str">
        <f>IF(ISNA(VLOOKUP($B47&amp;":"&amp;AF$3,'x - authors'!$B$3:$E$10000,4,FALSE)),"",VLOOKUP($B47&amp;":"&amp;AF$3,'x - authors'!$B$3:$E$10000,4,FALSE))</f>
        <v/>
      </c>
      <c r="AG47" s="80" t="str">
        <f>IF(ISNA(VLOOKUP($B47&amp;":"&amp;AG$3,'x - authors'!$B$3:$E$10000,4,FALSE)),"",VLOOKUP($B47&amp;":"&amp;AG$3,'x - authors'!$B$3:$E$10000,4,FALSE))</f>
        <v/>
      </c>
      <c r="AH47" s="80" t="str">
        <f>IF(ISNA(VLOOKUP($B47&amp;":"&amp;AH$3,'x - authors'!$B$3:$E$10000,4,FALSE)),"",VLOOKUP($B47&amp;":"&amp;AH$3,'x - authors'!$B$3:$E$10000,4,FALSE))</f>
        <v/>
      </c>
      <c r="AI47" s="80" t="str">
        <f>IF(ISNA(VLOOKUP($B47&amp;":"&amp;AI$3,'x - authors'!$B$3:$E$10000,4,FALSE)),"",VLOOKUP($B47&amp;":"&amp;AI$3,'x - authors'!$B$3:$E$10000,4,FALSE))</f>
        <v/>
      </c>
    </row>
    <row r="48" spans="2:35">
      <c r="B48" s="65" t="s">
        <v>5781</v>
      </c>
      <c r="C48" s="65" t="s">
        <v>129</v>
      </c>
      <c r="D48" s="65" t="s">
        <v>5782</v>
      </c>
      <c r="E48" s="41" t="s">
        <v>967</v>
      </c>
      <c r="F48" s="65"/>
      <c r="G48" s="65"/>
      <c r="H48" s="65" t="s">
        <v>5783</v>
      </c>
      <c r="I48" s="65"/>
      <c r="J48" s="65" t="s">
        <v>5785</v>
      </c>
      <c r="K48" s="65"/>
      <c r="L48" s="65" t="s">
        <v>5786</v>
      </c>
      <c r="M48" s="65"/>
      <c r="N48" s="65"/>
      <c r="O48" s="15" t="str">
        <f t="shared" si="0"/>
        <v>citation:doc-1374-01</v>
      </c>
      <c r="Q48" s="15" t="str">
        <f>VLOOKUP($O48,'x - paper citations'!$B$3:$E$2000,2,FALSE)</f>
        <v>https://scholar.google.co.uk/scholar?q="CONTOUR: An Efficient Algorithm for Discovering Discriminating Subsequences"&amp;btnG=&amp;hl=en&amp;as_sdt=0,5</v>
      </c>
      <c r="R48" s="15">
        <f>VLOOKUP($O48,'x - paper citations'!$B$3:$E$2000,3,FALSE)</f>
        <v>11</v>
      </c>
      <c r="S48" s="15" t="str">
        <f>VLOOKUP($O48,'x - paper citations'!$B$3:$E$2000,4,FALSE)</f>
        <v>09/01/2016</v>
      </c>
      <c r="U48" s="80" t="str">
        <f>IF(ISNA(VLOOKUP($B48&amp;":"&amp;U$3,'x - authors'!$B$3:$E$10000,4,FALSE)),"",VLOOKUP($B48&amp;":"&amp;U$3,'x - authors'!$B$3:$E$10000,4,FALSE))</f>
        <v>jianyong_wang</v>
      </c>
      <c r="V48" s="80" t="str">
        <f>IF(ISNA(VLOOKUP($B48&amp;":"&amp;V$3,'x - authors'!$B$3:$E$10000,4,FALSE)),"",VLOOKUP($B48&amp;":"&amp;V$3,'x - authors'!$B$3:$E$10000,4,FALSE))</f>
        <v>yuzhou_zhang</v>
      </c>
      <c r="W48" s="80" t="str">
        <f>IF(ISNA(VLOOKUP($B48&amp;":"&amp;W$3,'x - authors'!$B$3:$E$10000,4,FALSE)),"",VLOOKUP($B48&amp;":"&amp;W$3,'x - authors'!$B$3:$E$10000,4,FALSE))</f>
        <v>lizhu_zhou</v>
      </c>
      <c r="X48" s="80" t="str">
        <f>IF(ISNA(VLOOKUP($B48&amp;":"&amp;X$3,'x - authors'!$B$3:$E$10000,4,FALSE)),"",VLOOKUP($B48&amp;":"&amp;X$3,'x - authors'!$B$3:$E$10000,4,FALSE))</f>
        <v>george_karypis</v>
      </c>
      <c r="Y48" s="80" t="str">
        <f>IF(ISNA(VLOOKUP($B48&amp;":"&amp;Y$3,'x - authors'!$B$3:$E$10000,4,FALSE)),"",VLOOKUP($B48&amp;":"&amp;Y$3,'x - authors'!$B$3:$E$10000,4,FALSE))</f>
        <v>charu_aggarwal</v>
      </c>
      <c r="Z48" s="80" t="str">
        <f>IF(ISNA(VLOOKUP($B48&amp;":"&amp;Z$3,'x - authors'!$B$3:$E$10000,4,FALSE)),"",VLOOKUP($B48&amp;":"&amp;Z$3,'x - authors'!$B$3:$E$10000,4,FALSE))</f>
        <v/>
      </c>
      <c r="AA48" s="80" t="str">
        <f>IF(ISNA(VLOOKUP($B48&amp;":"&amp;AA$3,'x - authors'!$B$3:$E$10000,4,FALSE)),"",VLOOKUP($B48&amp;":"&amp;AA$3,'x - authors'!$B$3:$E$10000,4,FALSE))</f>
        <v/>
      </c>
      <c r="AB48" s="80" t="str">
        <f>IF(ISNA(VLOOKUP($B48&amp;":"&amp;AB$3,'x - authors'!$B$3:$E$10000,4,FALSE)),"",VLOOKUP($B48&amp;":"&amp;AB$3,'x - authors'!$B$3:$E$10000,4,FALSE))</f>
        <v/>
      </c>
      <c r="AC48" s="80" t="str">
        <f>IF(ISNA(VLOOKUP($B48&amp;":"&amp;AC$3,'x - authors'!$B$3:$E$10000,4,FALSE)),"",VLOOKUP($B48&amp;":"&amp;AC$3,'x - authors'!$B$3:$E$10000,4,FALSE))</f>
        <v/>
      </c>
      <c r="AD48" s="80" t="str">
        <f>IF(ISNA(VLOOKUP($B48&amp;":"&amp;AD$3,'x - authors'!$B$3:$E$10000,4,FALSE)),"",VLOOKUP($B48&amp;":"&amp;AD$3,'x - authors'!$B$3:$E$10000,4,FALSE))</f>
        <v/>
      </c>
      <c r="AE48" s="80" t="str">
        <f>IF(ISNA(VLOOKUP($B48&amp;":"&amp;AE$3,'x - authors'!$B$3:$E$10000,4,FALSE)),"",VLOOKUP($B48&amp;":"&amp;AE$3,'x - authors'!$B$3:$E$10000,4,FALSE))</f>
        <v/>
      </c>
      <c r="AF48" s="80" t="str">
        <f>IF(ISNA(VLOOKUP($B48&amp;":"&amp;AF$3,'x - authors'!$B$3:$E$10000,4,FALSE)),"",VLOOKUP($B48&amp;":"&amp;AF$3,'x - authors'!$B$3:$E$10000,4,FALSE))</f>
        <v/>
      </c>
      <c r="AG48" s="80" t="str">
        <f>IF(ISNA(VLOOKUP($B48&amp;":"&amp;AG$3,'x - authors'!$B$3:$E$10000,4,FALSE)),"",VLOOKUP($B48&amp;":"&amp;AG$3,'x - authors'!$B$3:$E$10000,4,FALSE))</f>
        <v/>
      </c>
      <c r="AH48" s="80" t="str">
        <f>IF(ISNA(VLOOKUP($B48&amp;":"&amp;AH$3,'x - authors'!$B$3:$E$10000,4,FALSE)),"",VLOOKUP($B48&amp;":"&amp;AH$3,'x - authors'!$B$3:$E$10000,4,FALSE))</f>
        <v/>
      </c>
      <c r="AI48" s="80" t="str">
        <f>IF(ISNA(VLOOKUP($B48&amp;":"&amp;AI$3,'x - authors'!$B$3:$E$10000,4,FALSE)),"",VLOOKUP($B48&amp;":"&amp;AI$3,'x - authors'!$B$3:$E$10000,4,FALSE))</f>
        <v/>
      </c>
    </row>
    <row r="49" spans="2:35">
      <c r="B49" s="65" t="s">
        <v>5787</v>
      </c>
      <c r="C49" s="65" t="s">
        <v>129</v>
      </c>
      <c r="D49" s="65" t="s">
        <v>5788</v>
      </c>
      <c r="E49" s="41" t="s">
        <v>114</v>
      </c>
      <c r="F49" s="65"/>
      <c r="G49" s="65"/>
      <c r="H49" s="65" t="s">
        <v>5789</v>
      </c>
      <c r="I49" s="65"/>
      <c r="J49" s="65" t="s">
        <v>5791</v>
      </c>
      <c r="K49" s="65"/>
      <c r="L49" s="65" t="s">
        <v>5792</v>
      </c>
      <c r="M49" s="65"/>
      <c r="N49" s="65"/>
      <c r="O49" s="15" t="str">
        <f t="shared" si="0"/>
        <v>citation:doc-1375-01</v>
      </c>
      <c r="Q49" s="15" t="str">
        <f>VLOOKUP($O49,'x - paper citations'!$B$3:$E$2000,2,FALSE)</f>
        <v>https://scholar.google.co.uk/scholar?q="Efficient Peer-to-peer File Sharing using Network Coding in MANET"&amp;btnG=&amp;hl=en&amp;as_sdt=0,5</v>
      </c>
      <c r="R49" s="15">
        <f>VLOOKUP($O49,'x - paper citations'!$B$3:$E$2000,3,FALSE)</f>
        <v>29</v>
      </c>
      <c r="S49" s="15" t="str">
        <f>VLOOKUP($O49,'x - paper citations'!$B$3:$E$2000,4,FALSE)</f>
        <v>09/01/2016</v>
      </c>
      <c r="U49" s="80" t="str">
        <f>IF(ISNA(VLOOKUP($B49&amp;":"&amp;U$3,'x - authors'!$B$3:$E$10000,4,FALSE)),"",VLOOKUP($B49&amp;":"&amp;U$3,'x - authors'!$B$3:$E$10000,4,FALSE))</f>
        <v>uichin_lee</v>
      </c>
      <c r="V49" s="80" t="str">
        <f>IF(ISNA(VLOOKUP($B49&amp;":"&amp;V$3,'x - authors'!$B$3:$E$10000,4,FALSE)),"",VLOOKUP($B49&amp;":"&amp;V$3,'x - authors'!$B$3:$E$10000,4,FALSE))</f>
        <v>joon-sang_park</v>
      </c>
      <c r="W49" s="80" t="str">
        <f>IF(ISNA(VLOOKUP($B49&amp;":"&amp;W$3,'x - authors'!$B$3:$E$10000,4,FALSE)),"",VLOOKUP($B49&amp;":"&amp;W$3,'x - authors'!$B$3:$E$10000,4,FALSE))</f>
        <v>seung-hoon_lee</v>
      </c>
      <c r="X49" s="80" t="str">
        <f>IF(ISNA(VLOOKUP($B49&amp;":"&amp;X$3,'x - authors'!$B$3:$E$10000,4,FALSE)),"",VLOOKUP($B49&amp;":"&amp;X$3,'x - authors'!$B$3:$E$10000,4,FALSE))</f>
        <v>won_ro</v>
      </c>
      <c r="Y49" s="80" t="str">
        <f>IF(ISNA(VLOOKUP($B49&amp;":"&amp;Y$3,'x - authors'!$B$3:$E$10000,4,FALSE)),"",VLOOKUP($B49&amp;":"&amp;Y$3,'x - authors'!$B$3:$E$10000,4,FALSE))</f>
        <v>giovanni_pau</v>
      </c>
      <c r="Z49" s="80" t="str">
        <f>IF(ISNA(VLOOKUP($B49&amp;":"&amp;Z$3,'x - authors'!$B$3:$E$10000,4,FALSE)),"",VLOOKUP($B49&amp;":"&amp;Z$3,'x - authors'!$B$3:$E$10000,4,FALSE))</f>
        <v>mario_gerla</v>
      </c>
      <c r="AA49" s="80" t="str">
        <f>IF(ISNA(VLOOKUP($B49&amp;":"&amp;AA$3,'x - authors'!$B$3:$E$10000,4,FALSE)),"",VLOOKUP($B49&amp;":"&amp;AA$3,'x - authors'!$B$3:$E$10000,4,FALSE))</f>
        <v/>
      </c>
      <c r="AB49" s="80" t="str">
        <f>IF(ISNA(VLOOKUP($B49&amp;":"&amp;AB$3,'x - authors'!$B$3:$E$10000,4,FALSE)),"",VLOOKUP($B49&amp;":"&amp;AB$3,'x - authors'!$B$3:$E$10000,4,FALSE))</f>
        <v/>
      </c>
      <c r="AC49" s="80" t="str">
        <f>IF(ISNA(VLOOKUP($B49&amp;":"&amp;AC$3,'x - authors'!$B$3:$E$10000,4,FALSE)),"",VLOOKUP($B49&amp;":"&amp;AC$3,'x - authors'!$B$3:$E$10000,4,FALSE))</f>
        <v/>
      </c>
      <c r="AD49" s="80" t="str">
        <f>IF(ISNA(VLOOKUP($B49&amp;":"&amp;AD$3,'x - authors'!$B$3:$E$10000,4,FALSE)),"",VLOOKUP($B49&amp;":"&amp;AD$3,'x - authors'!$B$3:$E$10000,4,FALSE))</f>
        <v/>
      </c>
      <c r="AE49" s="80" t="str">
        <f>IF(ISNA(VLOOKUP($B49&amp;":"&amp;AE$3,'x - authors'!$B$3:$E$10000,4,FALSE)),"",VLOOKUP($B49&amp;":"&amp;AE$3,'x - authors'!$B$3:$E$10000,4,FALSE))</f>
        <v/>
      </c>
      <c r="AF49" s="80" t="str">
        <f>IF(ISNA(VLOOKUP($B49&amp;":"&amp;AF$3,'x - authors'!$B$3:$E$10000,4,FALSE)),"",VLOOKUP($B49&amp;":"&amp;AF$3,'x - authors'!$B$3:$E$10000,4,FALSE))</f>
        <v/>
      </c>
      <c r="AG49" s="80" t="str">
        <f>IF(ISNA(VLOOKUP($B49&amp;":"&amp;AG$3,'x - authors'!$B$3:$E$10000,4,FALSE)),"",VLOOKUP($B49&amp;":"&amp;AG$3,'x - authors'!$B$3:$E$10000,4,FALSE))</f>
        <v/>
      </c>
      <c r="AH49" s="80" t="str">
        <f>IF(ISNA(VLOOKUP($B49&amp;":"&amp;AH$3,'x - authors'!$B$3:$E$10000,4,FALSE)),"",VLOOKUP($B49&amp;":"&amp;AH$3,'x - authors'!$B$3:$E$10000,4,FALSE))</f>
        <v/>
      </c>
      <c r="AI49" s="80" t="str">
        <f>IF(ISNA(VLOOKUP($B49&amp;":"&amp;AI$3,'x - authors'!$B$3:$E$10000,4,FALSE)),"",VLOOKUP($B49&amp;":"&amp;AI$3,'x - authors'!$B$3:$E$10000,4,FALSE))</f>
        <v/>
      </c>
    </row>
    <row r="50" spans="2:35">
      <c r="B50" s="65" t="s">
        <v>5793</v>
      </c>
      <c r="C50" s="65" t="s">
        <v>129</v>
      </c>
      <c r="D50" s="65" t="s">
        <v>5794</v>
      </c>
      <c r="E50" s="41" t="s">
        <v>962</v>
      </c>
      <c r="F50" s="65"/>
      <c r="G50" s="65"/>
      <c r="H50" s="65" t="s">
        <v>5795</v>
      </c>
      <c r="I50" s="65"/>
      <c r="J50" s="65" t="s">
        <v>5798</v>
      </c>
      <c r="K50" s="65"/>
      <c r="L50" s="65" t="s">
        <v>5799</v>
      </c>
      <c r="M50" s="65"/>
      <c r="N50" s="65"/>
      <c r="O50" s="15" t="str">
        <f t="shared" si="0"/>
        <v>citation:doc-1376-01</v>
      </c>
      <c r="Q50" s="15" t="str">
        <f>VLOOKUP($O50,'x - paper citations'!$B$3:$E$2000,2,FALSE)</f>
        <v>https://scholar.google.co.uk/scholar?q="Normative Conflict Resolution in Multi-Agent Systems"&amp;btnG=&amp;hl=en&amp;as_sdt=0,5</v>
      </c>
      <c r="R50" s="15">
        <f>VLOOKUP($O50,'x - paper citations'!$B$3:$E$2000,3,FALSE)</f>
        <v>76</v>
      </c>
      <c r="S50" s="15" t="str">
        <f>VLOOKUP($O50,'x - paper citations'!$B$3:$E$2000,4,FALSE)</f>
        <v>09/01/2016</v>
      </c>
      <c r="U50" s="80" t="str">
        <f>IF(ISNA(VLOOKUP($B50&amp;":"&amp;U$3,'x - authors'!$B$3:$E$10000,4,FALSE)),"",VLOOKUP($B50&amp;":"&amp;U$3,'x - authors'!$B$3:$E$10000,4,FALSE))</f>
        <v>wamberto_vasconcelos</v>
      </c>
      <c r="V50" s="80" t="str">
        <f>IF(ISNA(VLOOKUP($B50&amp;":"&amp;V$3,'x - authors'!$B$3:$E$10000,4,FALSE)),"",VLOOKUP($B50&amp;":"&amp;V$3,'x - authors'!$B$3:$E$10000,4,FALSE))</f>
        <v>martin_kollingbaum</v>
      </c>
      <c r="W50" s="80" t="str">
        <f>IF(ISNA(VLOOKUP($B50&amp;":"&amp;W$3,'x - authors'!$B$3:$E$10000,4,FALSE)),"",VLOOKUP($B50&amp;":"&amp;W$3,'x - authors'!$B$3:$E$10000,4,FALSE))</f>
        <v>timothy_norman</v>
      </c>
      <c r="X50" s="80" t="str">
        <f>IF(ISNA(VLOOKUP($B50&amp;":"&amp;X$3,'x - authors'!$B$3:$E$10000,4,FALSE)),"",VLOOKUP($B50&amp;":"&amp;X$3,'x - authors'!$B$3:$E$10000,4,FALSE))</f>
        <v/>
      </c>
      <c r="Y50" s="80" t="str">
        <f>IF(ISNA(VLOOKUP($B50&amp;":"&amp;Y$3,'x - authors'!$B$3:$E$10000,4,FALSE)),"",VLOOKUP($B50&amp;":"&amp;Y$3,'x - authors'!$B$3:$E$10000,4,FALSE))</f>
        <v/>
      </c>
      <c r="Z50" s="80" t="str">
        <f>IF(ISNA(VLOOKUP($B50&amp;":"&amp;Z$3,'x - authors'!$B$3:$E$10000,4,FALSE)),"",VLOOKUP($B50&amp;":"&amp;Z$3,'x - authors'!$B$3:$E$10000,4,FALSE))</f>
        <v/>
      </c>
      <c r="AA50" s="80" t="str">
        <f>IF(ISNA(VLOOKUP($B50&amp;":"&amp;AA$3,'x - authors'!$B$3:$E$10000,4,FALSE)),"",VLOOKUP($B50&amp;":"&amp;AA$3,'x - authors'!$B$3:$E$10000,4,FALSE))</f>
        <v/>
      </c>
      <c r="AB50" s="80" t="str">
        <f>IF(ISNA(VLOOKUP($B50&amp;":"&amp;AB$3,'x - authors'!$B$3:$E$10000,4,FALSE)),"",VLOOKUP($B50&amp;":"&amp;AB$3,'x - authors'!$B$3:$E$10000,4,FALSE))</f>
        <v/>
      </c>
      <c r="AC50" s="80" t="str">
        <f>IF(ISNA(VLOOKUP($B50&amp;":"&amp;AC$3,'x - authors'!$B$3:$E$10000,4,FALSE)),"",VLOOKUP($B50&amp;":"&amp;AC$3,'x - authors'!$B$3:$E$10000,4,FALSE))</f>
        <v/>
      </c>
      <c r="AD50" s="80" t="str">
        <f>IF(ISNA(VLOOKUP($B50&amp;":"&amp;AD$3,'x - authors'!$B$3:$E$10000,4,FALSE)),"",VLOOKUP($B50&amp;":"&amp;AD$3,'x - authors'!$B$3:$E$10000,4,FALSE))</f>
        <v/>
      </c>
      <c r="AE50" s="80" t="str">
        <f>IF(ISNA(VLOOKUP($B50&amp;":"&amp;AE$3,'x - authors'!$B$3:$E$10000,4,FALSE)),"",VLOOKUP($B50&amp;":"&amp;AE$3,'x - authors'!$B$3:$E$10000,4,FALSE))</f>
        <v/>
      </c>
      <c r="AF50" s="80" t="str">
        <f>IF(ISNA(VLOOKUP($B50&amp;":"&amp;AF$3,'x - authors'!$B$3:$E$10000,4,FALSE)),"",VLOOKUP($B50&amp;":"&amp;AF$3,'x - authors'!$B$3:$E$10000,4,FALSE))</f>
        <v/>
      </c>
      <c r="AG50" s="80" t="str">
        <f>IF(ISNA(VLOOKUP($B50&amp;":"&amp;AG$3,'x - authors'!$B$3:$E$10000,4,FALSE)),"",VLOOKUP($B50&amp;":"&amp;AG$3,'x - authors'!$B$3:$E$10000,4,FALSE))</f>
        <v/>
      </c>
      <c r="AH50" s="80" t="str">
        <f>IF(ISNA(VLOOKUP($B50&amp;":"&amp;AH$3,'x - authors'!$B$3:$E$10000,4,FALSE)),"",VLOOKUP($B50&amp;":"&amp;AH$3,'x - authors'!$B$3:$E$10000,4,FALSE))</f>
        <v/>
      </c>
      <c r="AI50" s="80" t="str">
        <f>IF(ISNA(VLOOKUP($B50&amp;":"&amp;AI$3,'x - authors'!$B$3:$E$10000,4,FALSE)),"",VLOOKUP($B50&amp;":"&amp;AI$3,'x - authors'!$B$3:$E$10000,4,FALSE))</f>
        <v/>
      </c>
    </row>
    <row r="51" spans="2:35">
      <c r="B51" s="65" t="s">
        <v>5800</v>
      </c>
      <c r="C51" s="65" t="s">
        <v>129</v>
      </c>
      <c r="D51" s="65" t="s">
        <v>5801</v>
      </c>
      <c r="E51" s="41" t="s">
        <v>959</v>
      </c>
      <c r="F51" s="65"/>
      <c r="G51" s="65"/>
      <c r="H51" s="65" t="s">
        <v>5802</v>
      </c>
      <c r="I51" s="65"/>
      <c r="J51" s="65" t="s">
        <v>5804</v>
      </c>
      <c r="K51" s="65"/>
      <c r="L51" s="65" t="s">
        <v>5805</v>
      </c>
      <c r="M51" s="65" t="s">
        <v>5806</v>
      </c>
      <c r="N51" s="65"/>
      <c r="O51" s="15" t="str">
        <f t="shared" si="0"/>
        <v>citation:doc-1378-01</v>
      </c>
      <c r="Q51" s="15" t="str">
        <f>VLOOKUP($O51,'x - paper citations'!$B$3:$E$2000,2,FALSE)</f>
        <v>https://scholar.google.co.uk/scholar?q="On the Study of Network Coded AF Transmission Protocol for Wireless Multiple Access Channels"&amp;btnG=&amp;hl=en&amp;as_sdt=0,5</v>
      </c>
      <c r="R51" s="15">
        <f>VLOOKUP($O51,'x - paper citations'!$B$3:$E$2000,3,FALSE)</f>
        <v>22</v>
      </c>
      <c r="S51" s="15" t="str">
        <f>VLOOKUP($O51,'x - paper citations'!$B$3:$E$2000,4,FALSE)</f>
        <v>11/02/2016</v>
      </c>
      <c r="U51" s="80" t="str">
        <f>IF(ISNA(VLOOKUP($B51&amp;":"&amp;U$3,'x - authors'!$B$3:$E$10000,4,FALSE)),"",VLOOKUP($B51&amp;":"&amp;U$3,'x - authors'!$B$3:$E$10000,4,FALSE))</f>
        <v>zhiguo_ding</v>
      </c>
      <c r="V51" s="80" t="str">
        <f>IF(ISNA(VLOOKUP($B51&amp;":"&amp;V$3,'x - authors'!$B$3:$E$10000,4,FALSE)),"",VLOOKUP($B51&amp;":"&amp;V$3,'x - authors'!$B$3:$E$10000,4,FALSE))</f>
        <v>tharmalingam_ratnarajah</v>
      </c>
      <c r="W51" s="80" t="str">
        <f>IF(ISNA(VLOOKUP($B51&amp;":"&amp;W$3,'x - authors'!$B$3:$E$10000,4,FALSE)),"",VLOOKUP($B51&amp;":"&amp;W$3,'x - authors'!$B$3:$E$10000,4,FALSE))</f>
        <v>kin_leung</v>
      </c>
      <c r="X51" s="80" t="str">
        <f>IF(ISNA(VLOOKUP($B51&amp;":"&amp;X$3,'x - authors'!$B$3:$E$10000,4,FALSE)),"",VLOOKUP($B51&amp;":"&amp;X$3,'x - authors'!$B$3:$E$10000,4,FALSE))</f>
        <v/>
      </c>
      <c r="Y51" s="80" t="str">
        <f>IF(ISNA(VLOOKUP($B51&amp;":"&amp;Y$3,'x - authors'!$B$3:$E$10000,4,FALSE)),"",VLOOKUP($B51&amp;":"&amp;Y$3,'x - authors'!$B$3:$E$10000,4,FALSE))</f>
        <v/>
      </c>
      <c r="Z51" s="80" t="str">
        <f>IF(ISNA(VLOOKUP($B51&amp;":"&amp;Z$3,'x - authors'!$B$3:$E$10000,4,FALSE)),"",VLOOKUP($B51&amp;":"&amp;Z$3,'x - authors'!$B$3:$E$10000,4,FALSE))</f>
        <v/>
      </c>
      <c r="AA51" s="80" t="str">
        <f>IF(ISNA(VLOOKUP($B51&amp;":"&amp;AA$3,'x - authors'!$B$3:$E$10000,4,FALSE)),"",VLOOKUP($B51&amp;":"&amp;AA$3,'x - authors'!$B$3:$E$10000,4,FALSE))</f>
        <v/>
      </c>
      <c r="AB51" s="80" t="str">
        <f>IF(ISNA(VLOOKUP($B51&amp;":"&amp;AB$3,'x - authors'!$B$3:$E$10000,4,FALSE)),"",VLOOKUP($B51&amp;":"&amp;AB$3,'x - authors'!$B$3:$E$10000,4,FALSE))</f>
        <v/>
      </c>
      <c r="AC51" s="80" t="str">
        <f>IF(ISNA(VLOOKUP($B51&amp;":"&amp;AC$3,'x - authors'!$B$3:$E$10000,4,FALSE)),"",VLOOKUP($B51&amp;":"&amp;AC$3,'x - authors'!$B$3:$E$10000,4,FALSE))</f>
        <v/>
      </c>
      <c r="AD51" s="80" t="str">
        <f>IF(ISNA(VLOOKUP($B51&amp;":"&amp;AD$3,'x - authors'!$B$3:$E$10000,4,FALSE)),"",VLOOKUP($B51&amp;":"&amp;AD$3,'x - authors'!$B$3:$E$10000,4,FALSE))</f>
        <v/>
      </c>
      <c r="AE51" s="80" t="str">
        <f>IF(ISNA(VLOOKUP($B51&amp;":"&amp;AE$3,'x - authors'!$B$3:$E$10000,4,FALSE)),"",VLOOKUP($B51&amp;":"&amp;AE$3,'x - authors'!$B$3:$E$10000,4,FALSE))</f>
        <v/>
      </c>
      <c r="AF51" s="80" t="str">
        <f>IF(ISNA(VLOOKUP($B51&amp;":"&amp;AF$3,'x - authors'!$B$3:$E$10000,4,FALSE)),"",VLOOKUP($B51&amp;":"&amp;AF$3,'x - authors'!$B$3:$E$10000,4,FALSE))</f>
        <v/>
      </c>
      <c r="AG51" s="80" t="str">
        <f>IF(ISNA(VLOOKUP($B51&amp;":"&amp;AG$3,'x - authors'!$B$3:$E$10000,4,FALSE)),"",VLOOKUP($B51&amp;":"&amp;AG$3,'x - authors'!$B$3:$E$10000,4,FALSE))</f>
        <v/>
      </c>
      <c r="AH51" s="80" t="str">
        <f>IF(ISNA(VLOOKUP($B51&amp;":"&amp;AH$3,'x - authors'!$B$3:$E$10000,4,FALSE)),"",VLOOKUP($B51&amp;":"&amp;AH$3,'x - authors'!$B$3:$E$10000,4,FALSE))</f>
        <v/>
      </c>
      <c r="AI51" s="80" t="str">
        <f>IF(ISNA(VLOOKUP($B51&amp;":"&amp;AI$3,'x - authors'!$B$3:$E$10000,4,FALSE)),"",VLOOKUP($B51&amp;":"&amp;AI$3,'x - authors'!$B$3:$E$10000,4,FALSE))</f>
        <v/>
      </c>
    </row>
    <row r="52" spans="2:35">
      <c r="B52" s="65" t="s">
        <v>5807</v>
      </c>
      <c r="C52" s="65" t="s">
        <v>129</v>
      </c>
      <c r="D52" s="65" t="s">
        <v>5808</v>
      </c>
      <c r="E52" s="41" t="s">
        <v>945</v>
      </c>
      <c r="F52" s="65"/>
      <c r="G52" s="65"/>
      <c r="H52" s="65" t="s">
        <v>5809</v>
      </c>
      <c r="I52" s="65"/>
      <c r="J52" s="65" t="s">
        <v>5811</v>
      </c>
      <c r="K52" s="65"/>
      <c r="L52" s="65" t="s">
        <v>5812</v>
      </c>
      <c r="M52" s="65"/>
      <c r="N52" s="65"/>
      <c r="O52" s="15" t="str">
        <f t="shared" si="0"/>
        <v>citation:doc-1381a-01</v>
      </c>
      <c r="Q52" s="15" t="str">
        <f>VLOOKUP($O52,'x - paper citations'!$B$3:$E$2000,2,FALSE)</f>
        <v>https://scholar.google.co.uk/scholar?q="Distributed beamforming and power allocation for cooperative networks"&amp;btnG=&amp;hl=en&amp;as_sdt=0,5</v>
      </c>
      <c r="R52" s="15">
        <f>VLOOKUP($O52,'x - paper citations'!$B$3:$E$2000,3,FALSE)</f>
        <v>104</v>
      </c>
      <c r="S52" s="15" t="str">
        <f>VLOOKUP($O52,'x - paper citations'!$B$3:$E$2000,4,FALSE)</f>
        <v>15/02/2016</v>
      </c>
      <c r="U52" s="80" t="str">
        <f>IF(ISNA(VLOOKUP($B52&amp;":"&amp;U$3,'x - authors'!$B$3:$E$10000,4,FALSE)),"",VLOOKUP($B52&amp;":"&amp;U$3,'x - authors'!$B$3:$E$10000,4,FALSE))</f>
        <v>zhiguo_ding</v>
      </c>
      <c r="V52" s="80" t="str">
        <f>IF(ISNA(VLOOKUP($B52&amp;":"&amp;V$3,'x - authors'!$B$3:$E$10000,4,FALSE)),"",VLOOKUP($B52&amp;":"&amp;V$3,'x - authors'!$B$3:$E$10000,4,FALSE))</f>
        <v>woon_hau_chin</v>
      </c>
      <c r="W52" s="80" t="str">
        <f>IF(ISNA(VLOOKUP($B52&amp;":"&amp;W$3,'x - authors'!$B$3:$E$10000,4,FALSE)),"",VLOOKUP($B52&amp;":"&amp;W$3,'x - authors'!$B$3:$E$10000,4,FALSE))</f>
        <v>kin_leung</v>
      </c>
      <c r="X52" s="80" t="str">
        <f>IF(ISNA(VLOOKUP($B52&amp;":"&amp;X$3,'x - authors'!$B$3:$E$10000,4,FALSE)),"",VLOOKUP($B52&amp;":"&amp;X$3,'x - authors'!$B$3:$E$10000,4,FALSE))</f>
        <v/>
      </c>
      <c r="Y52" s="80" t="str">
        <f>IF(ISNA(VLOOKUP($B52&amp;":"&amp;Y$3,'x - authors'!$B$3:$E$10000,4,FALSE)),"",VLOOKUP($B52&amp;":"&amp;Y$3,'x - authors'!$B$3:$E$10000,4,FALSE))</f>
        <v/>
      </c>
      <c r="Z52" s="80" t="str">
        <f>IF(ISNA(VLOOKUP($B52&amp;":"&amp;Z$3,'x - authors'!$B$3:$E$10000,4,FALSE)),"",VLOOKUP($B52&amp;":"&amp;Z$3,'x - authors'!$B$3:$E$10000,4,FALSE))</f>
        <v/>
      </c>
      <c r="AA52" s="80" t="str">
        <f>IF(ISNA(VLOOKUP($B52&amp;":"&amp;AA$3,'x - authors'!$B$3:$E$10000,4,FALSE)),"",VLOOKUP($B52&amp;":"&amp;AA$3,'x - authors'!$B$3:$E$10000,4,FALSE))</f>
        <v/>
      </c>
      <c r="AB52" s="80" t="str">
        <f>IF(ISNA(VLOOKUP($B52&amp;":"&amp;AB$3,'x - authors'!$B$3:$E$10000,4,FALSE)),"",VLOOKUP($B52&amp;":"&amp;AB$3,'x - authors'!$B$3:$E$10000,4,FALSE))</f>
        <v/>
      </c>
      <c r="AC52" s="80" t="str">
        <f>IF(ISNA(VLOOKUP($B52&amp;":"&amp;AC$3,'x - authors'!$B$3:$E$10000,4,FALSE)),"",VLOOKUP($B52&amp;":"&amp;AC$3,'x - authors'!$B$3:$E$10000,4,FALSE))</f>
        <v/>
      </c>
      <c r="AD52" s="80" t="str">
        <f>IF(ISNA(VLOOKUP($B52&amp;":"&amp;AD$3,'x - authors'!$B$3:$E$10000,4,FALSE)),"",VLOOKUP($B52&amp;":"&amp;AD$3,'x - authors'!$B$3:$E$10000,4,FALSE))</f>
        <v/>
      </c>
      <c r="AE52" s="80" t="str">
        <f>IF(ISNA(VLOOKUP($B52&amp;":"&amp;AE$3,'x - authors'!$B$3:$E$10000,4,FALSE)),"",VLOOKUP($B52&amp;":"&amp;AE$3,'x - authors'!$B$3:$E$10000,4,FALSE))</f>
        <v/>
      </c>
      <c r="AF52" s="80" t="str">
        <f>IF(ISNA(VLOOKUP($B52&amp;":"&amp;AF$3,'x - authors'!$B$3:$E$10000,4,FALSE)),"",VLOOKUP($B52&amp;":"&amp;AF$3,'x - authors'!$B$3:$E$10000,4,FALSE))</f>
        <v/>
      </c>
      <c r="AG52" s="80" t="str">
        <f>IF(ISNA(VLOOKUP($B52&amp;":"&amp;AG$3,'x - authors'!$B$3:$E$10000,4,FALSE)),"",VLOOKUP($B52&amp;":"&amp;AG$3,'x - authors'!$B$3:$E$10000,4,FALSE))</f>
        <v/>
      </c>
      <c r="AH52" s="80" t="str">
        <f>IF(ISNA(VLOOKUP($B52&amp;":"&amp;AH$3,'x - authors'!$B$3:$E$10000,4,FALSE)),"",VLOOKUP($B52&amp;":"&amp;AH$3,'x - authors'!$B$3:$E$10000,4,FALSE))</f>
        <v/>
      </c>
      <c r="AI52" s="80" t="str">
        <f>IF(ISNA(VLOOKUP($B52&amp;":"&amp;AI$3,'x - authors'!$B$3:$E$10000,4,FALSE)),"",VLOOKUP($B52&amp;":"&amp;AI$3,'x - authors'!$B$3:$E$10000,4,FALSE))</f>
        <v/>
      </c>
    </row>
    <row r="53" spans="2:35">
      <c r="B53" s="65" t="s">
        <v>5813</v>
      </c>
      <c r="C53" s="65" t="s">
        <v>129</v>
      </c>
      <c r="D53" s="65" t="s">
        <v>5814</v>
      </c>
      <c r="E53" s="41" t="s">
        <v>945</v>
      </c>
      <c r="F53" s="65"/>
      <c r="G53" s="65"/>
      <c r="H53" s="65" t="s">
        <v>5815</v>
      </c>
      <c r="I53" s="65"/>
      <c r="J53" s="65" t="s">
        <v>5817</v>
      </c>
      <c r="K53" s="65"/>
      <c r="L53" s="65" t="s">
        <v>5818</v>
      </c>
      <c r="M53" s="65"/>
      <c r="N53" s="65"/>
      <c r="O53" s="15" t="str">
        <f t="shared" si="0"/>
        <v>citation:doc-1382a-01</v>
      </c>
      <c r="Q53" s="15" t="str">
        <f>VLOOKUP($O53,'x - paper citations'!$B$3:$E$2000,2,FALSE)</f>
        <v>https://scholar.google.co.uk/scholar?q="Bio-inspired Multi-Agent Data Harvesting in a Proactive Urban Monitoring Environment"&amp;btnG=&amp;hl=en&amp;as_sdt=0,5</v>
      </c>
      <c r="R53" s="15">
        <f>VLOOKUP($O53,'x - paper citations'!$B$3:$E$2000,3,FALSE)</f>
        <v>43</v>
      </c>
      <c r="S53" s="15" t="str">
        <f>VLOOKUP($O53,'x - paper citations'!$B$3:$E$2000,4,FALSE)</f>
        <v>09/01/2016</v>
      </c>
      <c r="U53" s="80" t="str">
        <f>IF(ISNA(VLOOKUP($B53&amp;":"&amp;U$3,'x - authors'!$B$3:$E$10000,4,FALSE)),"",VLOOKUP($B53&amp;":"&amp;U$3,'x - authors'!$B$3:$E$10000,4,FALSE))</f>
        <v>uichin_lee</v>
      </c>
      <c r="V53" s="80" t="str">
        <f>IF(ISNA(VLOOKUP($B53&amp;":"&amp;V$3,'x - authors'!$B$3:$E$10000,4,FALSE)),"",VLOOKUP($B53&amp;":"&amp;V$3,'x - authors'!$B$3:$E$10000,4,FALSE))</f>
        <v>eugenio_magistretti</v>
      </c>
      <c r="W53" s="80" t="str">
        <f>IF(ISNA(VLOOKUP($B53&amp;":"&amp;W$3,'x - authors'!$B$3:$E$10000,4,FALSE)),"",VLOOKUP($B53&amp;":"&amp;W$3,'x - authors'!$B$3:$E$10000,4,FALSE))</f>
        <v>mario_gerla</v>
      </c>
      <c r="X53" s="80" t="str">
        <f>IF(ISNA(VLOOKUP($B53&amp;":"&amp;X$3,'x - authors'!$B$3:$E$10000,4,FALSE)),"",VLOOKUP($B53&amp;":"&amp;X$3,'x - authors'!$B$3:$E$10000,4,FALSE))</f>
        <v>paolo_bellavista</v>
      </c>
      <c r="Y53" s="80" t="str">
        <f>IF(ISNA(VLOOKUP($B53&amp;":"&amp;Y$3,'x - authors'!$B$3:$E$10000,4,FALSE)),"",VLOOKUP($B53&amp;":"&amp;Y$3,'x - authors'!$B$3:$E$10000,4,FALSE))</f>
        <v>pietro_lio</v>
      </c>
      <c r="Z53" s="80" t="str">
        <f>IF(ISNA(VLOOKUP($B53&amp;":"&amp;Z$3,'x - authors'!$B$3:$E$10000,4,FALSE)),"",VLOOKUP($B53&amp;":"&amp;Z$3,'x - authors'!$B$3:$E$10000,4,FALSE))</f>
        <v>kang_won_lee</v>
      </c>
      <c r="AA53" s="80" t="str">
        <f>IF(ISNA(VLOOKUP($B53&amp;":"&amp;AA$3,'x - authors'!$B$3:$E$10000,4,FALSE)),"",VLOOKUP($B53&amp;":"&amp;AA$3,'x - authors'!$B$3:$E$10000,4,FALSE))</f>
        <v/>
      </c>
      <c r="AB53" s="80" t="str">
        <f>IF(ISNA(VLOOKUP($B53&amp;":"&amp;AB$3,'x - authors'!$B$3:$E$10000,4,FALSE)),"",VLOOKUP($B53&amp;":"&amp;AB$3,'x - authors'!$B$3:$E$10000,4,FALSE))</f>
        <v/>
      </c>
      <c r="AC53" s="80" t="str">
        <f>IF(ISNA(VLOOKUP($B53&amp;":"&amp;AC$3,'x - authors'!$B$3:$E$10000,4,FALSE)),"",VLOOKUP($B53&amp;":"&amp;AC$3,'x - authors'!$B$3:$E$10000,4,FALSE))</f>
        <v/>
      </c>
      <c r="AD53" s="80" t="str">
        <f>IF(ISNA(VLOOKUP($B53&amp;":"&amp;AD$3,'x - authors'!$B$3:$E$10000,4,FALSE)),"",VLOOKUP($B53&amp;":"&amp;AD$3,'x - authors'!$B$3:$E$10000,4,FALSE))</f>
        <v/>
      </c>
      <c r="AE53" s="80" t="str">
        <f>IF(ISNA(VLOOKUP($B53&amp;":"&amp;AE$3,'x - authors'!$B$3:$E$10000,4,FALSE)),"",VLOOKUP($B53&amp;":"&amp;AE$3,'x - authors'!$B$3:$E$10000,4,FALSE))</f>
        <v/>
      </c>
      <c r="AF53" s="80" t="str">
        <f>IF(ISNA(VLOOKUP($B53&amp;":"&amp;AF$3,'x - authors'!$B$3:$E$10000,4,FALSE)),"",VLOOKUP($B53&amp;":"&amp;AF$3,'x - authors'!$B$3:$E$10000,4,FALSE))</f>
        <v/>
      </c>
      <c r="AG53" s="80" t="str">
        <f>IF(ISNA(VLOOKUP($B53&amp;":"&amp;AG$3,'x - authors'!$B$3:$E$10000,4,FALSE)),"",VLOOKUP($B53&amp;":"&amp;AG$3,'x - authors'!$B$3:$E$10000,4,FALSE))</f>
        <v/>
      </c>
      <c r="AH53" s="80" t="str">
        <f>IF(ISNA(VLOOKUP($B53&amp;":"&amp;AH$3,'x - authors'!$B$3:$E$10000,4,FALSE)),"",VLOOKUP($B53&amp;":"&amp;AH$3,'x - authors'!$B$3:$E$10000,4,FALSE))</f>
        <v/>
      </c>
      <c r="AI53" s="80" t="str">
        <f>IF(ISNA(VLOOKUP($B53&amp;":"&amp;AI$3,'x - authors'!$B$3:$E$10000,4,FALSE)),"",VLOOKUP($B53&amp;":"&amp;AI$3,'x - authors'!$B$3:$E$10000,4,FALSE))</f>
        <v/>
      </c>
    </row>
    <row r="54" spans="2:35">
      <c r="B54" s="65" t="s">
        <v>5819</v>
      </c>
      <c r="C54" s="65" t="s">
        <v>129</v>
      </c>
      <c r="D54" s="65" t="s">
        <v>5820</v>
      </c>
      <c r="E54" s="83" t="s">
        <v>940</v>
      </c>
      <c r="F54" s="65"/>
      <c r="G54" s="65"/>
      <c r="H54" s="65" t="s">
        <v>5821</v>
      </c>
      <c r="I54" s="65"/>
      <c r="J54" s="65" t="s">
        <v>5823</v>
      </c>
      <c r="K54" s="65"/>
      <c r="L54" s="65" t="s">
        <v>5824</v>
      </c>
      <c r="M54" s="65"/>
      <c r="N54" s="65"/>
      <c r="O54" s="15" t="str">
        <f t="shared" si="0"/>
        <v>citation:doc-1383-01</v>
      </c>
      <c r="Q54" s="15" t="str">
        <f>VLOOKUP($O54,'x - paper citations'!$B$3:$E$2000,2,FALSE)</f>
        <v>https://scholar.google.co.uk/scholar?q="E-ODMRP:Enhanced ODMRP with Motion Adaptive Refresh"&amp;btnG=&amp;hl=en&amp;as_sdt=0,5</v>
      </c>
      <c r="R54" s="15">
        <f>VLOOKUP($O54,'x - paper citations'!$B$3:$E$2000,3,FALSE)</f>
        <v>75</v>
      </c>
      <c r="S54" s="15" t="str">
        <f>VLOOKUP($O54,'x - paper citations'!$B$3:$E$2000,4,FALSE)</f>
        <v>09/02/2016</v>
      </c>
      <c r="U54" s="80" t="str">
        <f>IF(ISNA(VLOOKUP($B54&amp;":"&amp;U$3,'x - authors'!$B$3:$E$10000,4,FALSE)),"",VLOOKUP($B54&amp;":"&amp;U$3,'x - authors'!$B$3:$E$10000,4,FALSE))</f>
        <v>soon_young_oh</v>
      </c>
      <c r="V54" s="80" t="str">
        <f>IF(ISNA(VLOOKUP($B54&amp;":"&amp;V$3,'x - authors'!$B$3:$E$10000,4,FALSE)),"",VLOOKUP($B54&amp;":"&amp;V$3,'x - authors'!$B$3:$E$10000,4,FALSE))</f>
        <v>joon-sang_park</v>
      </c>
      <c r="W54" s="80" t="str">
        <f>IF(ISNA(VLOOKUP($B54&amp;":"&amp;W$3,'x - authors'!$B$3:$E$10000,4,FALSE)),"",VLOOKUP($B54&amp;":"&amp;W$3,'x - authors'!$B$3:$E$10000,4,FALSE))</f>
        <v>mario_gerla</v>
      </c>
      <c r="X54" s="80" t="str">
        <f>IF(ISNA(VLOOKUP($B54&amp;":"&amp;X$3,'x - authors'!$B$3:$E$10000,4,FALSE)),"",VLOOKUP($B54&amp;":"&amp;X$3,'x - authors'!$B$3:$E$10000,4,FALSE))</f>
        <v/>
      </c>
      <c r="Y54" s="80" t="str">
        <f>IF(ISNA(VLOOKUP($B54&amp;":"&amp;Y$3,'x - authors'!$B$3:$E$10000,4,FALSE)),"",VLOOKUP($B54&amp;":"&amp;Y$3,'x - authors'!$B$3:$E$10000,4,FALSE))</f>
        <v/>
      </c>
      <c r="Z54" s="80" t="str">
        <f>IF(ISNA(VLOOKUP($B54&amp;":"&amp;Z$3,'x - authors'!$B$3:$E$10000,4,FALSE)),"",VLOOKUP($B54&amp;":"&amp;Z$3,'x - authors'!$B$3:$E$10000,4,FALSE))</f>
        <v/>
      </c>
      <c r="AA54" s="80" t="str">
        <f>IF(ISNA(VLOOKUP($B54&amp;":"&amp;AA$3,'x - authors'!$B$3:$E$10000,4,FALSE)),"",VLOOKUP($B54&amp;":"&amp;AA$3,'x - authors'!$B$3:$E$10000,4,FALSE))</f>
        <v/>
      </c>
      <c r="AB54" s="80" t="str">
        <f>IF(ISNA(VLOOKUP($B54&amp;":"&amp;AB$3,'x - authors'!$B$3:$E$10000,4,FALSE)),"",VLOOKUP($B54&amp;":"&amp;AB$3,'x - authors'!$B$3:$E$10000,4,FALSE))</f>
        <v/>
      </c>
      <c r="AC54" s="80" t="str">
        <f>IF(ISNA(VLOOKUP($B54&amp;":"&amp;AC$3,'x - authors'!$B$3:$E$10000,4,FALSE)),"",VLOOKUP($B54&amp;":"&amp;AC$3,'x - authors'!$B$3:$E$10000,4,FALSE))</f>
        <v/>
      </c>
      <c r="AD54" s="80" t="str">
        <f>IF(ISNA(VLOOKUP($B54&amp;":"&amp;AD$3,'x - authors'!$B$3:$E$10000,4,FALSE)),"",VLOOKUP($B54&amp;":"&amp;AD$3,'x - authors'!$B$3:$E$10000,4,FALSE))</f>
        <v/>
      </c>
      <c r="AE54" s="80" t="str">
        <f>IF(ISNA(VLOOKUP($B54&amp;":"&amp;AE$3,'x - authors'!$B$3:$E$10000,4,FALSE)),"",VLOOKUP($B54&amp;":"&amp;AE$3,'x - authors'!$B$3:$E$10000,4,FALSE))</f>
        <v/>
      </c>
      <c r="AF54" s="80" t="str">
        <f>IF(ISNA(VLOOKUP($B54&amp;":"&amp;AF$3,'x - authors'!$B$3:$E$10000,4,FALSE)),"",VLOOKUP($B54&amp;":"&amp;AF$3,'x - authors'!$B$3:$E$10000,4,FALSE))</f>
        <v/>
      </c>
      <c r="AG54" s="80" t="str">
        <f>IF(ISNA(VLOOKUP($B54&amp;":"&amp;AG$3,'x - authors'!$B$3:$E$10000,4,FALSE)),"",VLOOKUP($B54&amp;":"&amp;AG$3,'x - authors'!$B$3:$E$10000,4,FALSE))</f>
        <v/>
      </c>
      <c r="AH54" s="80" t="str">
        <f>IF(ISNA(VLOOKUP($B54&amp;":"&amp;AH$3,'x - authors'!$B$3:$E$10000,4,FALSE)),"",VLOOKUP($B54&amp;":"&amp;AH$3,'x - authors'!$B$3:$E$10000,4,FALSE))</f>
        <v/>
      </c>
      <c r="AI54" s="80" t="str">
        <f>IF(ISNA(VLOOKUP($B54&amp;":"&amp;AI$3,'x - authors'!$B$3:$E$10000,4,FALSE)),"",VLOOKUP($B54&amp;":"&amp;AI$3,'x - authors'!$B$3:$E$10000,4,FALSE))</f>
        <v/>
      </c>
    </row>
    <row r="55" spans="2:35">
      <c r="B55" s="65" t="s">
        <v>5825</v>
      </c>
      <c r="C55" s="65" t="s">
        <v>129</v>
      </c>
      <c r="D55" s="65" t="s">
        <v>5826</v>
      </c>
      <c r="E55" s="41" t="s">
        <v>956</v>
      </c>
      <c r="F55" s="65"/>
      <c r="G55" s="65"/>
      <c r="H55" s="65" t="s">
        <v>5827</v>
      </c>
      <c r="I55" s="65"/>
      <c r="J55" s="65" t="s">
        <v>5829</v>
      </c>
      <c r="K55" s="65"/>
      <c r="L55" s="65" t="s">
        <v>5830</v>
      </c>
      <c r="M55" s="65" t="s">
        <v>5831</v>
      </c>
      <c r="N55" s="65"/>
      <c r="O55" s="15" t="str">
        <f t="shared" si="0"/>
        <v>citation:doc-1384a-01</v>
      </c>
      <c r="Q55" s="15" t="str">
        <f>VLOOKUP($O55,'x - paper citations'!$B$3:$E$2000,2,FALSE)</f>
        <v>https://scholar.google.co.uk/scholar?q="A Circulatory System Approach for Wireless Sensor Networks"&amp;btnG=&amp;hl=en&amp;as_sdt=0,5</v>
      </c>
      <c r="R55" s="15">
        <f>VLOOKUP($O55,'x - paper citations'!$B$3:$E$2000,3,FALSE)</f>
        <v>13</v>
      </c>
      <c r="S55" s="15" t="str">
        <f>VLOOKUP($O55,'x - paper citations'!$B$3:$E$2000,4,FALSE)</f>
        <v>09/01/2016</v>
      </c>
      <c r="U55" s="80" t="str">
        <f>IF(ISNA(VLOOKUP($B55&amp;":"&amp;U$3,'x - authors'!$B$3:$E$10000,4,FALSE)),"",VLOOKUP($B55&amp;":"&amp;U$3,'x - authors'!$B$3:$E$10000,4,FALSE))</f>
        <v>vasilieos_pappas</v>
      </c>
      <c r="V55" s="80" t="str">
        <f>IF(ISNA(VLOOKUP($B55&amp;":"&amp;V$3,'x - authors'!$B$3:$E$10000,4,FALSE)),"",VLOOKUP($B55&amp;":"&amp;V$3,'x - authors'!$B$3:$E$10000,4,FALSE))</f>
        <v>dinesh_verma</v>
      </c>
      <c r="W55" s="80" t="str">
        <f>IF(ISNA(VLOOKUP($B55&amp;":"&amp;W$3,'x - authors'!$B$3:$E$10000,4,FALSE)),"",VLOOKUP($B55&amp;":"&amp;W$3,'x - authors'!$B$3:$E$10000,4,FALSE))</f>
        <v>bong_jun_ko</v>
      </c>
      <c r="X55" s="80" t="str">
        <f>IF(ISNA(VLOOKUP($B55&amp;":"&amp;X$3,'x - authors'!$B$3:$E$10000,4,FALSE)),"",VLOOKUP($B55&amp;":"&amp;X$3,'x - authors'!$B$3:$E$10000,4,FALSE))</f>
        <v>ananthram_swami</v>
      </c>
      <c r="Y55" s="80" t="str">
        <f>IF(ISNA(VLOOKUP($B55&amp;":"&amp;Y$3,'x - authors'!$B$3:$E$10000,4,FALSE)),"",VLOOKUP($B55&amp;":"&amp;Y$3,'x - authors'!$B$3:$E$10000,4,FALSE))</f>
        <v/>
      </c>
      <c r="Z55" s="80" t="str">
        <f>IF(ISNA(VLOOKUP($B55&amp;":"&amp;Z$3,'x - authors'!$B$3:$E$10000,4,FALSE)),"",VLOOKUP($B55&amp;":"&amp;Z$3,'x - authors'!$B$3:$E$10000,4,FALSE))</f>
        <v/>
      </c>
      <c r="AA55" s="80" t="str">
        <f>IF(ISNA(VLOOKUP($B55&amp;":"&amp;AA$3,'x - authors'!$B$3:$E$10000,4,FALSE)),"",VLOOKUP($B55&amp;":"&amp;AA$3,'x - authors'!$B$3:$E$10000,4,FALSE))</f>
        <v/>
      </c>
      <c r="AB55" s="80" t="str">
        <f>IF(ISNA(VLOOKUP($B55&amp;":"&amp;AB$3,'x - authors'!$B$3:$E$10000,4,FALSE)),"",VLOOKUP($B55&amp;":"&amp;AB$3,'x - authors'!$B$3:$E$10000,4,FALSE))</f>
        <v/>
      </c>
      <c r="AC55" s="80" t="str">
        <f>IF(ISNA(VLOOKUP($B55&amp;":"&amp;AC$3,'x - authors'!$B$3:$E$10000,4,FALSE)),"",VLOOKUP($B55&amp;":"&amp;AC$3,'x - authors'!$B$3:$E$10000,4,FALSE))</f>
        <v/>
      </c>
      <c r="AD55" s="80" t="str">
        <f>IF(ISNA(VLOOKUP($B55&amp;":"&amp;AD$3,'x - authors'!$B$3:$E$10000,4,FALSE)),"",VLOOKUP($B55&amp;":"&amp;AD$3,'x - authors'!$B$3:$E$10000,4,FALSE))</f>
        <v/>
      </c>
      <c r="AE55" s="80" t="str">
        <f>IF(ISNA(VLOOKUP($B55&amp;":"&amp;AE$3,'x - authors'!$B$3:$E$10000,4,FALSE)),"",VLOOKUP($B55&amp;":"&amp;AE$3,'x - authors'!$B$3:$E$10000,4,FALSE))</f>
        <v/>
      </c>
      <c r="AF55" s="80" t="str">
        <f>IF(ISNA(VLOOKUP($B55&amp;":"&amp;AF$3,'x - authors'!$B$3:$E$10000,4,FALSE)),"",VLOOKUP($B55&amp;":"&amp;AF$3,'x - authors'!$B$3:$E$10000,4,FALSE))</f>
        <v/>
      </c>
      <c r="AG55" s="80" t="str">
        <f>IF(ISNA(VLOOKUP($B55&amp;":"&amp;AG$3,'x - authors'!$B$3:$E$10000,4,FALSE)),"",VLOOKUP($B55&amp;":"&amp;AG$3,'x - authors'!$B$3:$E$10000,4,FALSE))</f>
        <v/>
      </c>
      <c r="AH55" s="80" t="str">
        <f>IF(ISNA(VLOOKUP($B55&amp;":"&amp;AH$3,'x - authors'!$B$3:$E$10000,4,FALSE)),"",VLOOKUP($B55&amp;":"&amp;AH$3,'x - authors'!$B$3:$E$10000,4,FALSE))</f>
        <v/>
      </c>
      <c r="AI55" s="80" t="str">
        <f>IF(ISNA(VLOOKUP($B55&amp;":"&amp;AI$3,'x - authors'!$B$3:$E$10000,4,FALSE)),"",VLOOKUP($B55&amp;":"&amp;AI$3,'x - authors'!$B$3:$E$10000,4,FALSE))</f>
        <v/>
      </c>
    </row>
    <row r="56" spans="2:35">
      <c r="B56" s="65" t="s">
        <v>5832</v>
      </c>
      <c r="C56" s="65" t="s">
        <v>129</v>
      </c>
      <c r="D56" s="65" t="s">
        <v>5833</v>
      </c>
      <c r="E56" s="41" t="s">
        <v>956</v>
      </c>
      <c r="F56" s="65"/>
      <c r="G56" s="65"/>
      <c r="H56" s="65" t="s">
        <v>5834</v>
      </c>
      <c r="I56" s="65"/>
      <c r="J56" s="65" t="s">
        <v>5836</v>
      </c>
      <c r="K56" s="65"/>
      <c r="L56" s="65" t="s">
        <v>5837</v>
      </c>
      <c r="M56" s="65"/>
      <c r="N56" s="65"/>
      <c r="O56" s="15" t="str">
        <f t="shared" si="0"/>
        <v>citation:doc-1386-01</v>
      </c>
      <c r="Q56" s="15" t="str">
        <f>VLOOKUP($O56,'x - paper citations'!$B$3:$E$2000,2,FALSE)</f>
        <v>https://scholar.google.co.uk/scholar?q="Mitigating Performance Degradation in Congested Sensor Networks"&amp;btnG=&amp;hl=en&amp;as_sdt=0,5</v>
      </c>
      <c r="R56" s="15">
        <f>VLOOKUP($O56,'x - paper citations'!$B$3:$E$2000,3,FALSE)</f>
        <v>76</v>
      </c>
      <c r="S56" s="15" t="str">
        <f>VLOOKUP($O56,'x - paper citations'!$B$3:$E$2000,4,FALSE)</f>
        <v>12/02/2016</v>
      </c>
      <c r="U56" s="80" t="str">
        <f>IF(ISNA(VLOOKUP($B56&amp;":"&amp;U$3,'x - authors'!$B$3:$E$10000,4,FALSE)),"",VLOOKUP($B56&amp;":"&amp;U$3,'x - authors'!$B$3:$E$10000,4,FALSE))</f>
        <v>raju_kumar</v>
      </c>
      <c r="V56" s="80" t="str">
        <f>IF(ISNA(VLOOKUP($B56&amp;":"&amp;V$3,'x - authors'!$B$3:$E$10000,4,FALSE)),"",VLOOKUP($B56&amp;":"&amp;V$3,'x - authors'!$B$3:$E$10000,4,FALSE))</f>
        <v>riccardo_crepaldi</v>
      </c>
      <c r="W56" s="80" t="str">
        <f>IF(ISNA(VLOOKUP($B56&amp;":"&amp;W$3,'x - authors'!$B$3:$E$10000,4,FALSE)),"",VLOOKUP($B56&amp;":"&amp;W$3,'x - authors'!$B$3:$E$10000,4,FALSE))</f>
        <v>hosam_rowaihy</v>
      </c>
      <c r="X56" s="80" t="str">
        <f>IF(ISNA(VLOOKUP($B56&amp;":"&amp;X$3,'x - authors'!$B$3:$E$10000,4,FALSE)),"",VLOOKUP($B56&amp;":"&amp;X$3,'x - authors'!$B$3:$E$10000,4,FALSE))</f>
        <v>albert_harris</v>
      </c>
      <c r="Y56" s="80" t="str">
        <f>IF(ISNA(VLOOKUP($B56&amp;":"&amp;Y$3,'x - authors'!$B$3:$E$10000,4,FALSE)),"",VLOOKUP($B56&amp;":"&amp;Y$3,'x - authors'!$B$3:$E$10000,4,FALSE))</f>
        <v>guohong_cao</v>
      </c>
      <c r="Z56" s="80" t="str">
        <f>IF(ISNA(VLOOKUP($B56&amp;":"&amp;Z$3,'x - authors'!$B$3:$E$10000,4,FALSE)),"",VLOOKUP($B56&amp;":"&amp;Z$3,'x - authors'!$B$3:$E$10000,4,FALSE))</f>
        <v>michele_zorzi</v>
      </c>
      <c r="AA56" s="80" t="str">
        <f>IF(ISNA(VLOOKUP($B56&amp;":"&amp;AA$3,'x - authors'!$B$3:$E$10000,4,FALSE)),"",VLOOKUP($B56&amp;":"&amp;AA$3,'x - authors'!$B$3:$E$10000,4,FALSE))</f>
        <v>thomas_laporta</v>
      </c>
      <c r="AB56" s="80" t="str">
        <f>IF(ISNA(VLOOKUP($B56&amp;":"&amp;AB$3,'x - authors'!$B$3:$E$10000,4,FALSE)),"",VLOOKUP($B56&amp;":"&amp;AB$3,'x - authors'!$B$3:$E$10000,4,FALSE))</f>
        <v/>
      </c>
      <c r="AC56" s="80" t="str">
        <f>IF(ISNA(VLOOKUP($B56&amp;":"&amp;AC$3,'x - authors'!$B$3:$E$10000,4,FALSE)),"",VLOOKUP($B56&amp;":"&amp;AC$3,'x - authors'!$B$3:$E$10000,4,FALSE))</f>
        <v/>
      </c>
      <c r="AD56" s="80" t="str">
        <f>IF(ISNA(VLOOKUP($B56&amp;":"&amp;AD$3,'x - authors'!$B$3:$E$10000,4,FALSE)),"",VLOOKUP($B56&amp;":"&amp;AD$3,'x - authors'!$B$3:$E$10000,4,FALSE))</f>
        <v/>
      </c>
      <c r="AE56" s="80" t="str">
        <f>IF(ISNA(VLOOKUP($B56&amp;":"&amp;AE$3,'x - authors'!$B$3:$E$10000,4,FALSE)),"",VLOOKUP($B56&amp;":"&amp;AE$3,'x - authors'!$B$3:$E$10000,4,FALSE))</f>
        <v/>
      </c>
      <c r="AF56" s="80" t="str">
        <f>IF(ISNA(VLOOKUP($B56&amp;":"&amp;AF$3,'x - authors'!$B$3:$E$10000,4,FALSE)),"",VLOOKUP($B56&amp;":"&amp;AF$3,'x - authors'!$B$3:$E$10000,4,FALSE))</f>
        <v/>
      </c>
      <c r="AG56" s="80" t="str">
        <f>IF(ISNA(VLOOKUP($B56&amp;":"&amp;AG$3,'x - authors'!$B$3:$E$10000,4,FALSE)),"",VLOOKUP($B56&amp;":"&amp;AG$3,'x - authors'!$B$3:$E$10000,4,FALSE))</f>
        <v/>
      </c>
      <c r="AH56" s="80" t="str">
        <f>IF(ISNA(VLOOKUP($B56&amp;":"&amp;AH$3,'x - authors'!$B$3:$E$10000,4,FALSE)),"",VLOOKUP($B56&amp;":"&amp;AH$3,'x - authors'!$B$3:$E$10000,4,FALSE))</f>
        <v/>
      </c>
      <c r="AI56" s="80" t="str">
        <f>IF(ISNA(VLOOKUP($B56&amp;":"&amp;AI$3,'x - authors'!$B$3:$E$10000,4,FALSE)),"",VLOOKUP($B56&amp;":"&amp;AI$3,'x - authors'!$B$3:$E$10000,4,FALSE))</f>
        <v/>
      </c>
    </row>
    <row r="57" spans="2:35">
      <c r="B57" s="65" t="s">
        <v>5838</v>
      </c>
      <c r="C57" s="65" t="s">
        <v>129</v>
      </c>
      <c r="D57" s="65" t="s">
        <v>5839</v>
      </c>
      <c r="E57" s="41" t="s">
        <v>956</v>
      </c>
      <c r="F57" s="65"/>
      <c r="G57" s="65"/>
      <c r="H57" s="65" t="s">
        <v>5840</v>
      </c>
      <c r="I57" s="65"/>
      <c r="J57" s="65" t="s">
        <v>5842</v>
      </c>
      <c r="K57" s="65"/>
      <c r="L57" s="65" t="s">
        <v>5843</v>
      </c>
      <c r="M57" s="65"/>
      <c r="N57" s="65"/>
      <c r="O57" s="15" t="str">
        <f t="shared" si="0"/>
        <v>citation:doc-1390-01</v>
      </c>
      <c r="Q57" s="15" t="str">
        <f>VLOOKUP($O57,'x - paper citations'!$B$3:$E$2000,2,FALSE)</f>
        <v>https://scholar.google.co.uk/scholar?q="Self-Selecting Reliable Paths for Wireless Sensor Network Routing"&amp;btnG=&amp;hl=en&amp;as_sdt=0,5</v>
      </c>
      <c r="R57" s="15">
        <f>VLOOKUP($O57,'x - paper citations'!$B$3:$E$2000,3,FALSE)</f>
        <v>40</v>
      </c>
      <c r="S57" s="15" t="str">
        <f>VLOOKUP($O57,'x - paper citations'!$B$3:$E$2000,4,FALSE)</f>
        <v>10/01/2016</v>
      </c>
      <c r="U57" s="80" t="str">
        <f>IF(ISNA(VLOOKUP($B57&amp;":"&amp;U$3,'x - authors'!$B$3:$E$10000,4,FALSE)),"",VLOOKUP($B57&amp;":"&amp;U$3,'x - authors'!$B$3:$E$10000,4,FALSE))</f>
        <v>thomas_babbitt</v>
      </c>
      <c r="V57" s="80" t="str">
        <f>IF(ISNA(VLOOKUP($B57&amp;":"&amp;V$3,'x - authors'!$B$3:$E$10000,4,FALSE)),"",VLOOKUP($B57&amp;":"&amp;V$3,'x - authors'!$B$3:$E$10000,4,FALSE))</f>
        <v>christopher_morrell</v>
      </c>
      <c r="W57" s="80" t="str">
        <f>IF(ISNA(VLOOKUP($B57&amp;":"&amp;W$3,'x - authors'!$B$3:$E$10000,4,FALSE)),"",VLOOKUP($B57&amp;":"&amp;W$3,'x - authors'!$B$3:$E$10000,4,FALSE))</f>
        <v>boleslaw_szymanski</v>
      </c>
      <c r="X57" s="80" t="str">
        <f>IF(ISNA(VLOOKUP($B57&amp;":"&amp;X$3,'x - authors'!$B$3:$E$10000,4,FALSE)),"",VLOOKUP($B57&amp;":"&amp;X$3,'x - authors'!$B$3:$E$10000,4,FALSE))</f>
        <v>joel_branch</v>
      </c>
      <c r="Y57" s="80" t="str">
        <f>IF(ISNA(VLOOKUP($B57&amp;":"&amp;Y$3,'x - authors'!$B$3:$E$10000,4,FALSE)),"",VLOOKUP($B57&amp;":"&amp;Y$3,'x - authors'!$B$3:$E$10000,4,FALSE))</f>
        <v/>
      </c>
      <c r="Z57" s="80" t="str">
        <f>IF(ISNA(VLOOKUP($B57&amp;":"&amp;Z$3,'x - authors'!$B$3:$E$10000,4,FALSE)),"",VLOOKUP($B57&amp;":"&amp;Z$3,'x - authors'!$B$3:$E$10000,4,FALSE))</f>
        <v/>
      </c>
      <c r="AA57" s="80" t="str">
        <f>IF(ISNA(VLOOKUP($B57&amp;":"&amp;AA$3,'x - authors'!$B$3:$E$10000,4,FALSE)),"",VLOOKUP($B57&amp;":"&amp;AA$3,'x - authors'!$B$3:$E$10000,4,FALSE))</f>
        <v/>
      </c>
      <c r="AB57" s="80" t="str">
        <f>IF(ISNA(VLOOKUP($B57&amp;":"&amp;AB$3,'x - authors'!$B$3:$E$10000,4,FALSE)),"",VLOOKUP($B57&amp;":"&amp;AB$3,'x - authors'!$B$3:$E$10000,4,FALSE))</f>
        <v/>
      </c>
      <c r="AC57" s="80" t="str">
        <f>IF(ISNA(VLOOKUP($B57&amp;":"&amp;AC$3,'x - authors'!$B$3:$E$10000,4,FALSE)),"",VLOOKUP($B57&amp;":"&amp;AC$3,'x - authors'!$B$3:$E$10000,4,FALSE))</f>
        <v/>
      </c>
      <c r="AD57" s="80" t="str">
        <f>IF(ISNA(VLOOKUP($B57&amp;":"&amp;AD$3,'x - authors'!$B$3:$E$10000,4,FALSE)),"",VLOOKUP($B57&amp;":"&amp;AD$3,'x - authors'!$B$3:$E$10000,4,FALSE))</f>
        <v/>
      </c>
      <c r="AE57" s="80" t="str">
        <f>IF(ISNA(VLOOKUP($B57&amp;":"&amp;AE$3,'x - authors'!$B$3:$E$10000,4,FALSE)),"",VLOOKUP($B57&amp;":"&amp;AE$3,'x - authors'!$B$3:$E$10000,4,FALSE))</f>
        <v/>
      </c>
      <c r="AF57" s="80" t="str">
        <f>IF(ISNA(VLOOKUP($B57&amp;":"&amp;AF$3,'x - authors'!$B$3:$E$10000,4,FALSE)),"",VLOOKUP($B57&amp;":"&amp;AF$3,'x - authors'!$B$3:$E$10000,4,FALSE))</f>
        <v/>
      </c>
      <c r="AG57" s="80" t="str">
        <f>IF(ISNA(VLOOKUP($B57&amp;":"&amp;AG$3,'x - authors'!$B$3:$E$10000,4,FALSE)),"",VLOOKUP($B57&amp;":"&amp;AG$3,'x - authors'!$B$3:$E$10000,4,FALSE))</f>
        <v/>
      </c>
      <c r="AH57" s="80" t="str">
        <f>IF(ISNA(VLOOKUP($B57&amp;":"&amp;AH$3,'x - authors'!$B$3:$E$10000,4,FALSE)),"",VLOOKUP($B57&amp;":"&amp;AH$3,'x - authors'!$B$3:$E$10000,4,FALSE))</f>
        <v/>
      </c>
      <c r="AI57" s="80" t="str">
        <f>IF(ISNA(VLOOKUP($B57&amp;":"&amp;AI$3,'x - authors'!$B$3:$E$10000,4,FALSE)),"",VLOOKUP($B57&amp;":"&amp;AI$3,'x - authors'!$B$3:$E$10000,4,FALSE))</f>
        <v/>
      </c>
    </row>
    <row r="58" spans="2:35">
      <c r="B58" s="65" t="s">
        <v>5638</v>
      </c>
      <c r="C58" s="65" t="s">
        <v>129</v>
      </c>
      <c r="D58" s="65" t="s">
        <v>5632</v>
      </c>
      <c r="E58" s="41" t="s">
        <v>956</v>
      </c>
      <c r="F58" s="65"/>
      <c r="G58" s="65"/>
      <c r="H58" s="65" t="s">
        <v>5844</v>
      </c>
      <c r="I58" s="65"/>
      <c r="J58" s="65" t="s">
        <v>5846</v>
      </c>
      <c r="K58" s="65"/>
      <c r="L58" s="65" t="s">
        <v>5847</v>
      </c>
      <c r="M58" s="65" t="s">
        <v>5631</v>
      </c>
      <c r="N58" s="65"/>
      <c r="O58" s="15" t="str">
        <f t="shared" si="0"/>
        <v>citation:doc-1391a-01</v>
      </c>
      <c r="Q58" s="15" t="str">
        <f>VLOOKUP($O58,'x - paper citations'!$B$3:$E$2000,2,FALSE)</f>
        <v>https://scholar.google.co.uk/scholar?q="Gait Feature Subset Selection by Mutual Information"&amp;btnG=&amp;hl=en&amp;as_sdt=0,5</v>
      </c>
      <c r="R58" s="15">
        <f>VLOOKUP($O58,'x - paper citations'!$B$3:$E$2000,3,FALSE)</f>
        <v>94</v>
      </c>
      <c r="S58" s="15" t="str">
        <f>VLOOKUP($O58,'x - paper citations'!$B$3:$E$2000,4,FALSE)</f>
        <v>12/02/2016</v>
      </c>
      <c r="U58" s="80" t="str">
        <f>IF(ISNA(VLOOKUP($B58&amp;":"&amp;U$3,'x - authors'!$B$3:$E$10000,4,FALSE)),"",VLOOKUP($B58&amp;":"&amp;U$3,'x - authors'!$B$3:$E$10000,4,FALSE))</f>
        <v>baofeng_guo</v>
      </c>
      <c r="V58" s="80" t="str">
        <f>IF(ISNA(VLOOKUP($B58&amp;":"&amp;V$3,'x - authors'!$B$3:$E$10000,4,FALSE)),"",VLOOKUP($B58&amp;":"&amp;V$3,'x - authors'!$B$3:$E$10000,4,FALSE))</f>
        <v>mark_nixon</v>
      </c>
      <c r="W58" s="80" t="str">
        <f>IF(ISNA(VLOOKUP($B58&amp;":"&amp;W$3,'x - authors'!$B$3:$E$10000,4,FALSE)),"",VLOOKUP($B58&amp;":"&amp;W$3,'x - authors'!$B$3:$E$10000,4,FALSE))</f>
        <v/>
      </c>
      <c r="X58" s="80" t="str">
        <f>IF(ISNA(VLOOKUP($B58&amp;":"&amp;X$3,'x - authors'!$B$3:$E$10000,4,FALSE)),"",VLOOKUP($B58&amp;":"&amp;X$3,'x - authors'!$B$3:$E$10000,4,FALSE))</f>
        <v/>
      </c>
      <c r="Y58" s="80" t="str">
        <f>IF(ISNA(VLOOKUP($B58&amp;":"&amp;Y$3,'x - authors'!$B$3:$E$10000,4,FALSE)),"",VLOOKUP($B58&amp;":"&amp;Y$3,'x - authors'!$B$3:$E$10000,4,FALSE))</f>
        <v/>
      </c>
      <c r="Z58" s="80" t="str">
        <f>IF(ISNA(VLOOKUP($B58&amp;":"&amp;Z$3,'x - authors'!$B$3:$E$10000,4,FALSE)),"",VLOOKUP($B58&amp;":"&amp;Z$3,'x - authors'!$B$3:$E$10000,4,FALSE))</f>
        <v/>
      </c>
      <c r="AA58" s="80" t="str">
        <f>IF(ISNA(VLOOKUP($B58&amp;":"&amp;AA$3,'x - authors'!$B$3:$E$10000,4,FALSE)),"",VLOOKUP($B58&amp;":"&amp;AA$3,'x - authors'!$B$3:$E$10000,4,FALSE))</f>
        <v/>
      </c>
      <c r="AB58" s="80" t="str">
        <f>IF(ISNA(VLOOKUP($B58&amp;":"&amp;AB$3,'x - authors'!$B$3:$E$10000,4,FALSE)),"",VLOOKUP($B58&amp;":"&amp;AB$3,'x - authors'!$B$3:$E$10000,4,FALSE))</f>
        <v/>
      </c>
      <c r="AC58" s="80" t="str">
        <f>IF(ISNA(VLOOKUP($B58&amp;":"&amp;AC$3,'x - authors'!$B$3:$E$10000,4,FALSE)),"",VLOOKUP($B58&amp;":"&amp;AC$3,'x - authors'!$B$3:$E$10000,4,FALSE))</f>
        <v/>
      </c>
      <c r="AD58" s="80" t="str">
        <f>IF(ISNA(VLOOKUP($B58&amp;":"&amp;AD$3,'x - authors'!$B$3:$E$10000,4,FALSE)),"",VLOOKUP($B58&amp;":"&amp;AD$3,'x - authors'!$B$3:$E$10000,4,FALSE))</f>
        <v/>
      </c>
      <c r="AE58" s="80" t="str">
        <f>IF(ISNA(VLOOKUP($B58&amp;":"&amp;AE$3,'x - authors'!$B$3:$E$10000,4,FALSE)),"",VLOOKUP($B58&amp;":"&amp;AE$3,'x - authors'!$B$3:$E$10000,4,FALSE))</f>
        <v/>
      </c>
      <c r="AF58" s="80" t="str">
        <f>IF(ISNA(VLOOKUP($B58&amp;":"&amp;AF$3,'x - authors'!$B$3:$E$10000,4,FALSE)),"",VLOOKUP($B58&amp;":"&amp;AF$3,'x - authors'!$B$3:$E$10000,4,FALSE))</f>
        <v/>
      </c>
      <c r="AG58" s="80" t="str">
        <f>IF(ISNA(VLOOKUP($B58&amp;":"&amp;AG$3,'x - authors'!$B$3:$E$10000,4,FALSE)),"",VLOOKUP($B58&amp;":"&amp;AG$3,'x - authors'!$B$3:$E$10000,4,FALSE))</f>
        <v/>
      </c>
      <c r="AH58" s="80" t="str">
        <f>IF(ISNA(VLOOKUP($B58&amp;":"&amp;AH$3,'x - authors'!$B$3:$E$10000,4,FALSE)),"",VLOOKUP($B58&amp;":"&amp;AH$3,'x - authors'!$B$3:$E$10000,4,FALSE))</f>
        <v/>
      </c>
      <c r="AI58" s="80" t="str">
        <f>IF(ISNA(VLOOKUP($B58&amp;":"&amp;AI$3,'x - authors'!$B$3:$E$10000,4,FALSE)),"",VLOOKUP($B58&amp;":"&amp;AI$3,'x - authors'!$B$3:$E$10000,4,FALSE))</f>
        <v/>
      </c>
    </row>
    <row r="59" spans="2:35">
      <c r="B59" s="65" t="s">
        <v>5848</v>
      </c>
      <c r="C59" s="65" t="s">
        <v>129</v>
      </c>
      <c r="D59" s="65" t="s">
        <v>5849</v>
      </c>
      <c r="E59" s="41" t="s">
        <v>948</v>
      </c>
      <c r="F59" s="65"/>
      <c r="G59" s="65"/>
      <c r="H59" s="65" t="s">
        <v>5850</v>
      </c>
      <c r="I59" s="65"/>
      <c r="J59" s="65" t="s">
        <v>5852</v>
      </c>
      <c r="K59" s="65"/>
      <c r="L59" s="65" t="s">
        <v>5853</v>
      </c>
      <c r="M59" s="65"/>
      <c r="N59" s="65"/>
      <c r="O59" s="15" t="str">
        <f t="shared" si="0"/>
        <v>citation:doc-1392b-01</v>
      </c>
      <c r="Q59" s="15" t="str">
        <f>VLOOKUP($O59,'x - paper citations'!$B$3:$E$2000,2,FALSE)</f>
        <v>https://scholar.google.co.uk/scholar?q="DARE: A System for Distributed Abductive Reasoning"&amp;btnG=&amp;hl=en&amp;as_sdt=0,5</v>
      </c>
      <c r="R59" s="15">
        <f>VLOOKUP($O59,'x - paper citations'!$B$3:$E$2000,3,FALSE)</f>
        <v>19</v>
      </c>
      <c r="S59" s="15" t="str">
        <f>VLOOKUP($O59,'x - paper citations'!$B$3:$E$2000,4,FALSE)</f>
        <v>15/02/2016</v>
      </c>
      <c r="U59" s="80" t="str">
        <f>IF(ISNA(VLOOKUP($B59&amp;":"&amp;U$3,'x - authors'!$B$3:$E$10000,4,FALSE)),"",VLOOKUP($B59&amp;":"&amp;U$3,'x - authors'!$B$3:$E$10000,4,FALSE))</f>
        <v>jiefei_ma</v>
      </c>
      <c r="V59" s="80" t="str">
        <f>IF(ISNA(VLOOKUP($B59&amp;":"&amp;V$3,'x - authors'!$B$3:$E$10000,4,FALSE)),"",VLOOKUP($B59&amp;":"&amp;V$3,'x - authors'!$B$3:$E$10000,4,FALSE))</f>
        <v>alessandra_russo</v>
      </c>
      <c r="W59" s="80" t="str">
        <f>IF(ISNA(VLOOKUP($B59&amp;":"&amp;W$3,'x - authors'!$B$3:$E$10000,4,FALSE)),"",VLOOKUP($B59&amp;":"&amp;W$3,'x - authors'!$B$3:$E$10000,4,FALSE))</f>
        <v>krysia_broda</v>
      </c>
      <c r="X59" s="80" t="str">
        <f>IF(ISNA(VLOOKUP($B59&amp;":"&amp;X$3,'x - authors'!$B$3:$E$10000,4,FALSE)),"",VLOOKUP($B59&amp;":"&amp;X$3,'x - authors'!$B$3:$E$10000,4,FALSE))</f>
        <v>keith_clark</v>
      </c>
      <c r="Y59" s="80" t="str">
        <f>IF(ISNA(VLOOKUP($B59&amp;":"&amp;Y$3,'x - authors'!$B$3:$E$10000,4,FALSE)),"",VLOOKUP($B59&amp;":"&amp;Y$3,'x - authors'!$B$3:$E$10000,4,FALSE))</f>
        <v/>
      </c>
      <c r="Z59" s="80" t="str">
        <f>IF(ISNA(VLOOKUP($B59&amp;":"&amp;Z$3,'x - authors'!$B$3:$E$10000,4,FALSE)),"",VLOOKUP($B59&amp;":"&amp;Z$3,'x - authors'!$B$3:$E$10000,4,FALSE))</f>
        <v/>
      </c>
      <c r="AA59" s="80" t="str">
        <f>IF(ISNA(VLOOKUP($B59&amp;":"&amp;AA$3,'x - authors'!$B$3:$E$10000,4,FALSE)),"",VLOOKUP($B59&amp;":"&amp;AA$3,'x - authors'!$B$3:$E$10000,4,FALSE))</f>
        <v/>
      </c>
      <c r="AB59" s="80" t="str">
        <f>IF(ISNA(VLOOKUP($B59&amp;":"&amp;AB$3,'x - authors'!$B$3:$E$10000,4,FALSE)),"",VLOOKUP($B59&amp;":"&amp;AB$3,'x - authors'!$B$3:$E$10000,4,FALSE))</f>
        <v/>
      </c>
      <c r="AC59" s="80" t="str">
        <f>IF(ISNA(VLOOKUP($B59&amp;":"&amp;AC$3,'x - authors'!$B$3:$E$10000,4,FALSE)),"",VLOOKUP($B59&amp;":"&amp;AC$3,'x - authors'!$B$3:$E$10000,4,FALSE))</f>
        <v/>
      </c>
      <c r="AD59" s="80" t="str">
        <f>IF(ISNA(VLOOKUP($B59&amp;":"&amp;AD$3,'x - authors'!$B$3:$E$10000,4,FALSE)),"",VLOOKUP($B59&amp;":"&amp;AD$3,'x - authors'!$B$3:$E$10000,4,FALSE))</f>
        <v/>
      </c>
      <c r="AE59" s="80" t="str">
        <f>IF(ISNA(VLOOKUP($B59&amp;":"&amp;AE$3,'x - authors'!$B$3:$E$10000,4,FALSE)),"",VLOOKUP($B59&amp;":"&amp;AE$3,'x - authors'!$B$3:$E$10000,4,FALSE))</f>
        <v/>
      </c>
      <c r="AF59" s="80" t="str">
        <f>IF(ISNA(VLOOKUP($B59&amp;":"&amp;AF$3,'x - authors'!$B$3:$E$10000,4,FALSE)),"",VLOOKUP($B59&amp;":"&amp;AF$3,'x - authors'!$B$3:$E$10000,4,FALSE))</f>
        <v/>
      </c>
      <c r="AG59" s="80" t="str">
        <f>IF(ISNA(VLOOKUP($B59&amp;":"&amp;AG$3,'x - authors'!$B$3:$E$10000,4,FALSE)),"",VLOOKUP($B59&amp;":"&amp;AG$3,'x - authors'!$B$3:$E$10000,4,FALSE))</f>
        <v/>
      </c>
      <c r="AH59" s="80" t="str">
        <f>IF(ISNA(VLOOKUP($B59&amp;":"&amp;AH$3,'x - authors'!$B$3:$E$10000,4,FALSE)),"",VLOOKUP($B59&amp;":"&amp;AH$3,'x - authors'!$B$3:$E$10000,4,FALSE))</f>
        <v/>
      </c>
      <c r="AI59" s="80" t="str">
        <f>IF(ISNA(VLOOKUP($B59&amp;":"&amp;AI$3,'x - authors'!$B$3:$E$10000,4,FALSE)),"",VLOOKUP($B59&amp;":"&amp;AI$3,'x - authors'!$B$3:$E$10000,4,FALSE))</f>
        <v/>
      </c>
    </row>
    <row r="60" spans="2:35">
      <c r="B60" s="65" t="s">
        <v>5854</v>
      </c>
      <c r="C60" s="65" t="s">
        <v>129</v>
      </c>
      <c r="D60" s="65" t="s">
        <v>5855</v>
      </c>
      <c r="E60" s="41" t="s">
        <v>953</v>
      </c>
      <c r="F60" s="65"/>
      <c r="G60" s="65"/>
      <c r="H60" s="65" t="s">
        <v>5856</v>
      </c>
      <c r="I60" s="65"/>
      <c r="J60" s="65" t="s">
        <v>5858</v>
      </c>
      <c r="K60" s="65"/>
      <c r="L60" s="65" t="s">
        <v>5859</v>
      </c>
      <c r="M60" s="65"/>
      <c r="N60" s="65"/>
      <c r="O60" s="15" t="str">
        <f t="shared" si="0"/>
        <v>citation:doc-1394-01</v>
      </c>
      <c r="Q60" s="15" t="str">
        <f>VLOOKUP($O60,'x - paper citations'!$B$3:$E$2000,2,FALSE)</f>
        <v>https://scholar.google.co.uk/scholar?q="Sequence Alignment for Masquerade Detection"&amp;btnG=&amp;hl=en&amp;as_sdt=0,5</v>
      </c>
      <c r="R60" s="15">
        <f>VLOOKUP($O60,'x - paper citations'!$B$3:$E$2000,3,FALSE)</f>
        <v>55</v>
      </c>
      <c r="S60" s="15" t="str">
        <f>VLOOKUP($O60,'x - paper citations'!$B$3:$E$2000,4,FALSE)</f>
        <v>10/01/2016</v>
      </c>
      <c r="U60" s="80" t="str">
        <f>IF(ISNA(VLOOKUP($B60&amp;":"&amp;U$3,'x - authors'!$B$3:$E$10000,4,FALSE)),"",VLOOKUP($B60&amp;":"&amp;U$3,'x - authors'!$B$3:$E$10000,4,FALSE))</f>
        <v>scott_coull</v>
      </c>
      <c r="V60" s="80" t="str">
        <f>IF(ISNA(VLOOKUP($B60&amp;":"&amp;V$3,'x - authors'!$B$3:$E$10000,4,FALSE)),"",VLOOKUP($B60&amp;":"&amp;V$3,'x - authors'!$B$3:$E$10000,4,FALSE))</f>
        <v>boleslaw_szymanski</v>
      </c>
      <c r="W60" s="80" t="str">
        <f>IF(ISNA(VLOOKUP($B60&amp;":"&amp;W$3,'x - authors'!$B$3:$E$10000,4,FALSE)),"",VLOOKUP($B60&amp;":"&amp;W$3,'x - authors'!$B$3:$E$10000,4,FALSE))</f>
        <v/>
      </c>
      <c r="X60" s="80" t="str">
        <f>IF(ISNA(VLOOKUP($B60&amp;":"&amp;X$3,'x - authors'!$B$3:$E$10000,4,FALSE)),"",VLOOKUP($B60&amp;":"&amp;X$3,'x - authors'!$B$3:$E$10000,4,FALSE))</f>
        <v/>
      </c>
      <c r="Y60" s="80" t="str">
        <f>IF(ISNA(VLOOKUP($B60&amp;":"&amp;Y$3,'x - authors'!$B$3:$E$10000,4,FALSE)),"",VLOOKUP($B60&amp;":"&amp;Y$3,'x - authors'!$B$3:$E$10000,4,FALSE))</f>
        <v/>
      </c>
      <c r="Z60" s="80" t="str">
        <f>IF(ISNA(VLOOKUP($B60&amp;":"&amp;Z$3,'x - authors'!$B$3:$E$10000,4,FALSE)),"",VLOOKUP($B60&amp;":"&amp;Z$3,'x - authors'!$B$3:$E$10000,4,FALSE))</f>
        <v/>
      </c>
      <c r="AA60" s="80" t="str">
        <f>IF(ISNA(VLOOKUP($B60&amp;":"&amp;AA$3,'x - authors'!$B$3:$E$10000,4,FALSE)),"",VLOOKUP($B60&amp;":"&amp;AA$3,'x - authors'!$B$3:$E$10000,4,FALSE))</f>
        <v/>
      </c>
      <c r="AB60" s="80" t="str">
        <f>IF(ISNA(VLOOKUP($B60&amp;":"&amp;AB$3,'x - authors'!$B$3:$E$10000,4,FALSE)),"",VLOOKUP($B60&amp;":"&amp;AB$3,'x - authors'!$B$3:$E$10000,4,FALSE))</f>
        <v/>
      </c>
      <c r="AC60" s="80" t="str">
        <f>IF(ISNA(VLOOKUP($B60&amp;":"&amp;AC$3,'x - authors'!$B$3:$E$10000,4,FALSE)),"",VLOOKUP($B60&amp;":"&amp;AC$3,'x - authors'!$B$3:$E$10000,4,FALSE))</f>
        <v/>
      </c>
      <c r="AD60" s="80" t="str">
        <f>IF(ISNA(VLOOKUP($B60&amp;":"&amp;AD$3,'x - authors'!$B$3:$E$10000,4,FALSE)),"",VLOOKUP($B60&amp;":"&amp;AD$3,'x - authors'!$B$3:$E$10000,4,FALSE))</f>
        <v/>
      </c>
      <c r="AE60" s="80" t="str">
        <f>IF(ISNA(VLOOKUP($B60&amp;":"&amp;AE$3,'x - authors'!$B$3:$E$10000,4,FALSE)),"",VLOOKUP($B60&amp;":"&amp;AE$3,'x - authors'!$B$3:$E$10000,4,FALSE))</f>
        <v/>
      </c>
      <c r="AF60" s="80" t="str">
        <f>IF(ISNA(VLOOKUP($B60&amp;":"&amp;AF$3,'x - authors'!$B$3:$E$10000,4,FALSE)),"",VLOOKUP($B60&amp;":"&amp;AF$3,'x - authors'!$B$3:$E$10000,4,FALSE))</f>
        <v/>
      </c>
      <c r="AG60" s="80" t="str">
        <f>IF(ISNA(VLOOKUP($B60&amp;":"&amp;AG$3,'x - authors'!$B$3:$E$10000,4,FALSE)),"",VLOOKUP($B60&amp;":"&amp;AG$3,'x - authors'!$B$3:$E$10000,4,FALSE))</f>
        <v/>
      </c>
      <c r="AH60" s="80" t="str">
        <f>IF(ISNA(VLOOKUP($B60&amp;":"&amp;AH$3,'x - authors'!$B$3:$E$10000,4,FALSE)),"",VLOOKUP($B60&amp;":"&amp;AH$3,'x - authors'!$B$3:$E$10000,4,FALSE))</f>
        <v/>
      </c>
      <c r="AI60" s="80" t="str">
        <f>IF(ISNA(VLOOKUP($B60&amp;":"&amp;AI$3,'x - authors'!$B$3:$E$10000,4,FALSE)),"",VLOOKUP($B60&amp;":"&amp;AI$3,'x - authors'!$B$3:$E$10000,4,FALSE))</f>
        <v/>
      </c>
    </row>
    <row r="61" spans="2:35">
      <c r="B61" s="65" t="s">
        <v>5860</v>
      </c>
      <c r="C61" s="65" t="s">
        <v>129</v>
      </c>
      <c r="D61" s="65" t="s">
        <v>5861</v>
      </c>
      <c r="E61" s="41" t="s">
        <v>948</v>
      </c>
      <c r="F61" s="65"/>
      <c r="G61" s="65"/>
      <c r="H61" s="65" t="s">
        <v>5862</v>
      </c>
      <c r="I61" s="65"/>
      <c r="J61" s="65" t="s">
        <v>5864</v>
      </c>
      <c r="K61" s="65"/>
      <c r="L61" s="65" t="s">
        <v>5865</v>
      </c>
      <c r="M61" s="65"/>
      <c r="N61" s="65" t="s">
        <v>5866</v>
      </c>
      <c r="O61" s="15" t="str">
        <f t="shared" si="0"/>
        <v>citation:doc-1395a-01</v>
      </c>
      <c r="Q61" s="15" t="str">
        <f>VLOOKUP($O61,'x - paper citations'!$B$3:$E$2000,2,FALSE)</f>
        <v>https://scholar.google.co.uk/scholar?q="Computing with Time: From Neural Networks to Wireless Networks"&amp;btnG=&amp;hl=en&amp;as_sdt=0,5</v>
      </c>
      <c r="R61" s="15">
        <f>VLOOKUP($O61,'x - paper citations'!$B$3:$E$2000,3,FALSE)</f>
        <v>0</v>
      </c>
      <c r="S61" s="15" t="str">
        <f>VLOOKUP($O61,'x - paper citations'!$B$3:$E$2000,4,FALSE)</f>
        <v>10/01/2016</v>
      </c>
      <c r="U61" s="80" t="str">
        <f>IF(ISNA(VLOOKUP($B61&amp;":"&amp;U$3,'x - authors'!$B$3:$E$10000,4,FALSE)),"",VLOOKUP($B61&amp;":"&amp;U$3,'x - authors'!$B$3:$E$10000,4,FALSE))</f>
        <v>gang_chen</v>
      </c>
      <c r="V61" s="80" t="str">
        <f>IF(ISNA(VLOOKUP($B61&amp;":"&amp;V$3,'x - authors'!$B$3:$E$10000,4,FALSE)),"",VLOOKUP($B61&amp;":"&amp;V$3,'x - authors'!$B$3:$E$10000,4,FALSE))</f>
        <v>boleslaw_szymanski</v>
      </c>
      <c r="W61" s="80" t="str">
        <f>IF(ISNA(VLOOKUP($B61&amp;":"&amp;W$3,'x - authors'!$B$3:$E$10000,4,FALSE)),"",VLOOKUP($B61&amp;":"&amp;W$3,'x - authors'!$B$3:$E$10000,4,FALSE))</f>
        <v/>
      </c>
      <c r="X61" s="80" t="str">
        <f>IF(ISNA(VLOOKUP($B61&amp;":"&amp;X$3,'x - authors'!$B$3:$E$10000,4,FALSE)),"",VLOOKUP($B61&amp;":"&amp;X$3,'x - authors'!$B$3:$E$10000,4,FALSE))</f>
        <v/>
      </c>
      <c r="Y61" s="80" t="str">
        <f>IF(ISNA(VLOOKUP($B61&amp;":"&amp;Y$3,'x - authors'!$B$3:$E$10000,4,FALSE)),"",VLOOKUP($B61&amp;":"&amp;Y$3,'x - authors'!$B$3:$E$10000,4,FALSE))</f>
        <v/>
      </c>
      <c r="Z61" s="80" t="str">
        <f>IF(ISNA(VLOOKUP($B61&amp;":"&amp;Z$3,'x - authors'!$B$3:$E$10000,4,FALSE)),"",VLOOKUP($B61&amp;":"&amp;Z$3,'x - authors'!$B$3:$E$10000,4,FALSE))</f>
        <v/>
      </c>
      <c r="AA61" s="80" t="str">
        <f>IF(ISNA(VLOOKUP($B61&amp;":"&amp;AA$3,'x - authors'!$B$3:$E$10000,4,FALSE)),"",VLOOKUP($B61&amp;":"&amp;AA$3,'x - authors'!$B$3:$E$10000,4,FALSE))</f>
        <v/>
      </c>
      <c r="AB61" s="80" t="str">
        <f>IF(ISNA(VLOOKUP($B61&amp;":"&amp;AB$3,'x - authors'!$B$3:$E$10000,4,FALSE)),"",VLOOKUP($B61&amp;":"&amp;AB$3,'x - authors'!$B$3:$E$10000,4,FALSE))</f>
        <v/>
      </c>
      <c r="AC61" s="80" t="str">
        <f>IF(ISNA(VLOOKUP($B61&amp;":"&amp;AC$3,'x - authors'!$B$3:$E$10000,4,FALSE)),"",VLOOKUP($B61&amp;":"&amp;AC$3,'x - authors'!$B$3:$E$10000,4,FALSE))</f>
        <v/>
      </c>
      <c r="AD61" s="80" t="str">
        <f>IF(ISNA(VLOOKUP($B61&amp;":"&amp;AD$3,'x - authors'!$B$3:$E$10000,4,FALSE)),"",VLOOKUP($B61&amp;":"&amp;AD$3,'x - authors'!$B$3:$E$10000,4,FALSE))</f>
        <v/>
      </c>
      <c r="AE61" s="80" t="str">
        <f>IF(ISNA(VLOOKUP($B61&amp;":"&amp;AE$3,'x - authors'!$B$3:$E$10000,4,FALSE)),"",VLOOKUP($B61&amp;":"&amp;AE$3,'x - authors'!$B$3:$E$10000,4,FALSE))</f>
        <v/>
      </c>
      <c r="AF61" s="80" t="str">
        <f>IF(ISNA(VLOOKUP($B61&amp;":"&amp;AF$3,'x - authors'!$B$3:$E$10000,4,FALSE)),"",VLOOKUP($B61&amp;":"&amp;AF$3,'x - authors'!$B$3:$E$10000,4,FALSE))</f>
        <v/>
      </c>
      <c r="AG61" s="80" t="str">
        <f>IF(ISNA(VLOOKUP($B61&amp;":"&amp;AG$3,'x - authors'!$B$3:$E$10000,4,FALSE)),"",VLOOKUP($B61&amp;":"&amp;AG$3,'x - authors'!$B$3:$E$10000,4,FALSE))</f>
        <v/>
      </c>
      <c r="AH61" s="80" t="str">
        <f>IF(ISNA(VLOOKUP($B61&amp;":"&amp;AH$3,'x - authors'!$B$3:$E$10000,4,FALSE)),"",VLOOKUP($B61&amp;":"&amp;AH$3,'x - authors'!$B$3:$E$10000,4,FALSE))</f>
        <v/>
      </c>
      <c r="AI61" s="80" t="str">
        <f>IF(ISNA(VLOOKUP($B61&amp;":"&amp;AI$3,'x - authors'!$B$3:$E$10000,4,FALSE)),"",VLOOKUP($B61&amp;":"&amp;AI$3,'x - authors'!$B$3:$E$10000,4,FALSE))</f>
        <v/>
      </c>
    </row>
    <row r="62" spans="2:35">
      <c r="B62" s="65" t="s">
        <v>5867</v>
      </c>
      <c r="C62" s="65" t="s">
        <v>129</v>
      </c>
      <c r="D62" s="65" t="s">
        <v>5868</v>
      </c>
      <c r="E62" s="41" t="s">
        <v>948</v>
      </c>
      <c r="F62" s="65"/>
      <c r="G62" s="65"/>
      <c r="H62" s="65" t="s">
        <v>5869</v>
      </c>
      <c r="I62" s="65"/>
      <c r="J62" s="65" t="s">
        <v>5871</v>
      </c>
      <c r="K62" s="65"/>
      <c r="L62" s="65" t="s">
        <v>5872</v>
      </c>
      <c r="M62" s="65"/>
      <c r="N62" s="65"/>
      <c r="O62" s="15" t="str">
        <f t="shared" si="0"/>
        <v>citation:doc-1397-01</v>
      </c>
      <c r="Q62" s="15" t="str">
        <f>VLOOKUP($O62,'x - paper citations'!$B$3:$E$2000,2,FALSE)</f>
        <v>https://scholar.google.co.uk/scholar?q="Naming Games in Two-Dimensional and Small-World-Connected Random Geometric Networks"&amp;btnG=&amp;hl=en&amp;as_sdt=0,5</v>
      </c>
      <c r="R62" s="15">
        <f>VLOOKUP($O62,'x - paper citations'!$B$3:$E$2000,3,FALSE)</f>
        <v>58</v>
      </c>
      <c r="S62" s="15" t="str">
        <f>VLOOKUP($O62,'x - paper citations'!$B$3:$E$2000,4,FALSE)</f>
        <v>10/01/2016</v>
      </c>
      <c r="U62" s="80" t="str">
        <f>IF(ISNA(VLOOKUP($B62&amp;":"&amp;U$3,'x - authors'!$B$3:$E$10000,4,FALSE)),"",VLOOKUP($B62&amp;":"&amp;U$3,'x - authors'!$B$3:$E$10000,4,FALSE))</f>
        <v>qiming_lu</v>
      </c>
      <c r="V62" s="80" t="str">
        <f>IF(ISNA(VLOOKUP($B62&amp;":"&amp;V$3,'x - authors'!$B$3:$E$10000,4,FALSE)),"",VLOOKUP($B62&amp;":"&amp;V$3,'x - authors'!$B$3:$E$10000,4,FALSE))</f>
        <v>gyorgy_korniss</v>
      </c>
      <c r="W62" s="80" t="str">
        <f>IF(ISNA(VLOOKUP($B62&amp;":"&amp;W$3,'x - authors'!$B$3:$E$10000,4,FALSE)),"",VLOOKUP($B62&amp;":"&amp;W$3,'x - authors'!$B$3:$E$10000,4,FALSE))</f>
        <v>boleslaw_szymanski</v>
      </c>
      <c r="X62" s="80" t="str">
        <f>IF(ISNA(VLOOKUP($B62&amp;":"&amp;X$3,'x - authors'!$B$3:$E$10000,4,FALSE)),"",VLOOKUP($B62&amp;":"&amp;X$3,'x - authors'!$B$3:$E$10000,4,FALSE))</f>
        <v/>
      </c>
      <c r="Y62" s="80" t="str">
        <f>IF(ISNA(VLOOKUP($B62&amp;":"&amp;Y$3,'x - authors'!$B$3:$E$10000,4,FALSE)),"",VLOOKUP($B62&amp;":"&amp;Y$3,'x - authors'!$B$3:$E$10000,4,FALSE))</f>
        <v/>
      </c>
      <c r="Z62" s="80" t="str">
        <f>IF(ISNA(VLOOKUP($B62&amp;":"&amp;Z$3,'x - authors'!$B$3:$E$10000,4,FALSE)),"",VLOOKUP($B62&amp;":"&amp;Z$3,'x - authors'!$B$3:$E$10000,4,FALSE))</f>
        <v/>
      </c>
      <c r="AA62" s="80" t="str">
        <f>IF(ISNA(VLOOKUP($B62&amp;":"&amp;AA$3,'x - authors'!$B$3:$E$10000,4,FALSE)),"",VLOOKUP($B62&amp;":"&amp;AA$3,'x - authors'!$B$3:$E$10000,4,FALSE))</f>
        <v/>
      </c>
      <c r="AB62" s="80" t="str">
        <f>IF(ISNA(VLOOKUP($B62&amp;":"&amp;AB$3,'x - authors'!$B$3:$E$10000,4,FALSE)),"",VLOOKUP($B62&amp;":"&amp;AB$3,'x - authors'!$B$3:$E$10000,4,FALSE))</f>
        <v/>
      </c>
      <c r="AC62" s="80" t="str">
        <f>IF(ISNA(VLOOKUP($B62&amp;":"&amp;AC$3,'x - authors'!$B$3:$E$10000,4,FALSE)),"",VLOOKUP($B62&amp;":"&amp;AC$3,'x - authors'!$B$3:$E$10000,4,FALSE))</f>
        <v/>
      </c>
      <c r="AD62" s="80" t="str">
        <f>IF(ISNA(VLOOKUP($B62&amp;":"&amp;AD$3,'x - authors'!$B$3:$E$10000,4,FALSE)),"",VLOOKUP($B62&amp;":"&amp;AD$3,'x - authors'!$B$3:$E$10000,4,FALSE))</f>
        <v/>
      </c>
      <c r="AE62" s="80" t="str">
        <f>IF(ISNA(VLOOKUP($B62&amp;":"&amp;AE$3,'x - authors'!$B$3:$E$10000,4,FALSE)),"",VLOOKUP($B62&amp;":"&amp;AE$3,'x - authors'!$B$3:$E$10000,4,FALSE))</f>
        <v/>
      </c>
      <c r="AF62" s="80" t="str">
        <f>IF(ISNA(VLOOKUP($B62&amp;":"&amp;AF$3,'x - authors'!$B$3:$E$10000,4,FALSE)),"",VLOOKUP($B62&amp;":"&amp;AF$3,'x - authors'!$B$3:$E$10000,4,FALSE))</f>
        <v/>
      </c>
      <c r="AG62" s="80" t="str">
        <f>IF(ISNA(VLOOKUP($B62&amp;":"&amp;AG$3,'x - authors'!$B$3:$E$10000,4,FALSE)),"",VLOOKUP($B62&amp;":"&amp;AG$3,'x - authors'!$B$3:$E$10000,4,FALSE))</f>
        <v/>
      </c>
      <c r="AH62" s="80" t="str">
        <f>IF(ISNA(VLOOKUP($B62&amp;":"&amp;AH$3,'x - authors'!$B$3:$E$10000,4,FALSE)),"",VLOOKUP($B62&amp;":"&amp;AH$3,'x - authors'!$B$3:$E$10000,4,FALSE))</f>
        <v/>
      </c>
      <c r="AI62" s="80" t="str">
        <f>IF(ISNA(VLOOKUP($B62&amp;":"&amp;AI$3,'x - authors'!$B$3:$E$10000,4,FALSE)),"",VLOOKUP($B62&amp;":"&amp;AI$3,'x - authors'!$B$3:$E$10000,4,FALSE))</f>
        <v/>
      </c>
    </row>
    <row r="63" spans="2:35">
      <c r="B63" s="65" t="s">
        <v>5873</v>
      </c>
      <c r="C63" s="65" t="s">
        <v>129</v>
      </c>
      <c r="D63" s="65" t="s">
        <v>5874</v>
      </c>
      <c r="E63" s="41" t="s">
        <v>953</v>
      </c>
      <c r="F63" s="65"/>
      <c r="G63" s="65"/>
      <c r="H63" s="65" t="s">
        <v>5875</v>
      </c>
      <c r="I63" s="65"/>
      <c r="J63" s="65" t="s">
        <v>5877</v>
      </c>
      <c r="K63" s="65"/>
      <c r="L63" s="65" t="s">
        <v>5878</v>
      </c>
      <c r="M63" s="65"/>
      <c r="N63" s="65"/>
      <c r="O63" s="15" t="str">
        <f t="shared" si="0"/>
        <v>citation:doc-1398a-01</v>
      </c>
      <c r="Q63" s="15" t="str">
        <f>VLOOKUP($O63,'x - paper citations'!$B$3:$E$2000,2,FALSE)</f>
        <v>https://scholar.google.co.uk/scholar?q="Web 3.0: Chicken Farms on the Semantic Web."&amp;btnG=&amp;hl=en&amp;as_sdt=0,5</v>
      </c>
      <c r="R63" s="15">
        <f>VLOOKUP($O63,'x - paper citations'!$B$3:$E$2000,3,FALSE)</f>
        <v>78</v>
      </c>
      <c r="S63" s="15" t="str">
        <f>VLOOKUP($O63,'x - paper citations'!$B$3:$E$2000,4,FALSE)</f>
        <v>10/01/2016</v>
      </c>
      <c r="U63" s="80" t="str">
        <f>IF(ISNA(VLOOKUP($B63&amp;":"&amp;U$3,'x - authors'!$B$3:$E$10000,4,FALSE)),"",VLOOKUP($B63&amp;":"&amp;U$3,'x - authors'!$B$3:$E$10000,4,FALSE))</f>
        <v>jim_hendler</v>
      </c>
      <c r="V63" s="80" t="str">
        <f>IF(ISNA(VLOOKUP($B63&amp;":"&amp;V$3,'x - authors'!$B$3:$E$10000,4,FALSE)),"",VLOOKUP($B63&amp;":"&amp;V$3,'x - authors'!$B$3:$E$10000,4,FALSE))</f>
        <v/>
      </c>
      <c r="W63" s="80" t="str">
        <f>IF(ISNA(VLOOKUP($B63&amp;":"&amp;W$3,'x - authors'!$B$3:$E$10000,4,FALSE)),"",VLOOKUP($B63&amp;":"&amp;W$3,'x - authors'!$B$3:$E$10000,4,FALSE))</f>
        <v/>
      </c>
      <c r="X63" s="80" t="str">
        <f>IF(ISNA(VLOOKUP($B63&amp;":"&amp;X$3,'x - authors'!$B$3:$E$10000,4,FALSE)),"",VLOOKUP($B63&amp;":"&amp;X$3,'x - authors'!$B$3:$E$10000,4,FALSE))</f>
        <v/>
      </c>
      <c r="Y63" s="80" t="str">
        <f>IF(ISNA(VLOOKUP($B63&amp;":"&amp;Y$3,'x - authors'!$B$3:$E$10000,4,FALSE)),"",VLOOKUP($B63&amp;":"&amp;Y$3,'x - authors'!$B$3:$E$10000,4,FALSE))</f>
        <v/>
      </c>
      <c r="Z63" s="80" t="str">
        <f>IF(ISNA(VLOOKUP($B63&amp;":"&amp;Z$3,'x - authors'!$B$3:$E$10000,4,FALSE)),"",VLOOKUP($B63&amp;":"&amp;Z$3,'x - authors'!$B$3:$E$10000,4,FALSE))</f>
        <v/>
      </c>
      <c r="AA63" s="80" t="str">
        <f>IF(ISNA(VLOOKUP($B63&amp;":"&amp;AA$3,'x - authors'!$B$3:$E$10000,4,FALSE)),"",VLOOKUP($B63&amp;":"&amp;AA$3,'x - authors'!$B$3:$E$10000,4,FALSE))</f>
        <v/>
      </c>
      <c r="AB63" s="80" t="str">
        <f>IF(ISNA(VLOOKUP($B63&amp;":"&amp;AB$3,'x - authors'!$B$3:$E$10000,4,FALSE)),"",VLOOKUP($B63&amp;":"&amp;AB$3,'x - authors'!$B$3:$E$10000,4,FALSE))</f>
        <v/>
      </c>
      <c r="AC63" s="80" t="str">
        <f>IF(ISNA(VLOOKUP($B63&amp;":"&amp;AC$3,'x - authors'!$B$3:$E$10000,4,FALSE)),"",VLOOKUP($B63&amp;":"&amp;AC$3,'x - authors'!$B$3:$E$10000,4,FALSE))</f>
        <v/>
      </c>
      <c r="AD63" s="80" t="str">
        <f>IF(ISNA(VLOOKUP($B63&amp;":"&amp;AD$3,'x - authors'!$B$3:$E$10000,4,FALSE)),"",VLOOKUP($B63&amp;":"&amp;AD$3,'x - authors'!$B$3:$E$10000,4,FALSE))</f>
        <v/>
      </c>
      <c r="AE63" s="80" t="str">
        <f>IF(ISNA(VLOOKUP($B63&amp;":"&amp;AE$3,'x - authors'!$B$3:$E$10000,4,FALSE)),"",VLOOKUP($B63&amp;":"&amp;AE$3,'x - authors'!$B$3:$E$10000,4,FALSE))</f>
        <v/>
      </c>
      <c r="AF63" s="80" t="str">
        <f>IF(ISNA(VLOOKUP($B63&amp;":"&amp;AF$3,'x - authors'!$B$3:$E$10000,4,FALSE)),"",VLOOKUP($B63&amp;":"&amp;AF$3,'x - authors'!$B$3:$E$10000,4,FALSE))</f>
        <v/>
      </c>
      <c r="AG63" s="80" t="str">
        <f>IF(ISNA(VLOOKUP($B63&amp;":"&amp;AG$3,'x - authors'!$B$3:$E$10000,4,FALSE)),"",VLOOKUP($B63&amp;":"&amp;AG$3,'x - authors'!$B$3:$E$10000,4,FALSE))</f>
        <v/>
      </c>
      <c r="AH63" s="80" t="str">
        <f>IF(ISNA(VLOOKUP($B63&amp;":"&amp;AH$3,'x - authors'!$B$3:$E$10000,4,FALSE)),"",VLOOKUP($B63&amp;":"&amp;AH$3,'x - authors'!$B$3:$E$10000,4,FALSE))</f>
        <v/>
      </c>
      <c r="AI63" s="80" t="str">
        <f>IF(ISNA(VLOOKUP($B63&amp;":"&amp;AI$3,'x - authors'!$B$3:$E$10000,4,FALSE)),"",VLOOKUP($B63&amp;":"&amp;AI$3,'x - authors'!$B$3:$E$10000,4,FALSE))</f>
        <v/>
      </c>
    </row>
    <row r="64" spans="2:35">
      <c r="B64" s="65" t="s">
        <v>5879</v>
      </c>
      <c r="C64" s="65" t="s">
        <v>129</v>
      </c>
      <c r="D64" s="65" t="s">
        <v>5880</v>
      </c>
      <c r="E64" s="41" t="s">
        <v>948</v>
      </c>
      <c r="F64" s="65"/>
      <c r="G64" s="65"/>
      <c r="H64" s="65" t="s">
        <v>5881</v>
      </c>
      <c r="I64" s="65"/>
      <c r="J64" s="65" t="s">
        <v>5883</v>
      </c>
      <c r="K64" s="65"/>
      <c r="L64" s="65" t="s">
        <v>5884</v>
      </c>
      <c r="M64" s="65"/>
      <c r="N64" s="65"/>
      <c r="O64" s="15" t="str">
        <f t="shared" si="0"/>
        <v>citation:doc-1400-01</v>
      </c>
      <c r="Q64" s="15" t="str">
        <f>VLOOKUP($O64,'x - paper citations'!$B$3:$E$2000,2,FALSE)</f>
        <v>https://scholar.google.co.uk/scholar?q="The International Technology Alliance in Network and Information Sciences"&amp;btnG=&amp;hl=en&amp;as_sdt=0,5</v>
      </c>
      <c r="R64" s="15">
        <f>VLOOKUP($O64,'x - paper citations'!$B$3:$E$2000,3,FALSE)</f>
        <v>8</v>
      </c>
      <c r="S64" s="15" t="str">
        <f>VLOOKUP($O64,'x - paper citations'!$B$3:$E$2000,4,FALSE)</f>
        <v>10/01/2016</v>
      </c>
      <c r="U64" s="80" t="str">
        <f>IF(ISNA(VLOOKUP($B64&amp;":"&amp;U$3,'x - authors'!$B$3:$E$10000,4,FALSE)),"",VLOOKUP($B64&amp;":"&amp;U$3,'x - authors'!$B$3:$E$10000,4,FALSE))</f>
        <v>alun_preece</v>
      </c>
      <c r="V64" s="80" t="str">
        <f>IF(ISNA(VLOOKUP($B64&amp;":"&amp;V$3,'x - authors'!$B$3:$E$10000,4,FALSE)),"",VLOOKUP($B64&amp;":"&amp;V$3,'x - authors'!$B$3:$E$10000,4,FALSE))</f>
        <v>winston_sieck</v>
      </c>
      <c r="W64" s="80" t="str">
        <f>IF(ISNA(VLOOKUP($B64&amp;":"&amp;W$3,'x - authors'!$B$3:$E$10000,4,FALSE)),"",VLOOKUP($B64&amp;":"&amp;W$3,'x - authors'!$B$3:$E$10000,4,FALSE))</f>
        <v/>
      </c>
      <c r="X64" s="80" t="str">
        <f>IF(ISNA(VLOOKUP($B64&amp;":"&amp;X$3,'x - authors'!$B$3:$E$10000,4,FALSE)),"",VLOOKUP($B64&amp;":"&amp;X$3,'x - authors'!$B$3:$E$10000,4,FALSE))</f>
        <v/>
      </c>
      <c r="Y64" s="80" t="str">
        <f>IF(ISNA(VLOOKUP($B64&amp;":"&amp;Y$3,'x - authors'!$B$3:$E$10000,4,FALSE)),"",VLOOKUP($B64&amp;":"&amp;Y$3,'x - authors'!$B$3:$E$10000,4,FALSE))</f>
        <v/>
      </c>
      <c r="Z64" s="80" t="str">
        <f>IF(ISNA(VLOOKUP($B64&amp;":"&amp;Z$3,'x - authors'!$B$3:$E$10000,4,FALSE)),"",VLOOKUP($B64&amp;":"&amp;Z$3,'x - authors'!$B$3:$E$10000,4,FALSE))</f>
        <v/>
      </c>
      <c r="AA64" s="80" t="str">
        <f>IF(ISNA(VLOOKUP($B64&amp;":"&amp;AA$3,'x - authors'!$B$3:$E$10000,4,FALSE)),"",VLOOKUP($B64&amp;":"&amp;AA$3,'x - authors'!$B$3:$E$10000,4,FALSE))</f>
        <v/>
      </c>
      <c r="AB64" s="80" t="str">
        <f>IF(ISNA(VLOOKUP($B64&amp;":"&amp;AB$3,'x - authors'!$B$3:$E$10000,4,FALSE)),"",VLOOKUP($B64&amp;":"&amp;AB$3,'x - authors'!$B$3:$E$10000,4,FALSE))</f>
        <v/>
      </c>
      <c r="AC64" s="80" t="str">
        <f>IF(ISNA(VLOOKUP($B64&amp;":"&amp;AC$3,'x - authors'!$B$3:$E$10000,4,FALSE)),"",VLOOKUP($B64&amp;":"&amp;AC$3,'x - authors'!$B$3:$E$10000,4,FALSE))</f>
        <v/>
      </c>
      <c r="AD64" s="80" t="str">
        <f>IF(ISNA(VLOOKUP($B64&amp;":"&amp;AD$3,'x - authors'!$B$3:$E$10000,4,FALSE)),"",VLOOKUP($B64&amp;":"&amp;AD$3,'x - authors'!$B$3:$E$10000,4,FALSE))</f>
        <v/>
      </c>
      <c r="AE64" s="80" t="str">
        <f>IF(ISNA(VLOOKUP($B64&amp;":"&amp;AE$3,'x - authors'!$B$3:$E$10000,4,FALSE)),"",VLOOKUP($B64&amp;":"&amp;AE$3,'x - authors'!$B$3:$E$10000,4,FALSE))</f>
        <v/>
      </c>
      <c r="AF64" s="80" t="str">
        <f>IF(ISNA(VLOOKUP($B64&amp;":"&amp;AF$3,'x - authors'!$B$3:$E$10000,4,FALSE)),"",VLOOKUP($B64&amp;":"&amp;AF$3,'x - authors'!$B$3:$E$10000,4,FALSE))</f>
        <v/>
      </c>
      <c r="AG64" s="80" t="str">
        <f>IF(ISNA(VLOOKUP($B64&amp;":"&amp;AG$3,'x - authors'!$B$3:$E$10000,4,FALSE)),"",VLOOKUP($B64&amp;":"&amp;AG$3,'x - authors'!$B$3:$E$10000,4,FALSE))</f>
        <v/>
      </c>
      <c r="AH64" s="80" t="str">
        <f>IF(ISNA(VLOOKUP($B64&amp;":"&amp;AH$3,'x - authors'!$B$3:$E$10000,4,FALSE)),"",VLOOKUP($B64&amp;":"&amp;AH$3,'x - authors'!$B$3:$E$10000,4,FALSE))</f>
        <v/>
      </c>
      <c r="AI64" s="80" t="str">
        <f>IF(ISNA(VLOOKUP($B64&amp;":"&amp;AI$3,'x - authors'!$B$3:$E$10000,4,FALSE)),"",VLOOKUP($B64&amp;":"&amp;AI$3,'x - authors'!$B$3:$E$10000,4,FALSE))</f>
        <v/>
      </c>
    </row>
    <row r="65" spans="2:35">
      <c r="B65" s="65" t="s">
        <v>5885</v>
      </c>
      <c r="C65" s="65" t="s">
        <v>129</v>
      </c>
      <c r="D65" s="65" t="s">
        <v>5886</v>
      </c>
      <c r="E65" s="41" t="s">
        <v>945</v>
      </c>
      <c r="F65" s="65"/>
      <c r="G65" s="65"/>
      <c r="H65" s="65" t="s">
        <v>5887</v>
      </c>
      <c r="I65" s="65"/>
      <c r="J65" s="65" t="s">
        <v>5889</v>
      </c>
      <c r="K65" s="65"/>
      <c r="L65" s="65" t="s">
        <v>5890</v>
      </c>
      <c r="M65" s="65"/>
      <c r="N65" s="65"/>
      <c r="O65" s="15" t="str">
        <f t="shared" si="0"/>
        <v>citation:doc-1401-01</v>
      </c>
      <c r="Q65" s="15" t="str">
        <f>VLOOKUP($O65,'x - paper citations'!$B$3:$E$2000,2,FALSE)</f>
        <v>https://scholar.google.co.uk/scholar?q="A diffusion model for packet travel time in a random multi-hop medium"&amp;btnG=&amp;hl=en&amp;as_sdt=0,5</v>
      </c>
      <c r="R65" s="15">
        <f>VLOOKUP($O65,'x - paper citations'!$B$3:$E$2000,3,FALSE)</f>
        <v>49</v>
      </c>
      <c r="S65" s="15" t="str">
        <f>VLOOKUP($O65,'x - paper citations'!$B$3:$E$2000,4,FALSE)</f>
        <v>10/12/2015</v>
      </c>
      <c r="U65" s="80" t="str">
        <f>IF(ISNA(VLOOKUP($B65&amp;":"&amp;U$3,'x - authors'!$B$3:$E$10000,4,FALSE)),"",VLOOKUP($B65&amp;":"&amp;U$3,'x - authors'!$B$3:$E$10000,4,FALSE))</f>
        <v>erol_gelenbe</v>
      </c>
      <c r="V65" s="80" t="str">
        <f>IF(ISNA(VLOOKUP($B65&amp;":"&amp;V$3,'x - authors'!$B$3:$E$10000,4,FALSE)),"",VLOOKUP($B65&amp;":"&amp;V$3,'x - authors'!$B$3:$E$10000,4,FALSE))</f>
        <v/>
      </c>
      <c r="W65" s="80" t="str">
        <f>IF(ISNA(VLOOKUP($B65&amp;":"&amp;W$3,'x - authors'!$B$3:$E$10000,4,FALSE)),"",VLOOKUP($B65&amp;":"&amp;W$3,'x - authors'!$B$3:$E$10000,4,FALSE))</f>
        <v/>
      </c>
      <c r="X65" s="80" t="str">
        <f>IF(ISNA(VLOOKUP($B65&amp;":"&amp;X$3,'x - authors'!$B$3:$E$10000,4,FALSE)),"",VLOOKUP($B65&amp;":"&amp;X$3,'x - authors'!$B$3:$E$10000,4,FALSE))</f>
        <v/>
      </c>
      <c r="Y65" s="80" t="str">
        <f>IF(ISNA(VLOOKUP($B65&amp;":"&amp;Y$3,'x - authors'!$B$3:$E$10000,4,FALSE)),"",VLOOKUP($B65&amp;":"&amp;Y$3,'x - authors'!$B$3:$E$10000,4,FALSE))</f>
        <v/>
      </c>
      <c r="Z65" s="80" t="str">
        <f>IF(ISNA(VLOOKUP($B65&amp;":"&amp;Z$3,'x - authors'!$B$3:$E$10000,4,FALSE)),"",VLOOKUP($B65&amp;":"&amp;Z$3,'x - authors'!$B$3:$E$10000,4,FALSE))</f>
        <v/>
      </c>
      <c r="AA65" s="80" t="str">
        <f>IF(ISNA(VLOOKUP($B65&amp;":"&amp;AA$3,'x - authors'!$B$3:$E$10000,4,FALSE)),"",VLOOKUP($B65&amp;":"&amp;AA$3,'x - authors'!$B$3:$E$10000,4,FALSE))</f>
        <v/>
      </c>
      <c r="AB65" s="80" t="str">
        <f>IF(ISNA(VLOOKUP($B65&amp;":"&amp;AB$3,'x - authors'!$B$3:$E$10000,4,FALSE)),"",VLOOKUP($B65&amp;":"&amp;AB$3,'x - authors'!$B$3:$E$10000,4,FALSE))</f>
        <v/>
      </c>
      <c r="AC65" s="80" t="str">
        <f>IF(ISNA(VLOOKUP($B65&amp;":"&amp;AC$3,'x - authors'!$B$3:$E$10000,4,FALSE)),"",VLOOKUP($B65&amp;":"&amp;AC$3,'x - authors'!$B$3:$E$10000,4,FALSE))</f>
        <v/>
      </c>
      <c r="AD65" s="80" t="str">
        <f>IF(ISNA(VLOOKUP($B65&amp;":"&amp;AD$3,'x - authors'!$B$3:$E$10000,4,FALSE)),"",VLOOKUP($B65&amp;":"&amp;AD$3,'x - authors'!$B$3:$E$10000,4,FALSE))</f>
        <v/>
      </c>
      <c r="AE65" s="80" t="str">
        <f>IF(ISNA(VLOOKUP($B65&amp;":"&amp;AE$3,'x - authors'!$B$3:$E$10000,4,FALSE)),"",VLOOKUP($B65&amp;":"&amp;AE$3,'x - authors'!$B$3:$E$10000,4,FALSE))</f>
        <v/>
      </c>
      <c r="AF65" s="80" t="str">
        <f>IF(ISNA(VLOOKUP($B65&amp;":"&amp;AF$3,'x - authors'!$B$3:$E$10000,4,FALSE)),"",VLOOKUP($B65&amp;":"&amp;AF$3,'x - authors'!$B$3:$E$10000,4,FALSE))</f>
        <v/>
      </c>
      <c r="AG65" s="80" t="str">
        <f>IF(ISNA(VLOOKUP($B65&amp;":"&amp;AG$3,'x - authors'!$B$3:$E$10000,4,FALSE)),"",VLOOKUP($B65&amp;":"&amp;AG$3,'x - authors'!$B$3:$E$10000,4,FALSE))</f>
        <v/>
      </c>
      <c r="AH65" s="80" t="str">
        <f>IF(ISNA(VLOOKUP($B65&amp;":"&amp;AH$3,'x - authors'!$B$3:$E$10000,4,FALSE)),"",VLOOKUP($B65&amp;":"&amp;AH$3,'x - authors'!$B$3:$E$10000,4,FALSE))</f>
        <v/>
      </c>
      <c r="AI65" s="80" t="str">
        <f>IF(ISNA(VLOOKUP($B65&amp;":"&amp;AI$3,'x - authors'!$B$3:$E$10000,4,FALSE)),"",VLOOKUP($B65&amp;":"&amp;AI$3,'x - authors'!$B$3:$E$10000,4,FALSE))</f>
        <v/>
      </c>
    </row>
    <row r="66" spans="2:35">
      <c r="B66" s="65" t="s">
        <v>5891</v>
      </c>
      <c r="C66" s="65" t="s">
        <v>129</v>
      </c>
      <c r="D66" s="65" t="s">
        <v>5892</v>
      </c>
      <c r="E66" s="83" t="s">
        <v>940</v>
      </c>
      <c r="F66" s="65"/>
      <c r="G66" s="65"/>
      <c r="H66" s="65" t="s">
        <v>5893</v>
      </c>
      <c r="I66" s="65"/>
      <c r="J66" s="65" t="s">
        <v>5895</v>
      </c>
      <c r="K66" s="65"/>
      <c r="L66" s="65" t="s">
        <v>5896</v>
      </c>
      <c r="M66" s="65"/>
      <c r="N66" s="65"/>
      <c r="O66" s="15" t="str">
        <f t="shared" si="0"/>
        <v>citation:doc-1403-01</v>
      </c>
      <c r="Q66" s="15" t="str">
        <f>VLOOKUP($O66,'x - paper citations'!$B$3:$E$2000,2,FALSE)</f>
        <v>https://scholar.google.co.uk/scholar?q="In-Network Outlier Detection in Wireless Sensor Networks"&amp;btnG=&amp;hl=en&amp;as_sdt=0,5</v>
      </c>
      <c r="R66" s="15">
        <f>VLOOKUP($O66,'x - paper citations'!$B$3:$E$2000,3,FALSE)</f>
        <v>221</v>
      </c>
      <c r="S66" s="15" t="str">
        <f>VLOOKUP($O66,'x - paper citations'!$B$3:$E$2000,4,FALSE)</f>
        <v>10/12/2015</v>
      </c>
      <c r="U66" s="80" t="str">
        <f>IF(ISNA(VLOOKUP($B66&amp;":"&amp;U$3,'x - authors'!$B$3:$E$10000,4,FALSE)),"",VLOOKUP($B66&amp;":"&amp;U$3,'x - authors'!$B$3:$E$10000,4,FALSE))</f>
        <v>joel_branch</v>
      </c>
      <c r="V66" s="80" t="str">
        <f>IF(ISNA(VLOOKUP($B66&amp;":"&amp;V$3,'x - authors'!$B$3:$E$10000,4,FALSE)),"",VLOOKUP($B66&amp;":"&amp;V$3,'x - authors'!$B$3:$E$10000,4,FALSE))</f>
        <v>chris_giannella</v>
      </c>
      <c r="W66" s="80" t="str">
        <f>IF(ISNA(VLOOKUP($B66&amp;":"&amp;W$3,'x - authors'!$B$3:$E$10000,4,FALSE)),"",VLOOKUP($B66&amp;":"&amp;W$3,'x - authors'!$B$3:$E$10000,4,FALSE))</f>
        <v>boleslaw_szymanski</v>
      </c>
      <c r="X66" s="80" t="str">
        <f>IF(ISNA(VLOOKUP($B66&amp;":"&amp;X$3,'x - authors'!$B$3:$E$10000,4,FALSE)),"",VLOOKUP($B66&amp;":"&amp;X$3,'x - authors'!$B$3:$E$10000,4,FALSE))</f>
        <v>ran_wolff</v>
      </c>
      <c r="Y66" s="80" t="str">
        <f>IF(ISNA(VLOOKUP($B66&amp;":"&amp;Y$3,'x - authors'!$B$3:$E$10000,4,FALSE)),"",VLOOKUP($B66&amp;":"&amp;Y$3,'x - authors'!$B$3:$E$10000,4,FALSE))</f>
        <v>hillol_kargupta</v>
      </c>
      <c r="Z66" s="80" t="str">
        <f>IF(ISNA(VLOOKUP($B66&amp;":"&amp;Z$3,'x - authors'!$B$3:$E$10000,4,FALSE)),"",VLOOKUP($B66&amp;":"&amp;Z$3,'x - authors'!$B$3:$E$10000,4,FALSE))</f>
        <v/>
      </c>
      <c r="AA66" s="80" t="str">
        <f>IF(ISNA(VLOOKUP($B66&amp;":"&amp;AA$3,'x - authors'!$B$3:$E$10000,4,FALSE)),"",VLOOKUP($B66&amp;":"&amp;AA$3,'x - authors'!$B$3:$E$10000,4,FALSE))</f>
        <v/>
      </c>
      <c r="AB66" s="80" t="str">
        <f>IF(ISNA(VLOOKUP($B66&amp;":"&amp;AB$3,'x - authors'!$B$3:$E$10000,4,FALSE)),"",VLOOKUP($B66&amp;":"&amp;AB$3,'x - authors'!$B$3:$E$10000,4,FALSE))</f>
        <v/>
      </c>
      <c r="AC66" s="80" t="str">
        <f>IF(ISNA(VLOOKUP($B66&amp;":"&amp;AC$3,'x - authors'!$B$3:$E$10000,4,FALSE)),"",VLOOKUP($B66&amp;":"&amp;AC$3,'x - authors'!$B$3:$E$10000,4,FALSE))</f>
        <v/>
      </c>
      <c r="AD66" s="80" t="str">
        <f>IF(ISNA(VLOOKUP($B66&amp;":"&amp;AD$3,'x - authors'!$B$3:$E$10000,4,FALSE)),"",VLOOKUP($B66&amp;":"&amp;AD$3,'x - authors'!$B$3:$E$10000,4,FALSE))</f>
        <v/>
      </c>
      <c r="AE66" s="80" t="str">
        <f>IF(ISNA(VLOOKUP($B66&amp;":"&amp;AE$3,'x - authors'!$B$3:$E$10000,4,FALSE)),"",VLOOKUP($B66&amp;":"&amp;AE$3,'x - authors'!$B$3:$E$10000,4,FALSE))</f>
        <v/>
      </c>
      <c r="AF66" s="80" t="str">
        <f>IF(ISNA(VLOOKUP($B66&amp;":"&amp;AF$3,'x - authors'!$B$3:$E$10000,4,FALSE)),"",VLOOKUP($B66&amp;":"&amp;AF$3,'x - authors'!$B$3:$E$10000,4,FALSE))</f>
        <v/>
      </c>
      <c r="AG66" s="80" t="str">
        <f>IF(ISNA(VLOOKUP($B66&amp;":"&amp;AG$3,'x - authors'!$B$3:$E$10000,4,FALSE)),"",VLOOKUP($B66&amp;":"&amp;AG$3,'x - authors'!$B$3:$E$10000,4,FALSE))</f>
        <v/>
      </c>
      <c r="AH66" s="80" t="str">
        <f>IF(ISNA(VLOOKUP($B66&amp;":"&amp;AH$3,'x - authors'!$B$3:$E$10000,4,FALSE)),"",VLOOKUP($B66&amp;":"&amp;AH$3,'x - authors'!$B$3:$E$10000,4,FALSE))</f>
        <v/>
      </c>
      <c r="AI66" s="80" t="str">
        <f>IF(ISNA(VLOOKUP($B66&amp;":"&amp;AI$3,'x - authors'!$B$3:$E$10000,4,FALSE)),"",VLOOKUP($B66&amp;":"&amp;AI$3,'x - authors'!$B$3:$E$10000,4,FALSE))</f>
        <v/>
      </c>
    </row>
    <row r="67" spans="2:35">
      <c r="B67" s="65" t="s">
        <v>5897</v>
      </c>
      <c r="C67" s="65" t="s">
        <v>129</v>
      </c>
      <c r="D67" s="65" t="s">
        <v>5898</v>
      </c>
      <c r="E67" s="83" t="s">
        <v>953</v>
      </c>
      <c r="F67" s="65"/>
      <c r="G67" s="65"/>
      <c r="H67" s="65" t="s">
        <v>5899</v>
      </c>
      <c r="I67" s="65"/>
      <c r="J67" s="65" t="s">
        <v>5901</v>
      </c>
      <c r="K67" s="65"/>
      <c r="L67" s="65" t="s">
        <v>5902</v>
      </c>
      <c r="M67" s="65"/>
      <c r="N67" s="65"/>
      <c r="O67" s="15" t="str">
        <f t="shared" si="0"/>
        <v>citation:doc-1531-01</v>
      </c>
      <c r="Q67" s="15" t="str">
        <f>VLOOKUP($O67,'x - paper citations'!$B$3:$E$2000,2,FALSE)</f>
        <v>https://scholar.google.co.uk/scholar?q=%22On+the+combination+of+cooperative+diversity+and+network+coding+for+wireless+uplink+transmission%22&amp;btnG=&amp;hl=en&amp;as_sdt=0%2C5</v>
      </c>
      <c r="R67" s="15">
        <f>VLOOKUP($O67,'x - paper citations'!$B$3:$E$2000,3,FALSE)</f>
        <v>15</v>
      </c>
      <c r="S67" s="15" t="str">
        <f>VLOOKUP($O67,'x - paper citations'!$B$3:$E$2000,4,FALSE)</f>
        <v>12/02/2016</v>
      </c>
      <c r="U67" s="80" t="str">
        <f>IF(ISNA(VLOOKUP($B67&amp;":"&amp;U$3,'x - authors'!$B$3:$E$10000,4,FALSE)),"",VLOOKUP($B67&amp;":"&amp;U$3,'x - authors'!$B$3:$E$10000,4,FALSE))</f>
        <v>zhiguo_ding</v>
      </c>
      <c r="V67" s="80" t="str">
        <f>IF(ISNA(VLOOKUP($B67&amp;":"&amp;V$3,'x - authors'!$B$3:$E$10000,4,FALSE)),"",VLOOKUP($B67&amp;":"&amp;V$3,'x - authors'!$B$3:$E$10000,4,FALSE))</f>
        <v>kin_leung</v>
      </c>
      <c r="W67" s="80" t="str">
        <f>IF(ISNA(VLOOKUP($B67&amp;":"&amp;W$3,'x - authors'!$B$3:$E$10000,4,FALSE)),"",VLOOKUP($B67&amp;":"&amp;W$3,'x - authors'!$B$3:$E$10000,4,FALSE))</f>
        <v/>
      </c>
      <c r="X67" s="80" t="str">
        <f>IF(ISNA(VLOOKUP($B67&amp;":"&amp;X$3,'x - authors'!$B$3:$E$10000,4,FALSE)),"",VLOOKUP($B67&amp;":"&amp;X$3,'x - authors'!$B$3:$E$10000,4,FALSE))</f>
        <v/>
      </c>
      <c r="Y67" s="80" t="str">
        <f>IF(ISNA(VLOOKUP($B67&amp;":"&amp;Y$3,'x - authors'!$B$3:$E$10000,4,FALSE)),"",VLOOKUP($B67&amp;":"&amp;Y$3,'x - authors'!$B$3:$E$10000,4,FALSE))</f>
        <v/>
      </c>
      <c r="Z67" s="80" t="str">
        <f>IF(ISNA(VLOOKUP($B67&amp;":"&amp;Z$3,'x - authors'!$B$3:$E$10000,4,FALSE)),"",VLOOKUP($B67&amp;":"&amp;Z$3,'x - authors'!$B$3:$E$10000,4,FALSE))</f>
        <v/>
      </c>
      <c r="AA67" s="80" t="str">
        <f>IF(ISNA(VLOOKUP($B67&amp;":"&amp;AA$3,'x - authors'!$B$3:$E$10000,4,FALSE)),"",VLOOKUP($B67&amp;":"&amp;AA$3,'x - authors'!$B$3:$E$10000,4,FALSE))</f>
        <v/>
      </c>
      <c r="AB67" s="80" t="str">
        <f>IF(ISNA(VLOOKUP($B67&amp;":"&amp;AB$3,'x - authors'!$B$3:$E$10000,4,FALSE)),"",VLOOKUP($B67&amp;":"&amp;AB$3,'x - authors'!$B$3:$E$10000,4,FALSE))</f>
        <v/>
      </c>
      <c r="AC67" s="80" t="str">
        <f>IF(ISNA(VLOOKUP($B67&amp;":"&amp;AC$3,'x - authors'!$B$3:$E$10000,4,FALSE)),"",VLOOKUP($B67&amp;":"&amp;AC$3,'x - authors'!$B$3:$E$10000,4,FALSE))</f>
        <v/>
      </c>
      <c r="AD67" s="80" t="str">
        <f>IF(ISNA(VLOOKUP($B67&amp;":"&amp;AD$3,'x - authors'!$B$3:$E$10000,4,FALSE)),"",VLOOKUP($B67&amp;":"&amp;AD$3,'x - authors'!$B$3:$E$10000,4,FALSE))</f>
        <v/>
      </c>
      <c r="AE67" s="80" t="str">
        <f>IF(ISNA(VLOOKUP($B67&amp;":"&amp;AE$3,'x - authors'!$B$3:$E$10000,4,FALSE)),"",VLOOKUP($B67&amp;":"&amp;AE$3,'x - authors'!$B$3:$E$10000,4,FALSE))</f>
        <v/>
      </c>
      <c r="AF67" s="80" t="str">
        <f>IF(ISNA(VLOOKUP($B67&amp;":"&amp;AF$3,'x - authors'!$B$3:$E$10000,4,FALSE)),"",VLOOKUP($B67&amp;":"&amp;AF$3,'x - authors'!$B$3:$E$10000,4,FALSE))</f>
        <v/>
      </c>
      <c r="AG67" s="80" t="str">
        <f>IF(ISNA(VLOOKUP($B67&amp;":"&amp;AG$3,'x - authors'!$B$3:$E$10000,4,FALSE)),"",VLOOKUP($B67&amp;":"&amp;AG$3,'x - authors'!$B$3:$E$10000,4,FALSE))</f>
        <v/>
      </c>
      <c r="AH67" s="80" t="str">
        <f>IF(ISNA(VLOOKUP($B67&amp;":"&amp;AH$3,'x - authors'!$B$3:$E$10000,4,FALSE)),"",VLOOKUP($B67&amp;":"&amp;AH$3,'x - authors'!$B$3:$E$10000,4,FALSE))</f>
        <v/>
      </c>
      <c r="AI67" s="80" t="str">
        <f>IF(ISNA(VLOOKUP($B67&amp;":"&amp;AI$3,'x - authors'!$B$3:$E$10000,4,FALSE)),"",VLOOKUP($B67&amp;":"&amp;AI$3,'x - authors'!$B$3:$E$10000,4,FALSE))</f>
        <v/>
      </c>
    </row>
    <row r="68" spans="2:35">
      <c r="B68" s="65" t="s">
        <v>5903</v>
      </c>
      <c r="C68" s="65" t="s">
        <v>129</v>
      </c>
      <c r="D68" s="65" t="s">
        <v>5904</v>
      </c>
      <c r="E68" s="83" t="s">
        <v>940</v>
      </c>
      <c r="F68" s="65"/>
      <c r="G68" s="65"/>
      <c r="H68" s="65" t="s">
        <v>5905</v>
      </c>
      <c r="I68" s="65"/>
      <c r="J68" s="65" t="s">
        <v>5907</v>
      </c>
      <c r="K68" s="65"/>
      <c r="L68" s="65" t="s">
        <v>5908</v>
      </c>
      <c r="M68" s="65"/>
      <c r="N68" s="65"/>
      <c r="O68" s="15" t="str">
        <f t="shared" si="0"/>
        <v>citation:doc-1578e-01</v>
      </c>
      <c r="Q68" s="15" t="str">
        <f>VLOOKUP($O68,'x - paper citations'!$B$3:$E$2000,2,FALSE)</f>
        <v>https://scholar.google.co.uk/scholar?q="On the Study of Network Coding with Diversity"&amp;btnG=&amp;hl=en&amp;as_sdt=0,5</v>
      </c>
      <c r="R68" s="15">
        <f>VLOOKUP($O68,'x - paper citations'!$B$3:$E$2000,3,FALSE)</f>
        <v>158</v>
      </c>
      <c r="S68" s="15" t="str">
        <f>VLOOKUP($O68,'x - paper citations'!$B$3:$E$2000,4,FALSE)</f>
        <v>10/01/2016</v>
      </c>
      <c r="U68" s="80" t="str">
        <f>IF(ISNA(VLOOKUP($B68&amp;":"&amp;U$3,'x - authors'!$B$3:$E$10000,4,FALSE)),"",VLOOKUP($B68&amp;":"&amp;U$3,'x - authors'!$B$3:$E$10000,4,FALSE))</f>
        <v>zhiguo_ding</v>
      </c>
      <c r="V68" s="80" t="str">
        <f>IF(ISNA(VLOOKUP($B68&amp;":"&amp;V$3,'x - authors'!$B$3:$E$10000,4,FALSE)),"",VLOOKUP($B68&amp;":"&amp;V$3,'x - authors'!$B$3:$E$10000,4,FALSE))</f>
        <v>kin_leung</v>
      </c>
      <c r="W68" s="80" t="str">
        <f>IF(ISNA(VLOOKUP($B68&amp;":"&amp;W$3,'x - authors'!$B$3:$E$10000,4,FALSE)),"",VLOOKUP($B68&amp;":"&amp;W$3,'x - authors'!$B$3:$E$10000,4,FALSE))</f>
        <v>dennis_goeckel</v>
      </c>
      <c r="X68" s="80" t="str">
        <f>IF(ISNA(VLOOKUP($B68&amp;":"&amp;X$3,'x - authors'!$B$3:$E$10000,4,FALSE)),"",VLOOKUP($B68&amp;":"&amp;X$3,'x - authors'!$B$3:$E$10000,4,FALSE))</f>
        <v>don_towsley</v>
      </c>
      <c r="Y68" s="80" t="str">
        <f>IF(ISNA(VLOOKUP($B68&amp;":"&amp;Y$3,'x - authors'!$B$3:$E$10000,4,FALSE)),"",VLOOKUP($B68&amp;":"&amp;Y$3,'x - authors'!$B$3:$E$10000,4,FALSE))</f>
        <v/>
      </c>
      <c r="Z68" s="80" t="str">
        <f>IF(ISNA(VLOOKUP($B68&amp;":"&amp;Z$3,'x - authors'!$B$3:$E$10000,4,FALSE)),"",VLOOKUP($B68&amp;":"&amp;Z$3,'x - authors'!$B$3:$E$10000,4,FALSE))</f>
        <v/>
      </c>
      <c r="AA68" s="80" t="str">
        <f>IF(ISNA(VLOOKUP($B68&amp;":"&amp;AA$3,'x - authors'!$B$3:$E$10000,4,FALSE)),"",VLOOKUP($B68&amp;":"&amp;AA$3,'x - authors'!$B$3:$E$10000,4,FALSE))</f>
        <v/>
      </c>
      <c r="AB68" s="80" t="str">
        <f>IF(ISNA(VLOOKUP($B68&amp;":"&amp;AB$3,'x - authors'!$B$3:$E$10000,4,FALSE)),"",VLOOKUP($B68&amp;":"&amp;AB$3,'x - authors'!$B$3:$E$10000,4,FALSE))</f>
        <v/>
      </c>
      <c r="AC68" s="80" t="str">
        <f>IF(ISNA(VLOOKUP($B68&amp;":"&amp;AC$3,'x - authors'!$B$3:$E$10000,4,FALSE)),"",VLOOKUP($B68&amp;":"&amp;AC$3,'x - authors'!$B$3:$E$10000,4,FALSE))</f>
        <v/>
      </c>
      <c r="AD68" s="80" t="str">
        <f>IF(ISNA(VLOOKUP($B68&amp;":"&amp;AD$3,'x - authors'!$B$3:$E$10000,4,FALSE)),"",VLOOKUP($B68&amp;":"&amp;AD$3,'x - authors'!$B$3:$E$10000,4,FALSE))</f>
        <v/>
      </c>
      <c r="AE68" s="80" t="str">
        <f>IF(ISNA(VLOOKUP($B68&amp;":"&amp;AE$3,'x - authors'!$B$3:$E$10000,4,FALSE)),"",VLOOKUP($B68&amp;":"&amp;AE$3,'x - authors'!$B$3:$E$10000,4,FALSE))</f>
        <v/>
      </c>
      <c r="AF68" s="80" t="str">
        <f>IF(ISNA(VLOOKUP($B68&amp;":"&amp;AF$3,'x - authors'!$B$3:$E$10000,4,FALSE)),"",VLOOKUP($B68&amp;":"&amp;AF$3,'x - authors'!$B$3:$E$10000,4,FALSE))</f>
        <v/>
      </c>
      <c r="AG68" s="80" t="str">
        <f>IF(ISNA(VLOOKUP($B68&amp;":"&amp;AG$3,'x - authors'!$B$3:$E$10000,4,FALSE)),"",VLOOKUP($B68&amp;":"&amp;AG$3,'x - authors'!$B$3:$E$10000,4,FALSE))</f>
        <v/>
      </c>
      <c r="AH68" s="80" t="str">
        <f>IF(ISNA(VLOOKUP($B68&amp;":"&amp;AH$3,'x - authors'!$B$3:$E$10000,4,FALSE)),"",VLOOKUP($B68&amp;":"&amp;AH$3,'x - authors'!$B$3:$E$10000,4,FALSE))</f>
        <v/>
      </c>
      <c r="AI68" s="80" t="str">
        <f>IF(ISNA(VLOOKUP($B68&amp;":"&amp;AI$3,'x - authors'!$B$3:$E$10000,4,FALSE)),"",VLOOKUP($B68&amp;":"&amp;AI$3,'x - authors'!$B$3:$E$10000,4,FALSE))</f>
        <v/>
      </c>
    </row>
    <row r="69" spans="2:35">
      <c r="B69" s="65" t="s">
        <v>5909</v>
      </c>
      <c r="C69" s="65" t="s">
        <v>129</v>
      </c>
      <c r="D69" s="65" t="s">
        <v>5910</v>
      </c>
      <c r="E69" s="83" t="s">
        <v>1009</v>
      </c>
      <c r="F69" s="65" t="s">
        <v>5449</v>
      </c>
      <c r="G69" s="65"/>
      <c r="H69" s="65" t="s">
        <v>5911</v>
      </c>
      <c r="I69" s="65"/>
      <c r="J69" s="65" t="s">
        <v>5914</v>
      </c>
      <c r="K69" s="65"/>
      <c r="L69" s="65" t="s">
        <v>5915</v>
      </c>
      <c r="M69" s="65" t="s">
        <v>5916</v>
      </c>
      <c r="N69" s="65"/>
      <c r="O69" s="15" t="str">
        <f t="shared" ref="O69:O132" si="1">"citation:"&amp;B69&amp;"-01"</f>
        <v>citation:doc-1682-01</v>
      </c>
      <c r="Q69" s="15" t="str">
        <f>VLOOKUP($O69,'x - paper citations'!$B$3:$E$2000,2,FALSE)</f>
        <v>https://scholar.google.co.uk/scholar?q="Impact of In-Network Aggregation on Target Tracking Quality"&amp;btnG=&amp;hl=en&amp;as_sdt=0,5</v>
      </c>
      <c r="R69" s="15">
        <f>VLOOKUP($O69,'x - paper citations'!$B$3:$E$2000,3,FALSE)</f>
        <v>2</v>
      </c>
      <c r="S69" s="15" t="str">
        <f>VLOOKUP($O69,'x - paper citations'!$B$3:$E$2000,4,FALSE)</f>
        <v>12/02/2016</v>
      </c>
      <c r="U69" s="80" t="str">
        <f>IF(ISNA(VLOOKUP($B69&amp;":"&amp;U$3,'x - authors'!$B$3:$E$10000,4,FALSE)),"",VLOOKUP($B69&amp;":"&amp;U$3,'x - authors'!$B$3:$E$10000,4,FALSE))</f>
        <v>wei_wei</v>
      </c>
      <c r="V69" s="80" t="str">
        <f>IF(ISNA(VLOOKUP($B69&amp;":"&amp;V$3,'x - authors'!$B$3:$E$10000,4,FALSE)),"",VLOOKUP($B69&amp;":"&amp;V$3,'x - authors'!$B$3:$E$10000,4,FALSE))</f>
        <v>ting_he</v>
      </c>
      <c r="W69" s="80" t="str">
        <f>IF(ISNA(VLOOKUP($B69&amp;":"&amp;W$3,'x - authors'!$B$3:$E$10000,4,FALSE)),"",VLOOKUP($B69&amp;":"&amp;W$3,'x - authors'!$B$3:$E$10000,4,FALSE))</f>
        <v>chatschik_bisdikian</v>
      </c>
      <c r="X69" s="80" t="str">
        <f>IF(ISNA(VLOOKUP($B69&amp;":"&amp;X$3,'x - authors'!$B$3:$E$10000,4,FALSE)),"",VLOOKUP($B69&amp;":"&amp;X$3,'x - authors'!$B$3:$E$10000,4,FALSE))</f>
        <v>dennis_goeckel</v>
      </c>
      <c r="Y69" s="80" t="str">
        <f>IF(ISNA(VLOOKUP($B69&amp;":"&amp;Y$3,'x - authors'!$B$3:$E$10000,4,FALSE)),"",VLOOKUP($B69&amp;":"&amp;Y$3,'x - authors'!$B$3:$E$10000,4,FALSE))</f>
        <v>bo_jiang</v>
      </c>
      <c r="Z69" s="80" t="str">
        <f>IF(ISNA(VLOOKUP($B69&amp;":"&amp;Z$3,'x - authors'!$B$3:$E$10000,4,FALSE)),"",VLOOKUP($B69&amp;":"&amp;Z$3,'x - authors'!$B$3:$E$10000,4,FALSE))</f>
        <v>lance_kaplan</v>
      </c>
      <c r="AA69" s="80" t="str">
        <f>IF(ISNA(VLOOKUP($B69&amp;":"&amp;AA$3,'x - authors'!$B$3:$E$10000,4,FALSE)),"",VLOOKUP($B69&amp;":"&amp;AA$3,'x - authors'!$B$3:$E$10000,4,FALSE))</f>
        <v>don_towsley</v>
      </c>
      <c r="AB69" s="80" t="str">
        <f>IF(ISNA(VLOOKUP($B69&amp;":"&amp;AB$3,'x - authors'!$B$3:$E$10000,4,FALSE)),"",VLOOKUP($B69&amp;":"&amp;AB$3,'x - authors'!$B$3:$E$10000,4,FALSE))</f>
        <v/>
      </c>
      <c r="AC69" s="80" t="str">
        <f>IF(ISNA(VLOOKUP($B69&amp;":"&amp;AC$3,'x - authors'!$B$3:$E$10000,4,FALSE)),"",VLOOKUP($B69&amp;":"&amp;AC$3,'x - authors'!$B$3:$E$10000,4,FALSE))</f>
        <v/>
      </c>
      <c r="AD69" s="80" t="str">
        <f>IF(ISNA(VLOOKUP($B69&amp;":"&amp;AD$3,'x - authors'!$B$3:$E$10000,4,FALSE)),"",VLOOKUP($B69&amp;":"&amp;AD$3,'x - authors'!$B$3:$E$10000,4,FALSE))</f>
        <v/>
      </c>
      <c r="AE69" s="80" t="str">
        <f>IF(ISNA(VLOOKUP($B69&amp;":"&amp;AE$3,'x - authors'!$B$3:$E$10000,4,FALSE)),"",VLOOKUP($B69&amp;":"&amp;AE$3,'x - authors'!$B$3:$E$10000,4,FALSE))</f>
        <v/>
      </c>
      <c r="AF69" s="80" t="str">
        <f>IF(ISNA(VLOOKUP($B69&amp;":"&amp;AF$3,'x - authors'!$B$3:$E$10000,4,FALSE)),"",VLOOKUP($B69&amp;":"&amp;AF$3,'x - authors'!$B$3:$E$10000,4,FALSE))</f>
        <v/>
      </c>
      <c r="AG69" s="80" t="str">
        <f>IF(ISNA(VLOOKUP($B69&amp;":"&amp;AG$3,'x - authors'!$B$3:$E$10000,4,FALSE)),"",VLOOKUP($B69&amp;":"&amp;AG$3,'x - authors'!$B$3:$E$10000,4,FALSE))</f>
        <v/>
      </c>
      <c r="AH69" s="80" t="str">
        <f>IF(ISNA(VLOOKUP($B69&amp;":"&amp;AH$3,'x - authors'!$B$3:$E$10000,4,FALSE)),"",VLOOKUP($B69&amp;":"&amp;AH$3,'x - authors'!$B$3:$E$10000,4,FALSE))</f>
        <v/>
      </c>
      <c r="AI69" s="80" t="str">
        <f>IF(ISNA(VLOOKUP($B69&amp;":"&amp;AI$3,'x - authors'!$B$3:$E$10000,4,FALSE)),"",VLOOKUP($B69&amp;":"&amp;AI$3,'x - authors'!$B$3:$E$10000,4,FALSE))</f>
        <v/>
      </c>
    </row>
    <row r="70" spans="2:35">
      <c r="B70" s="65" t="s">
        <v>5917</v>
      </c>
      <c r="C70" s="65" t="s">
        <v>129</v>
      </c>
      <c r="D70" s="65" t="s">
        <v>5918</v>
      </c>
      <c r="E70" s="83" t="s">
        <v>1000</v>
      </c>
      <c r="F70" s="65" t="s">
        <v>5457</v>
      </c>
      <c r="G70" s="65"/>
      <c r="H70" s="65" t="s">
        <v>5919</v>
      </c>
      <c r="I70" s="65"/>
      <c r="J70" s="65" t="s">
        <v>5921</v>
      </c>
      <c r="K70" s="65"/>
      <c r="L70" s="65" t="s">
        <v>5922</v>
      </c>
      <c r="M70" s="65"/>
      <c r="N70" s="65"/>
      <c r="O70" s="15" t="str">
        <f t="shared" si="1"/>
        <v>citation:doc-1836-01</v>
      </c>
      <c r="Q70" s="15" t="str">
        <f>VLOOKUP($O70,'x - paper citations'!$B$3:$E$2000,2,FALSE)</f>
        <v>https://scholar.google.co.uk/scholar?q="Learning Strategies for Task Delegation in Norm-Governed Environments"&amp;btnG=&amp;hl=en&amp;as_sdt=0,5</v>
      </c>
      <c r="R70" s="15">
        <f>VLOOKUP($O70,'x - paper citations'!$B$3:$E$2000,3,FALSE)</f>
        <v>3</v>
      </c>
      <c r="S70" s="15" t="str">
        <f>VLOOKUP($O70,'x - paper citations'!$B$3:$E$2000,4,FALSE)</f>
        <v>19/01/2016</v>
      </c>
      <c r="U70" s="80" t="str">
        <f>IF(ISNA(VLOOKUP($B70&amp;":"&amp;U$3,'x - authors'!$B$3:$E$10000,4,FALSE)),"",VLOOKUP($B70&amp;":"&amp;U$3,'x - authors'!$B$3:$E$10000,4,FALSE))</f>
        <v>david_emele</v>
      </c>
      <c r="V70" s="80" t="str">
        <f>IF(ISNA(VLOOKUP($B70&amp;":"&amp;V$3,'x - authors'!$B$3:$E$10000,4,FALSE)),"",VLOOKUP($B70&amp;":"&amp;V$3,'x - authors'!$B$3:$E$10000,4,FALSE))</f>
        <v>timothy_norman</v>
      </c>
      <c r="W70" s="80" t="str">
        <f>IF(ISNA(VLOOKUP($B70&amp;":"&amp;W$3,'x - authors'!$B$3:$E$10000,4,FALSE)),"",VLOOKUP($B70&amp;":"&amp;W$3,'x - authors'!$B$3:$E$10000,4,FALSE))</f>
        <v>murat_sensoy</v>
      </c>
      <c r="X70" s="80" t="str">
        <f>IF(ISNA(VLOOKUP($B70&amp;":"&amp;X$3,'x - authors'!$B$3:$E$10000,4,FALSE)),"",VLOOKUP($B70&amp;":"&amp;X$3,'x - authors'!$B$3:$E$10000,4,FALSE))</f>
        <v>simon_parsons</v>
      </c>
      <c r="Y70" s="80" t="str">
        <f>IF(ISNA(VLOOKUP($B70&amp;":"&amp;Y$3,'x - authors'!$B$3:$E$10000,4,FALSE)),"",VLOOKUP($B70&amp;":"&amp;Y$3,'x - authors'!$B$3:$E$10000,4,FALSE))</f>
        <v/>
      </c>
      <c r="Z70" s="80" t="str">
        <f>IF(ISNA(VLOOKUP($B70&amp;":"&amp;Z$3,'x - authors'!$B$3:$E$10000,4,FALSE)),"",VLOOKUP($B70&amp;":"&amp;Z$3,'x - authors'!$B$3:$E$10000,4,FALSE))</f>
        <v/>
      </c>
      <c r="AA70" s="80" t="str">
        <f>IF(ISNA(VLOOKUP($B70&amp;":"&amp;AA$3,'x - authors'!$B$3:$E$10000,4,FALSE)),"",VLOOKUP($B70&amp;":"&amp;AA$3,'x - authors'!$B$3:$E$10000,4,FALSE))</f>
        <v/>
      </c>
      <c r="AB70" s="80" t="str">
        <f>IF(ISNA(VLOOKUP($B70&amp;":"&amp;AB$3,'x - authors'!$B$3:$E$10000,4,FALSE)),"",VLOOKUP($B70&amp;":"&amp;AB$3,'x - authors'!$B$3:$E$10000,4,FALSE))</f>
        <v/>
      </c>
      <c r="AC70" s="80" t="str">
        <f>IF(ISNA(VLOOKUP($B70&amp;":"&amp;AC$3,'x - authors'!$B$3:$E$10000,4,FALSE)),"",VLOOKUP($B70&amp;":"&amp;AC$3,'x - authors'!$B$3:$E$10000,4,FALSE))</f>
        <v/>
      </c>
      <c r="AD70" s="80" t="str">
        <f>IF(ISNA(VLOOKUP($B70&amp;":"&amp;AD$3,'x - authors'!$B$3:$E$10000,4,FALSE)),"",VLOOKUP($B70&amp;":"&amp;AD$3,'x - authors'!$B$3:$E$10000,4,FALSE))</f>
        <v/>
      </c>
      <c r="AE70" s="80" t="str">
        <f>IF(ISNA(VLOOKUP($B70&amp;":"&amp;AE$3,'x - authors'!$B$3:$E$10000,4,FALSE)),"",VLOOKUP($B70&amp;":"&amp;AE$3,'x - authors'!$B$3:$E$10000,4,FALSE))</f>
        <v/>
      </c>
      <c r="AF70" s="80" t="str">
        <f>IF(ISNA(VLOOKUP($B70&amp;":"&amp;AF$3,'x - authors'!$B$3:$E$10000,4,FALSE)),"",VLOOKUP($B70&amp;":"&amp;AF$3,'x - authors'!$B$3:$E$10000,4,FALSE))</f>
        <v/>
      </c>
      <c r="AG70" s="80" t="str">
        <f>IF(ISNA(VLOOKUP($B70&amp;":"&amp;AG$3,'x - authors'!$B$3:$E$10000,4,FALSE)),"",VLOOKUP($B70&amp;":"&amp;AG$3,'x - authors'!$B$3:$E$10000,4,FALSE))</f>
        <v/>
      </c>
      <c r="AH70" s="80" t="str">
        <f>IF(ISNA(VLOOKUP($B70&amp;":"&amp;AH$3,'x - authors'!$B$3:$E$10000,4,FALSE)),"",VLOOKUP($B70&amp;":"&amp;AH$3,'x - authors'!$B$3:$E$10000,4,FALSE))</f>
        <v/>
      </c>
      <c r="AI70" s="80" t="str">
        <f>IF(ISNA(VLOOKUP($B70&amp;":"&amp;AI$3,'x - authors'!$B$3:$E$10000,4,FALSE)),"",VLOOKUP($B70&amp;":"&amp;AI$3,'x - authors'!$B$3:$E$10000,4,FALSE))</f>
        <v/>
      </c>
    </row>
    <row r="71" spans="2:35">
      <c r="B71" s="65" t="s">
        <v>5923</v>
      </c>
      <c r="C71" s="65" t="s">
        <v>129</v>
      </c>
      <c r="D71" s="65" t="s">
        <v>5924</v>
      </c>
      <c r="E71" s="83" t="s">
        <v>997</v>
      </c>
      <c r="F71" s="65" t="s">
        <v>5457</v>
      </c>
      <c r="G71" s="65"/>
      <c r="H71" s="65" t="s">
        <v>5925</v>
      </c>
      <c r="I71" s="65"/>
      <c r="J71" s="65" t="s">
        <v>5928</v>
      </c>
      <c r="K71" s="65"/>
      <c r="L71" s="65" t="s">
        <v>5929</v>
      </c>
      <c r="M71" s="65"/>
      <c r="N71" s="65"/>
      <c r="O71" s="15" t="str">
        <f t="shared" si="1"/>
        <v>citation:doc-1840-01</v>
      </c>
      <c r="Q71" s="15" t="str">
        <f>VLOOKUP($O71,'x - paper citations'!$B$3:$E$2000,2,FALSE)</f>
        <v>https://scholar.google.co.uk/scholar?q="OWL-POLAR: A Framework for Semantic Policy Representation and Reasoning"&amp;btnG=&amp;hl=en&amp;as_sdt=0,5</v>
      </c>
      <c r="R71" s="15">
        <f>VLOOKUP($O71,'x - paper citations'!$B$3:$E$2000,3,FALSE)</f>
        <v>26</v>
      </c>
      <c r="S71" s="15" t="str">
        <f>VLOOKUP($O71,'x - paper citations'!$B$3:$E$2000,4,FALSE)</f>
        <v>11/12/2015</v>
      </c>
      <c r="U71" s="80" t="str">
        <f>IF(ISNA(VLOOKUP($B71&amp;":"&amp;U$3,'x - authors'!$B$3:$E$10000,4,FALSE)),"",VLOOKUP($B71&amp;":"&amp;U$3,'x - authors'!$B$3:$E$10000,4,FALSE))</f>
        <v>murat_sensoy</v>
      </c>
      <c r="V71" s="80" t="str">
        <f>IF(ISNA(VLOOKUP($B71&amp;":"&amp;V$3,'x - authors'!$B$3:$E$10000,4,FALSE)),"",VLOOKUP($B71&amp;":"&amp;V$3,'x - authors'!$B$3:$E$10000,4,FALSE))</f>
        <v>timothy_norman</v>
      </c>
      <c r="W71" s="80" t="str">
        <f>IF(ISNA(VLOOKUP($B71&amp;":"&amp;W$3,'x - authors'!$B$3:$E$10000,4,FALSE)),"",VLOOKUP($B71&amp;":"&amp;W$3,'x - authors'!$B$3:$E$10000,4,FALSE))</f>
        <v>wamberto_vasconcelos</v>
      </c>
      <c r="X71" s="80" t="str">
        <f>IF(ISNA(VLOOKUP($B71&amp;":"&amp;X$3,'x - authors'!$B$3:$E$10000,4,FALSE)),"",VLOOKUP($B71&amp;":"&amp;X$3,'x - authors'!$B$3:$E$10000,4,FALSE))</f>
        <v>katia_sycara</v>
      </c>
      <c r="Y71" s="80" t="str">
        <f>IF(ISNA(VLOOKUP($B71&amp;":"&amp;Y$3,'x - authors'!$B$3:$E$10000,4,FALSE)),"",VLOOKUP($B71&amp;":"&amp;Y$3,'x - authors'!$B$3:$E$10000,4,FALSE))</f>
        <v/>
      </c>
      <c r="Z71" s="80" t="str">
        <f>IF(ISNA(VLOOKUP($B71&amp;":"&amp;Z$3,'x - authors'!$B$3:$E$10000,4,FALSE)),"",VLOOKUP($B71&amp;":"&amp;Z$3,'x - authors'!$B$3:$E$10000,4,FALSE))</f>
        <v/>
      </c>
      <c r="AA71" s="80" t="str">
        <f>IF(ISNA(VLOOKUP($B71&amp;":"&amp;AA$3,'x - authors'!$B$3:$E$10000,4,FALSE)),"",VLOOKUP($B71&amp;":"&amp;AA$3,'x - authors'!$B$3:$E$10000,4,FALSE))</f>
        <v/>
      </c>
      <c r="AB71" s="80" t="str">
        <f>IF(ISNA(VLOOKUP($B71&amp;":"&amp;AB$3,'x - authors'!$B$3:$E$10000,4,FALSE)),"",VLOOKUP($B71&amp;":"&amp;AB$3,'x - authors'!$B$3:$E$10000,4,FALSE))</f>
        <v/>
      </c>
      <c r="AC71" s="80" t="str">
        <f>IF(ISNA(VLOOKUP($B71&amp;":"&amp;AC$3,'x - authors'!$B$3:$E$10000,4,FALSE)),"",VLOOKUP($B71&amp;":"&amp;AC$3,'x - authors'!$B$3:$E$10000,4,FALSE))</f>
        <v/>
      </c>
      <c r="AD71" s="80" t="str">
        <f>IF(ISNA(VLOOKUP($B71&amp;":"&amp;AD$3,'x - authors'!$B$3:$E$10000,4,FALSE)),"",VLOOKUP($B71&amp;":"&amp;AD$3,'x - authors'!$B$3:$E$10000,4,FALSE))</f>
        <v/>
      </c>
      <c r="AE71" s="80" t="str">
        <f>IF(ISNA(VLOOKUP($B71&amp;":"&amp;AE$3,'x - authors'!$B$3:$E$10000,4,FALSE)),"",VLOOKUP($B71&amp;":"&amp;AE$3,'x - authors'!$B$3:$E$10000,4,FALSE))</f>
        <v/>
      </c>
      <c r="AF71" s="80" t="str">
        <f>IF(ISNA(VLOOKUP($B71&amp;":"&amp;AF$3,'x - authors'!$B$3:$E$10000,4,FALSE)),"",VLOOKUP($B71&amp;":"&amp;AF$3,'x - authors'!$B$3:$E$10000,4,FALSE))</f>
        <v/>
      </c>
      <c r="AG71" s="80" t="str">
        <f>IF(ISNA(VLOOKUP($B71&amp;":"&amp;AG$3,'x - authors'!$B$3:$E$10000,4,FALSE)),"",VLOOKUP($B71&amp;":"&amp;AG$3,'x - authors'!$B$3:$E$10000,4,FALSE))</f>
        <v/>
      </c>
      <c r="AH71" s="80" t="str">
        <f>IF(ISNA(VLOOKUP($B71&amp;":"&amp;AH$3,'x - authors'!$B$3:$E$10000,4,FALSE)),"",VLOOKUP($B71&amp;":"&amp;AH$3,'x - authors'!$B$3:$E$10000,4,FALSE))</f>
        <v/>
      </c>
      <c r="AI71" s="80" t="str">
        <f>IF(ISNA(VLOOKUP($B71&amp;":"&amp;AI$3,'x - authors'!$B$3:$E$10000,4,FALSE)),"",VLOOKUP($B71&amp;":"&amp;AI$3,'x - authors'!$B$3:$E$10000,4,FALSE))</f>
        <v/>
      </c>
    </row>
    <row r="72" spans="2:35">
      <c r="B72" s="65" t="s">
        <v>5930</v>
      </c>
      <c r="C72" s="65" t="s">
        <v>129</v>
      </c>
      <c r="D72" s="65" t="s">
        <v>5931</v>
      </c>
      <c r="E72" s="83" t="s">
        <v>1000</v>
      </c>
      <c r="F72" s="65" t="s">
        <v>5449</v>
      </c>
      <c r="G72" s="65"/>
      <c r="H72" s="65" t="s">
        <v>5932</v>
      </c>
      <c r="I72" s="65"/>
      <c r="J72" s="65" t="s">
        <v>5934</v>
      </c>
      <c r="K72" s="65"/>
      <c r="L72" s="65" t="s">
        <v>5935</v>
      </c>
      <c r="M72" s="65"/>
      <c r="N72" s="65"/>
      <c r="O72" s="15" t="str">
        <f t="shared" si="1"/>
        <v>citation:doc-1873-01</v>
      </c>
      <c r="Q72" s="15" t="str">
        <f>VLOOKUP($O72,'x - paper citations'!$B$3:$E$2000,2,FALSE)</f>
        <v>https://scholar.google.co.uk/scholar?q="On the Application of Cooperative Transmission to Secrecy Communications"&amp;btnG=&amp;hl=en&amp;as_sdt=0,5</v>
      </c>
      <c r="R72" s="15">
        <f>VLOOKUP($O72,'x - paper citations'!$B$3:$E$2000,3,FALSE)</f>
        <v>48</v>
      </c>
      <c r="S72" s="15" t="str">
        <f>VLOOKUP($O72,'x - paper citations'!$B$3:$E$2000,4,FALSE)</f>
        <v>11/12/2015</v>
      </c>
      <c r="U72" s="80" t="str">
        <f>IF(ISNA(VLOOKUP($B72&amp;":"&amp;U$3,'x - authors'!$B$3:$E$10000,4,FALSE)),"",VLOOKUP($B72&amp;":"&amp;U$3,'x - authors'!$B$3:$E$10000,4,FALSE))</f>
        <v>zhiguo_ding</v>
      </c>
      <c r="V72" s="80" t="str">
        <f>IF(ISNA(VLOOKUP($B72&amp;":"&amp;V$3,'x - authors'!$B$3:$E$10000,4,FALSE)),"",VLOOKUP($B72&amp;":"&amp;V$3,'x - authors'!$B$3:$E$10000,4,FALSE))</f>
        <v>kin_leung</v>
      </c>
      <c r="W72" s="80" t="str">
        <f>IF(ISNA(VLOOKUP($B72&amp;":"&amp;W$3,'x - authors'!$B$3:$E$10000,4,FALSE)),"",VLOOKUP($B72&amp;":"&amp;W$3,'x - authors'!$B$3:$E$10000,4,FALSE))</f>
        <v>dennis_goeckel</v>
      </c>
      <c r="X72" s="80" t="str">
        <f>IF(ISNA(VLOOKUP($B72&amp;":"&amp;X$3,'x - authors'!$B$3:$E$10000,4,FALSE)),"",VLOOKUP($B72&amp;":"&amp;X$3,'x - authors'!$B$3:$E$10000,4,FALSE))</f>
        <v>don_towsley</v>
      </c>
      <c r="Y72" s="80" t="str">
        <f>IF(ISNA(VLOOKUP($B72&amp;":"&amp;Y$3,'x - authors'!$B$3:$E$10000,4,FALSE)),"",VLOOKUP($B72&amp;":"&amp;Y$3,'x - authors'!$B$3:$E$10000,4,FALSE))</f>
        <v/>
      </c>
      <c r="Z72" s="80" t="str">
        <f>IF(ISNA(VLOOKUP($B72&amp;":"&amp;Z$3,'x - authors'!$B$3:$E$10000,4,FALSE)),"",VLOOKUP($B72&amp;":"&amp;Z$3,'x - authors'!$B$3:$E$10000,4,FALSE))</f>
        <v/>
      </c>
      <c r="AA72" s="80" t="str">
        <f>IF(ISNA(VLOOKUP($B72&amp;":"&amp;AA$3,'x - authors'!$B$3:$E$10000,4,FALSE)),"",VLOOKUP($B72&amp;":"&amp;AA$3,'x - authors'!$B$3:$E$10000,4,FALSE))</f>
        <v/>
      </c>
      <c r="AB72" s="80" t="str">
        <f>IF(ISNA(VLOOKUP($B72&amp;":"&amp;AB$3,'x - authors'!$B$3:$E$10000,4,FALSE)),"",VLOOKUP($B72&amp;":"&amp;AB$3,'x - authors'!$B$3:$E$10000,4,FALSE))</f>
        <v/>
      </c>
      <c r="AC72" s="80" t="str">
        <f>IF(ISNA(VLOOKUP($B72&amp;":"&amp;AC$3,'x - authors'!$B$3:$E$10000,4,FALSE)),"",VLOOKUP($B72&amp;":"&amp;AC$3,'x - authors'!$B$3:$E$10000,4,FALSE))</f>
        <v/>
      </c>
      <c r="AD72" s="80" t="str">
        <f>IF(ISNA(VLOOKUP($B72&amp;":"&amp;AD$3,'x - authors'!$B$3:$E$10000,4,FALSE)),"",VLOOKUP($B72&amp;":"&amp;AD$3,'x - authors'!$B$3:$E$10000,4,FALSE))</f>
        <v/>
      </c>
      <c r="AE72" s="80" t="str">
        <f>IF(ISNA(VLOOKUP($B72&amp;":"&amp;AE$3,'x - authors'!$B$3:$E$10000,4,FALSE)),"",VLOOKUP($B72&amp;":"&amp;AE$3,'x - authors'!$B$3:$E$10000,4,FALSE))</f>
        <v/>
      </c>
      <c r="AF72" s="80" t="str">
        <f>IF(ISNA(VLOOKUP($B72&amp;":"&amp;AF$3,'x - authors'!$B$3:$E$10000,4,FALSE)),"",VLOOKUP($B72&amp;":"&amp;AF$3,'x - authors'!$B$3:$E$10000,4,FALSE))</f>
        <v/>
      </c>
      <c r="AG72" s="80" t="str">
        <f>IF(ISNA(VLOOKUP($B72&amp;":"&amp;AG$3,'x - authors'!$B$3:$E$10000,4,FALSE)),"",VLOOKUP($B72&amp;":"&amp;AG$3,'x - authors'!$B$3:$E$10000,4,FALSE))</f>
        <v/>
      </c>
      <c r="AH72" s="80" t="str">
        <f>IF(ISNA(VLOOKUP($B72&amp;":"&amp;AH$3,'x - authors'!$B$3:$E$10000,4,FALSE)),"",VLOOKUP($B72&amp;":"&amp;AH$3,'x - authors'!$B$3:$E$10000,4,FALSE))</f>
        <v/>
      </c>
      <c r="AI72" s="80" t="str">
        <f>IF(ISNA(VLOOKUP($B72&amp;":"&amp;AI$3,'x - authors'!$B$3:$E$10000,4,FALSE)),"",VLOOKUP($B72&amp;":"&amp;AI$3,'x - authors'!$B$3:$E$10000,4,FALSE))</f>
        <v/>
      </c>
    </row>
    <row r="73" spans="2:35">
      <c r="B73" s="65" t="s">
        <v>5936</v>
      </c>
      <c r="C73" s="65" t="s">
        <v>129</v>
      </c>
      <c r="D73" s="65" t="s">
        <v>5937</v>
      </c>
      <c r="E73" s="83" t="s">
        <v>1002</v>
      </c>
      <c r="F73" s="65" t="s">
        <v>54</v>
      </c>
      <c r="G73" s="65"/>
      <c r="H73" s="65" t="s">
        <v>5938</v>
      </c>
      <c r="I73" s="65"/>
      <c r="J73" s="65" t="s">
        <v>5941</v>
      </c>
      <c r="K73" s="65"/>
      <c r="L73" s="65" t="s">
        <v>5942</v>
      </c>
      <c r="M73" s="65"/>
      <c r="N73" s="65"/>
      <c r="O73" s="15" t="str">
        <f t="shared" si="1"/>
        <v>citation:doc-1880-01</v>
      </c>
      <c r="Q73" s="15" t="str">
        <f>VLOOKUP($O73,'x - paper citations'!$B$3:$E$2000,2,FALSE)</f>
        <v>https://scholar.google.co.uk/scholar?q="The Web-Extended Mind"&amp;btnG=&amp;hl=en&amp;as_sdt=0,5</v>
      </c>
      <c r="R73" s="15">
        <f>VLOOKUP($O73,'x - paper citations'!$B$3:$E$2000,3,FALSE)</f>
        <v>22</v>
      </c>
      <c r="S73" s="15" t="str">
        <f>VLOOKUP($O73,'x - paper citations'!$B$3:$E$2000,4,FALSE)</f>
        <v>27/11/2015</v>
      </c>
      <c r="U73" s="80" t="str">
        <f>IF(ISNA(VLOOKUP($B73&amp;":"&amp;U$3,'x - authors'!$B$3:$E$10000,4,FALSE)),"",VLOOKUP($B73&amp;":"&amp;U$3,'x - authors'!$B$3:$E$10000,4,FALSE))</f>
        <v>paul_smart</v>
      </c>
      <c r="V73" s="80" t="str">
        <f>IF(ISNA(VLOOKUP($B73&amp;":"&amp;V$3,'x - authors'!$B$3:$E$10000,4,FALSE)),"",VLOOKUP($B73&amp;":"&amp;V$3,'x - authors'!$B$3:$E$10000,4,FALSE))</f>
        <v/>
      </c>
      <c r="W73" s="80" t="str">
        <f>IF(ISNA(VLOOKUP($B73&amp;":"&amp;W$3,'x - authors'!$B$3:$E$10000,4,FALSE)),"",VLOOKUP($B73&amp;":"&amp;W$3,'x - authors'!$B$3:$E$10000,4,FALSE))</f>
        <v/>
      </c>
      <c r="X73" s="80" t="str">
        <f>IF(ISNA(VLOOKUP($B73&amp;":"&amp;X$3,'x - authors'!$B$3:$E$10000,4,FALSE)),"",VLOOKUP($B73&amp;":"&amp;X$3,'x - authors'!$B$3:$E$10000,4,FALSE))</f>
        <v/>
      </c>
      <c r="Y73" s="80" t="str">
        <f>IF(ISNA(VLOOKUP($B73&amp;":"&amp;Y$3,'x - authors'!$B$3:$E$10000,4,FALSE)),"",VLOOKUP($B73&amp;":"&amp;Y$3,'x - authors'!$B$3:$E$10000,4,FALSE))</f>
        <v/>
      </c>
      <c r="Z73" s="80" t="str">
        <f>IF(ISNA(VLOOKUP($B73&amp;":"&amp;Z$3,'x - authors'!$B$3:$E$10000,4,FALSE)),"",VLOOKUP($B73&amp;":"&amp;Z$3,'x - authors'!$B$3:$E$10000,4,FALSE))</f>
        <v/>
      </c>
      <c r="AA73" s="80" t="str">
        <f>IF(ISNA(VLOOKUP($B73&amp;":"&amp;AA$3,'x - authors'!$B$3:$E$10000,4,FALSE)),"",VLOOKUP($B73&amp;":"&amp;AA$3,'x - authors'!$B$3:$E$10000,4,FALSE))</f>
        <v/>
      </c>
      <c r="AB73" s="80" t="str">
        <f>IF(ISNA(VLOOKUP($B73&amp;":"&amp;AB$3,'x - authors'!$B$3:$E$10000,4,FALSE)),"",VLOOKUP($B73&amp;":"&amp;AB$3,'x - authors'!$B$3:$E$10000,4,FALSE))</f>
        <v/>
      </c>
      <c r="AC73" s="80" t="str">
        <f>IF(ISNA(VLOOKUP($B73&amp;":"&amp;AC$3,'x - authors'!$B$3:$E$10000,4,FALSE)),"",VLOOKUP($B73&amp;":"&amp;AC$3,'x - authors'!$B$3:$E$10000,4,FALSE))</f>
        <v/>
      </c>
      <c r="AD73" s="80" t="str">
        <f>IF(ISNA(VLOOKUP($B73&amp;":"&amp;AD$3,'x - authors'!$B$3:$E$10000,4,FALSE)),"",VLOOKUP($B73&amp;":"&amp;AD$3,'x - authors'!$B$3:$E$10000,4,FALSE))</f>
        <v/>
      </c>
      <c r="AE73" s="80" t="str">
        <f>IF(ISNA(VLOOKUP($B73&amp;":"&amp;AE$3,'x - authors'!$B$3:$E$10000,4,FALSE)),"",VLOOKUP($B73&amp;":"&amp;AE$3,'x - authors'!$B$3:$E$10000,4,FALSE))</f>
        <v/>
      </c>
      <c r="AF73" s="80" t="str">
        <f>IF(ISNA(VLOOKUP($B73&amp;":"&amp;AF$3,'x - authors'!$B$3:$E$10000,4,FALSE)),"",VLOOKUP($B73&amp;":"&amp;AF$3,'x - authors'!$B$3:$E$10000,4,FALSE))</f>
        <v/>
      </c>
      <c r="AG73" s="80" t="str">
        <f>IF(ISNA(VLOOKUP($B73&amp;":"&amp;AG$3,'x - authors'!$B$3:$E$10000,4,FALSE)),"",VLOOKUP($B73&amp;":"&amp;AG$3,'x - authors'!$B$3:$E$10000,4,FALSE))</f>
        <v/>
      </c>
      <c r="AH73" s="80" t="str">
        <f>IF(ISNA(VLOOKUP($B73&amp;":"&amp;AH$3,'x - authors'!$B$3:$E$10000,4,FALSE)),"",VLOOKUP($B73&amp;":"&amp;AH$3,'x - authors'!$B$3:$E$10000,4,FALSE))</f>
        <v/>
      </c>
      <c r="AI73" s="80" t="str">
        <f>IF(ISNA(VLOOKUP($B73&amp;":"&amp;AI$3,'x - authors'!$B$3:$E$10000,4,FALSE)),"",VLOOKUP($B73&amp;":"&amp;AI$3,'x - authors'!$B$3:$E$10000,4,FALSE))</f>
        <v/>
      </c>
    </row>
    <row r="74" spans="2:35">
      <c r="B74" s="65" t="s">
        <v>5943</v>
      </c>
      <c r="C74" s="65" t="s">
        <v>129</v>
      </c>
      <c r="D74" s="65" t="s">
        <v>5944</v>
      </c>
      <c r="E74" s="83" t="s">
        <v>1000</v>
      </c>
      <c r="F74" s="65" t="s">
        <v>5457</v>
      </c>
      <c r="G74" s="65"/>
      <c r="H74" s="65" t="s">
        <v>5945</v>
      </c>
      <c r="I74" s="65"/>
      <c r="J74" s="65" t="s">
        <v>5947</v>
      </c>
      <c r="K74" s="65"/>
      <c r="L74" s="65" t="s">
        <v>5948</v>
      </c>
      <c r="M74" s="65" t="s">
        <v>5949</v>
      </c>
      <c r="N74" s="65"/>
      <c r="O74" s="15" t="str">
        <f t="shared" si="1"/>
        <v>citation:doc-1890-01</v>
      </c>
      <c r="Q74" s="15" t="str">
        <f>VLOOKUP($O74,'x - paper citations'!$B$3:$E$2000,2,FALSE)</f>
        <v>https://scholar.google.co.uk/scholar?q="On the Quality and Value of Information in Sensor Networks"&amp;btnG=&amp;hl=en&amp;as_sdt=0,5</v>
      </c>
      <c r="R74" s="15">
        <f>VLOOKUP($O74,'x - paper citations'!$B$3:$E$2000,3,FALSE)</f>
        <v>42</v>
      </c>
      <c r="S74" s="15" t="str">
        <f>VLOOKUP($O74,'x - paper citations'!$B$3:$E$2000,4,FALSE)</f>
        <v>10/01/2016</v>
      </c>
      <c r="U74" s="80" t="str">
        <f>IF(ISNA(VLOOKUP($B74&amp;":"&amp;U$3,'x - authors'!$B$3:$E$10000,4,FALSE)),"",VLOOKUP($B74&amp;":"&amp;U$3,'x - authors'!$B$3:$E$10000,4,FALSE))</f>
        <v>chatschik_bisdikian</v>
      </c>
      <c r="V74" s="80" t="str">
        <f>IF(ISNA(VLOOKUP($B74&amp;":"&amp;V$3,'x - authors'!$B$3:$E$10000,4,FALSE)),"",VLOOKUP($B74&amp;":"&amp;V$3,'x - authors'!$B$3:$E$10000,4,FALSE))</f>
        <v>lance_kaplan</v>
      </c>
      <c r="W74" s="80" t="str">
        <f>IF(ISNA(VLOOKUP($B74&amp;":"&amp;W$3,'x - authors'!$B$3:$E$10000,4,FALSE)),"",VLOOKUP($B74&amp;":"&amp;W$3,'x - authors'!$B$3:$E$10000,4,FALSE))</f>
        <v>mani_srivastava</v>
      </c>
      <c r="X74" s="80" t="str">
        <f>IF(ISNA(VLOOKUP($B74&amp;":"&amp;X$3,'x - authors'!$B$3:$E$10000,4,FALSE)),"",VLOOKUP($B74&amp;":"&amp;X$3,'x - authors'!$B$3:$E$10000,4,FALSE))</f>
        <v/>
      </c>
      <c r="Y74" s="80" t="str">
        <f>IF(ISNA(VLOOKUP($B74&amp;":"&amp;Y$3,'x - authors'!$B$3:$E$10000,4,FALSE)),"",VLOOKUP($B74&amp;":"&amp;Y$3,'x - authors'!$B$3:$E$10000,4,FALSE))</f>
        <v/>
      </c>
      <c r="Z74" s="80" t="str">
        <f>IF(ISNA(VLOOKUP($B74&amp;":"&amp;Z$3,'x - authors'!$B$3:$E$10000,4,FALSE)),"",VLOOKUP($B74&amp;":"&amp;Z$3,'x - authors'!$B$3:$E$10000,4,FALSE))</f>
        <v/>
      </c>
      <c r="AA74" s="80" t="str">
        <f>IF(ISNA(VLOOKUP($B74&amp;":"&amp;AA$3,'x - authors'!$B$3:$E$10000,4,FALSE)),"",VLOOKUP($B74&amp;":"&amp;AA$3,'x - authors'!$B$3:$E$10000,4,FALSE))</f>
        <v/>
      </c>
      <c r="AB74" s="80" t="str">
        <f>IF(ISNA(VLOOKUP($B74&amp;":"&amp;AB$3,'x - authors'!$B$3:$E$10000,4,FALSE)),"",VLOOKUP($B74&amp;":"&amp;AB$3,'x - authors'!$B$3:$E$10000,4,FALSE))</f>
        <v/>
      </c>
      <c r="AC74" s="80" t="str">
        <f>IF(ISNA(VLOOKUP($B74&amp;":"&amp;AC$3,'x - authors'!$B$3:$E$10000,4,FALSE)),"",VLOOKUP($B74&amp;":"&amp;AC$3,'x - authors'!$B$3:$E$10000,4,FALSE))</f>
        <v/>
      </c>
      <c r="AD74" s="80" t="str">
        <f>IF(ISNA(VLOOKUP($B74&amp;":"&amp;AD$3,'x - authors'!$B$3:$E$10000,4,FALSE)),"",VLOOKUP($B74&amp;":"&amp;AD$3,'x - authors'!$B$3:$E$10000,4,FALSE))</f>
        <v/>
      </c>
      <c r="AE74" s="80" t="str">
        <f>IF(ISNA(VLOOKUP($B74&amp;":"&amp;AE$3,'x - authors'!$B$3:$E$10000,4,FALSE)),"",VLOOKUP($B74&amp;":"&amp;AE$3,'x - authors'!$B$3:$E$10000,4,FALSE))</f>
        <v/>
      </c>
      <c r="AF74" s="80" t="str">
        <f>IF(ISNA(VLOOKUP($B74&amp;":"&amp;AF$3,'x - authors'!$B$3:$E$10000,4,FALSE)),"",VLOOKUP($B74&amp;":"&amp;AF$3,'x - authors'!$B$3:$E$10000,4,FALSE))</f>
        <v/>
      </c>
      <c r="AG74" s="80" t="str">
        <f>IF(ISNA(VLOOKUP($B74&amp;":"&amp;AG$3,'x - authors'!$B$3:$E$10000,4,FALSE)),"",VLOOKUP($B74&amp;":"&amp;AG$3,'x - authors'!$B$3:$E$10000,4,FALSE))</f>
        <v/>
      </c>
      <c r="AH74" s="80" t="str">
        <f>IF(ISNA(VLOOKUP($B74&amp;":"&amp;AH$3,'x - authors'!$B$3:$E$10000,4,FALSE)),"",VLOOKUP($B74&amp;":"&amp;AH$3,'x - authors'!$B$3:$E$10000,4,FALSE))</f>
        <v/>
      </c>
      <c r="AI74" s="80" t="str">
        <f>IF(ISNA(VLOOKUP($B74&amp;":"&amp;AI$3,'x - authors'!$B$3:$E$10000,4,FALSE)),"",VLOOKUP($B74&amp;":"&amp;AI$3,'x - authors'!$B$3:$E$10000,4,FALSE))</f>
        <v/>
      </c>
    </row>
    <row r="75" spans="2:35">
      <c r="B75" s="65" t="s">
        <v>5950</v>
      </c>
      <c r="C75" s="65" t="s">
        <v>129</v>
      </c>
      <c r="D75" s="65" t="s">
        <v>5951</v>
      </c>
      <c r="E75" s="83" t="s">
        <v>1010</v>
      </c>
      <c r="F75" s="65" t="s">
        <v>5453</v>
      </c>
      <c r="G75" s="65"/>
      <c r="H75" s="65" t="s">
        <v>5952</v>
      </c>
      <c r="I75" s="65"/>
      <c r="J75" s="65" t="s">
        <v>5954</v>
      </c>
      <c r="K75" s="65"/>
      <c r="L75" s="65" t="s">
        <v>5955</v>
      </c>
      <c r="M75" s="65" t="s">
        <v>5956</v>
      </c>
      <c r="N75" s="65"/>
      <c r="O75" s="15" t="str">
        <f t="shared" si="1"/>
        <v>citation:doc-1900-01</v>
      </c>
      <c r="Q75" s="15" t="str">
        <f>VLOOKUP($O75,'x - paper citations'!$B$3:$E$2000,2,FALSE)</f>
        <v>https://scholar.google.co.uk/scholar?q="Dynamic Enforcement of Knowledge-based Security Policies"&amp;btnG=&amp;hl=en&amp;as_sdt=0,5</v>
      </c>
      <c r="R75" s="15">
        <f>VLOOKUP($O75,'x - paper citations'!$B$3:$E$2000,3,FALSE)</f>
        <v>29</v>
      </c>
      <c r="S75" s="15" t="str">
        <f>VLOOKUP($O75,'x - paper citations'!$B$3:$E$2000,4,FALSE)</f>
        <v>19/01/2016</v>
      </c>
      <c r="U75" s="80" t="str">
        <f>IF(ISNA(VLOOKUP($B75&amp;":"&amp;U$3,'x - authors'!$B$3:$E$10000,4,FALSE)),"",VLOOKUP($B75&amp;":"&amp;U$3,'x - authors'!$B$3:$E$10000,4,FALSE))</f>
        <v>piotr_mardziel</v>
      </c>
      <c r="V75" s="80" t="str">
        <f>IF(ISNA(VLOOKUP($B75&amp;":"&amp;V$3,'x - authors'!$B$3:$E$10000,4,FALSE)),"",VLOOKUP($B75&amp;":"&amp;V$3,'x - authors'!$B$3:$E$10000,4,FALSE))</f>
        <v>stephen_magill</v>
      </c>
      <c r="W75" s="80" t="str">
        <f>IF(ISNA(VLOOKUP($B75&amp;":"&amp;W$3,'x - authors'!$B$3:$E$10000,4,FALSE)),"",VLOOKUP($B75&amp;":"&amp;W$3,'x - authors'!$B$3:$E$10000,4,FALSE))</f>
        <v>mike_hicks</v>
      </c>
      <c r="X75" s="80" t="str">
        <f>IF(ISNA(VLOOKUP($B75&amp;":"&amp;X$3,'x - authors'!$B$3:$E$10000,4,FALSE)),"",VLOOKUP($B75&amp;":"&amp;X$3,'x - authors'!$B$3:$E$10000,4,FALSE))</f>
        <v>mudhakar_srivatsa</v>
      </c>
      <c r="Y75" s="80" t="str">
        <f>IF(ISNA(VLOOKUP($B75&amp;":"&amp;Y$3,'x - authors'!$B$3:$E$10000,4,FALSE)),"",VLOOKUP($B75&amp;":"&amp;Y$3,'x - authors'!$B$3:$E$10000,4,FALSE))</f>
        <v/>
      </c>
      <c r="Z75" s="80" t="str">
        <f>IF(ISNA(VLOOKUP($B75&amp;":"&amp;Z$3,'x - authors'!$B$3:$E$10000,4,FALSE)),"",VLOOKUP($B75&amp;":"&amp;Z$3,'x - authors'!$B$3:$E$10000,4,FALSE))</f>
        <v/>
      </c>
      <c r="AA75" s="80" t="str">
        <f>IF(ISNA(VLOOKUP($B75&amp;":"&amp;AA$3,'x - authors'!$B$3:$E$10000,4,FALSE)),"",VLOOKUP($B75&amp;":"&amp;AA$3,'x - authors'!$B$3:$E$10000,4,FALSE))</f>
        <v/>
      </c>
      <c r="AB75" s="80" t="str">
        <f>IF(ISNA(VLOOKUP($B75&amp;":"&amp;AB$3,'x - authors'!$B$3:$E$10000,4,FALSE)),"",VLOOKUP($B75&amp;":"&amp;AB$3,'x - authors'!$B$3:$E$10000,4,FALSE))</f>
        <v/>
      </c>
      <c r="AC75" s="80" t="str">
        <f>IF(ISNA(VLOOKUP($B75&amp;":"&amp;AC$3,'x - authors'!$B$3:$E$10000,4,FALSE)),"",VLOOKUP($B75&amp;":"&amp;AC$3,'x - authors'!$B$3:$E$10000,4,FALSE))</f>
        <v/>
      </c>
      <c r="AD75" s="80" t="str">
        <f>IF(ISNA(VLOOKUP($B75&amp;":"&amp;AD$3,'x - authors'!$B$3:$E$10000,4,FALSE)),"",VLOOKUP($B75&amp;":"&amp;AD$3,'x - authors'!$B$3:$E$10000,4,FALSE))</f>
        <v/>
      </c>
      <c r="AE75" s="80" t="str">
        <f>IF(ISNA(VLOOKUP($B75&amp;":"&amp;AE$3,'x - authors'!$B$3:$E$10000,4,FALSE)),"",VLOOKUP($B75&amp;":"&amp;AE$3,'x - authors'!$B$3:$E$10000,4,FALSE))</f>
        <v/>
      </c>
      <c r="AF75" s="80" t="str">
        <f>IF(ISNA(VLOOKUP($B75&amp;":"&amp;AF$3,'x - authors'!$B$3:$E$10000,4,FALSE)),"",VLOOKUP($B75&amp;":"&amp;AF$3,'x - authors'!$B$3:$E$10000,4,FALSE))</f>
        <v/>
      </c>
      <c r="AG75" s="80" t="str">
        <f>IF(ISNA(VLOOKUP($B75&amp;":"&amp;AG$3,'x - authors'!$B$3:$E$10000,4,FALSE)),"",VLOOKUP($B75&amp;":"&amp;AG$3,'x - authors'!$B$3:$E$10000,4,FALSE))</f>
        <v/>
      </c>
      <c r="AH75" s="80" t="str">
        <f>IF(ISNA(VLOOKUP($B75&amp;":"&amp;AH$3,'x - authors'!$B$3:$E$10000,4,FALSE)),"",VLOOKUP($B75&amp;":"&amp;AH$3,'x - authors'!$B$3:$E$10000,4,FALSE))</f>
        <v/>
      </c>
      <c r="AI75" s="80" t="str">
        <f>IF(ISNA(VLOOKUP($B75&amp;":"&amp;AI$3,'x - authors'!$B$3:$E$10000,4,FALSE)),"",VLOOKUP($B75&amp;":"&amp;AI$3,'x - authors'!$B$3:$E$10000,4,FALSE))</f>
        <v/>
      </c>
    </row>
    <row r="76" spans="2:35">
      <c r="B76" s="65" t="s">
        <v>5957</v>
      </c>
      <c r="C76" s="65" t="s">
        <v>129</v>
      </c>
      <c r="D76" s="65" t="s">
        <v>5958</v>
      </c>
      <c r="E76" s="83" t="s">
        <v>1000</v>
      </c>
      <c r="F76" s="65" t="s">
        <v>5453</v>
      </c>
      <c r="G76" s="65"/>
      <c r="H76" s="65" t="s">
        <v>5959</v>
      </c>
      <c r="I76" s="65"/>
      <c r="J76" s="65" t="s">
        <v>5961</v>
      </c>
      <c r="K76" s="65"/>
      <c r="L76" s="65" t="s">
        <v>5962</v>
      </c>
      <c r="M76" s="65"/>
      <c r="N76" s="65"/>
      <c r="O76" s="15" t="str">
        <f t="shared" si="1"/>
        <v>citation:doc-1908-01</v>
      </c>
      <c r="Q76" s="15" t="str">
        <f>VLOOKUP($O76,'x - paper citations'!$B$3:$E$2000,2,FALSE)</f>
        <v>https://scholar.google.co.uk/scholar?q="Enforcing Secure and Privacy-Preserving Information Brokering"&amp;btnG=&amp;hl=en&amp;as_sdt=0,5</v>
      </c>
      <c r="R76" s="15">
        <f>VLOOKUP($O76,'x - paper citations'!$B$3:$E$2000,3,FALSE)</f>
        <v>27</v>
      </c>
      <c r="S76" s="15" t="str">
        <f>VLOOKUP($O76,'x - paper citations'!$B$3:$E$2000,4,FALSE)</f>
        <v>12/02/2016</v>
      </c>
      <c r="U76" s="80" t="str">
        <f>IF(ISNA(VLOOKUP($B76&amp;":"&amp;U$3,'x - authors'!$B$3:$E$10000,4,FALSE)),"",VLOOKUP($B76&amp;":"&amp;U$3,'x - authors'!$B$3:$E$10000,4,FALSE))</f>
        <v>fengjun_li</v>
      </c>
      <c r="V76" s="80" t="str">
        <f>IF(ISNA(VLOOKUP($B76&amp;":"&amp;V$3,'x - authors'!$B$3:$E$10000,4,FALSE)),"",VLOOKUP($B76&amp;":"&amp;V$3,'x - authors'!$B$3:$E$10000,4,FALSE))</f>
        <v>bo_luo</v>
      </c>
      <c r="W76" s="80" t="str">
        <f>IF(ISNA(VLOOKUP($B76&amp;":"&amp;W$3,'x - authors'!$B$3:$E$10000,4,FALSE)),"",VLOOKUP($B76&amp;":"&amp;W$3,'x - authors'!$B$3:$E$10000,4,FALSE))</f>
        <v>peng_liu</v>
      </c>
      <c r="X76" s="80" t="str">
        <f>IF(ISNA(VLOOKUP($B76&amp;":"&amp;X$3,'x - authors'!$B$3:$E$10000,4,FALSE)),"",VLOOKUP($B76&amp;":"&amp;X$3,'x - authors'!$B$3:$E$10000,4,FALSE))</f>
        <v>dongwon_lee</v>
      </c>
      <c r="Y76" s="80" t="str">
        <f>IF(ISNA(VLOOKUP($B76&amp;":"&amp;Y$3,'x - authors'!$B$3:$E$10000,4,FALSE)),"",VLOOKUP($B76&amp;":"&amp;Y$3,'x - authors'!$B$3:$E$10000,4,FALSE))</f>
        <v>chao-hsien_chu</v>
      </c>
      <c r="Z76" s="80" t="str">
        <f>IF(ISNA(VLOOKUP($B76&amp;":"&amp;Z$3,'x - authors'!$B$3:$E$10000,4,FALSE)),"",VLOOKUP($B76&amp;":"&amp;Z$3,'x - authors'!$B$3:$E$10000,4,FALSE))</f>
        <v/>
      </c>
      <c r="AA76" s="80" t="str">
        <f>IF(ISNA(VLOOKUP($B76&amp;":"&amp;AA$3,'x - authors'!$B$3:$E$10000,4,FALSE)),"",VLOOKUP($B76&amp;":"&amp;AA$3,'x - authors'!$B$3:$E$10000,4,FALSE))</f>
        <v/>
      </c>
      <c r="AB76" s="80" t="str">
        <f>IF(ISNA(VLOOKUP($B76&amp;":"&amp;AB$3,'x - authors'!$B$3:$E$10000,4,FALSE)),"",VLOOKUP($B76&amp;":"&amp;AB$3,'x - authors'!$B$3:$E$10000,4,FALSE))</f>
        <v/>
      </c>
      <c r="AC76" s="80" t="str">
        <f>IF(ISNA(VLOOKUP($B76&amp;":"&amp;AC$3,'x - authors'!$B$3:$E$10000,4,FALSE)),"",VLOOKUP($B76&amp;":"&amp;AC$3,'x - authors'!$B$3:$E$10000,4,FALSE))</f>
        <v/>
      </c>
      <c r="AD76" s="80" t="str">
        <f>IF(ISNA(VLOOKUP($B76&amp;":"&amp;AD$3,'x - authors'!$B$3:$E$10000,4,FALSE)),"",VLOOKUP($B76&amp;":"&amp;AD$3,'x - authors'!$B$3:$E$10000,4,FALSE))</f>
        <v/>
      </c>
      <c r="AE76" s="80" t="str">
        <f>IF(ISNA(VLOOKUP($B76&amp;":"&amp;AE$3,'x - authors'!$B$3:$E$10000,4,FALSE)),"",VLOOKUP($B76&amp;":"&amp;AE$3,'x - authors'!$B$3:$E$10000,4,FALSE))</f>
        <v/>
      </c>
      <c r="AF76" s="80" t="str">
        <f>IF(ISNA(VLOOKUP($B76&amp;":"&amp;AF$3,'x - authors'!$B$3:$E$10000,4,FALSE)),"",VLOOKUP($B76&amp;":"&amp;AF$3,'x - authors'!$B$3:$E$10000,4,FALSE))</f>
        <v/>
      </c>
      <c r="AG76" s="80" t="str">
        <f>IF(ISNA(VLOOKUP($B76&amp;":"&amp;AG$3,'x - authors'!$B$3:$E$10000,4,FALSE)),"",VLOOKUP($B76&amp;":"&amp;AG$3,'x - authors'!$B$3:$E$10000,4,FALSE))</f>
        <v/>
      </c>
      <c r="AH76" s="80" t="str">
        <f>IF(ISNA(VLOOKUP($B76&amp;":"&amp;AH$3,'x - authors'!$B$3:$E$10000,4,FALSE)),"",VLOOKUP($B76&amp;":"&amp;AH$3,'x - authors'!$B$3:$E$10000,4,FALSE))</f>
        <v/>
      </c>
      <c r="AI76" s="80" t="str">
        <f>IF(ISNA(VLOOKUP($B76&amp;":"&amp;AI$3,'x - authors'!$B$3:$E$10000,4,FALSE)),"",VLOOKUP($B76&amp;":"&amp;AI$3,'x - authors'!$B$3:$E$10000,4,FALSE))</f>
        <v/>
      </c>
    </row>
    <row r="77" spans="2:35">
      <c r="B77" s="65" t="s">
        <v>5963</v>
      </c>
      <c r="C77" s="65" t="s">
        <v>129</v>
      </c>
      <c r="D77" s="65" t="s">
        <v>5964</v>
      </c>
      <c r="E77" s="83" t="s">
        <v>1001</v>
      </c>
      <c r="F77" s="65" t="s">
        <v>5455</v>
      </c>
      <c r="G77" s="65"/>
      <c r="H77" s="65" t="s">
        <v>5965</v>
      </c>
      <c r="I77" s="65"/>
      <c r="J77" s="65" t="s">
        <v>5967</v>
      </c>
      <c r="K77" s="65"/>
      <c r="L77" s="65" t="s">
        <v>5968</v>
      </c>
      <c r="M77" s="65"/>
      <c r="N77" s="65"/>
      <c r="O77" s="15" t="str">
        <f t="shared" si="1"/>
        <v>citation:doc-1910-01</v>
      </c>
      <c r="Q77" s="15" t="str">
        <f>VLOOKUP($O77,'x - paper citations'!$B$3:$E$2000,2,FALSE)</f>
        <v>https://scholar.google.co.uk/scholar?q="Entropy and the Complexity of graphs revisited"&amp;btnG=&amp;hl=en&amp;as_sdt=0,5</v>
      </c>
      <c r="R77" s="15">
        <f>VLOOKUP($O77,'x - paper citations'!$B$3:$E$2000,3,FALSE)</f>
        <v>32</v>
      </c>
      <c r="S77" s="15" t="str">
        <f>VLOOKUP($O77,'x - paper citations'!$B$3:$E$2000,4,FALSE)</f>
        <v>09/02/2015</v>
      </c>
      <c r="U77" s="80" t="str">
        <f>IF(ISNA(VLOOKUP($B77&amp;":"&amp;U$3,'x - authors'!$B$3:$E$10000,4,FALSE)),"",VLOOKUP($B77&amp;":"&amp;U$3,'x - authors'!$B$3:$E$10000,4,FALSE))</f>
        <v>abbe_mowshowitz</v>
      </c>
      <c r="V77" s="80" t="str">
        <f>IF(ISNA(VLOOKUP($B77&amp;":"&amp;V$3,'x - authors'!$B$3:$E$10000,4,FALSE)),"",VLOOKUP($B77&amp;":"&amp;V$3,'x - authors'!$B$3:$E$10000,4,FALSE))</f>
        <v>matthias_dehmer</v>
      </c>
      <c r="W77" s="80" t="str">
        <f>IF(ISNA(VLOOKUP($B77&amp;":"&amp;W$3,'x - authors'!$B$3:$E$10000,4,FALSE)),"",VLOOKUP($B77&amp;":"&amp;W$3,'x - authors'!$B$3:$E$10000,4,FALSE))</f>
        <v/>
      </c>
      <c r="X77" s="80" t="str">
        <f>IF(ISNA(VLOOKUP($B77&amp;":"&amp;X$3,'x - authors'!$B$3:$E$10000,4,FALSE)),"",VLOOKUP($B77&amp;":"&amp;X$3,'x - authors'!$B$3:$E$10000,4,FALSE))</f>
        <v/>
      </c>
      <c r="Y77" s="80" t="str">
        <f>IF(ISNA(VLOOKUP($B77&amp;":"&amp;Y$3,'x - authors'!$B$3:$E$10000,4,FALSE)),"",VLOOKUP($B77&amp;":"&amp;Y$3,'x - authors'!$B$3:$E$10000,4,FALSE))</f>
        <v/>
      </c>
      <c r="Z77" s="80" t="str">
        <f>IF(ISNA(VLOOKUP($B77&amp;":"&amp;Z$3,'x - authors'!$B$3:$E$10000,4,FALSE)),"",VLOOKUP($B77&amp;":"&amp;Z$3,'x - authors'!$B$3:$E$10000,4,FALSE))</f>
        <v/>
      </c>
      <c r="AA77" s="80" t="str">
        <f>IF(ISNA(VLOOKUP($B77&amp;":"&amp;AA$3,'x - authors'!$B$3:$E$10000,4,FALSE)),"",VLOOKUP($B77&amp;":"&amp;AA$3,'x - authors'!$B$3:$E$10000,4,FALSE))</f>
        <v/>
      </c>
      <c r="AB77" s="80" t="str">
        <f>IF(ISNA(VLOOKUP($B77&amp;":"&amp;AB$3,'x - authors'!$B$3:$E$10000,4,FALSE)),"",VLOOKUP($B77&amp;":"&amp;AB$3,'x - authors'!$B$3:$E$10000,4,FALSE))</f>
        <v/>
      </c>
      <c r="AC77" s="80" t="str">
        <f>IF(ISNA(VLOOKUP($B77&amp;":"&amp;AC$3,'x - authors'!$B$3:$E$10000,4,FALSE)),"",VLOOKUP($B77&amp;":"&amp;AC$3,'x - authors'!$B$3:$E$10000,4,FALSE))</f>
        <v/>
      </c>
      <c r="AD77" s="80" t="str">
        <f>IF(ISNA(VLOOKUP($B77&amp;":"&amp;AD$3,'x - authors'!$B$3:$E$10000,4,FALSE)),"",VLOOKUP($B77&amp;":"&amp;AD$3,'x - authors'!$B$3:$E$10000,4,FALSE))</f>
        <v/>
      </c>
      <c r="AE77" s="80" t="str">
        <f>IF(ISNA(VLOOKUP($B77&amp;":"&amp;AE$3,'x - authors'!$B$3:$E$10000,4,FALSE)),"",VLOOKUP($B77&amp;":"&amp;AE$3,'x - authors'!$B$3:$E$10000,4,FALSE))</f>
        <v/>
      </c>
      <c r="AF77" s="80" t="str">
        <f>IF(ISNA(VLOOKUP($B77&amp;":"&amp;AF$3,'x - authors'!$B$3:$E$10000,4,FALSE)),"",VLOOKUP($B77&amp;":"&amp;AF$3,'x - authors'!$B$3:$E$10000,4,FALSE))</f>
        <v/>
      </c>
      <c r="AG77" s="80" t="str">
        <f>IF(ISNA(VLOOKUP($B77&amp;":"&amp;AG$3,'x - authors'!$B$3:$E$10000,4,FALSE)),"",VLOOKUP($B77&amp;":"&amp;AG$3,'x - authors'!$B$3:$E$10000,4,FALSE))</f>
        <v/>
      </c>
      <c r="AH77" s="80" t="str">
        <f>IF(ISNA(VLOOKUP($B77&amp;":"&amp;AH$3,'x - authors'!$B$3:$E$10000,4,FALSE)),"",VLOOKUP($B77&amp;":"&amp;AH$3,'x - authors'!$B$3:$E$10000,4,FALSE))</f>
        <v/>
      </c>
      <c r="AI77" s="80" t="str">
        <f>IF(ISNA(VLOOKUP($B77&amp;":"&amp;AI$3,'x - authors'!$B$3:$E$10000,4,FALSE)),"",VLOOKUP($B77&amp;":"&amp;AI$3,'x - authors'!$B$3:$E$10000,4,FALSE))</f>
        <v/>
      </c>
    </row>
    <row r="78" spans="2:35">
      <c r="B78" s="65" t="s">
        <v>5969</v>
      </c>
      <c r="C78" s="65" t="s">
        <v>129</v>
      </c>
      <c r="D78" s="65" t="s">
        <v>5970</v>
      </c>
      <c r="E78" s="83" t="s">
        <v>1000</v>
      </c>
      <c r="F78" s="65" t="s">
        <v>5452</v>
      </c>
      <c r="G78" s="65"/>
      <c r="H78" s="65" t="s">
        <v>5971</v>
      </c>
      <c r="I78" s="65"/>
      <c r="J78" s="65" t="s">
        <v>5973</v>
      </c>
      <c r="K78" s="65"/>
      <c r="L78" s="65" t="s">
        <v>5974</v>
      </c>
      <c r="M78" s="65"/>
      <c r="N78" s="65"/>
      <c r="O78" s="15" t="str">
        <f t="shared" si="1"/>
        <v>citation:doc-1923-01</v>
      </c>
      <c r="Q78" s="15" t="str">
        <f>VLOOKUP($O78,'x - paper citations'!$B$3:$E$2000,2,FALSE)</f>
        <v>https://scholar.google.co.uk/scholar?q="On Managing Quality of Experience of Multiple- Video Streams in Wireless Networks"&amp;btnG=&amp;hl=en&amp;as_sdt=0,5</v>
      </c>
      <c r="R78" s="15">
        <f>VLOOKUP($O78,'x - paper citations'!$B$3:$E$2000,3,FALSE)</f>
        <v>23</v>
      </c>
      <c r="S78" s="15" t="str">
        <f>VLOOKUP($O78,'x - paper citations'!$B$3:$E$2000,4,FALSE)</f>
        <v>18/02/2016</v>
      </c>
      <c r="U78" s="80" t="str">
        <f>IF(ISNA(VLOOKUP($B78&amp;":"&amp;U$3,'x - authors'!$B$3:$E$10000,4,FALSE)),"",VLOOKUP($B78&amp;":"&amp;U$3,'x - authors'!$B$3:$E$10000,4,FALSE))</f>
        <v>partha_dutta</v>
      </c>
      <c r="V78" s="80" t="str">
        <f>IF(ISNA(VLOOKUP($B78&amp;":"&amp;V$3,'x - authors'!$B$3:$E$10000,4,FALSE)),"",VLOOKUP($B78&amp;":"&amp;V$3,'x - authors'!$B$3:$E$10000,4,FALSE))</f>
        <v>anand_seetharam</v>
      </c>
      <c r="W78" s="80" t="str">
        <f>IF(ISNA(VLOOKUP($B78&amp;":"&amp;W$3,'x - authors'!$B$3:$E$10000,4,FALSE)),"",VLOOKUP($B78&amp;":"&amp;W$3,'x - authors'!$B$3:$E$10000,4,FALSE))</f>
        <v>vijay_arya</v>
      </c>
      <c r="X78" s="80" t="str">
        <f>IF(ISNA(VLOOKUP($B78&amp;":"&amp;X$3,'x - authors'!$B$3:$E$10000,4,FALSE)),"",VLOOKUP($B78&amp;":"&amp;X$3,'x - authors'!$B$3:$E$10000,4,FALSE))</f>
        <v>malolan_chetlur</v>
      </c>
      <c r="Y78" s="80" t="str">
        <f>IF(ISNA(VLOOKUP($B78&amp;":"&amp;Y$3,'x - authors'!$B$3:$E$10000,4,FALSE)),"",VLOOKUP($B78&amp;":"&amp;Y$3,'x - authors'!$B$3:$E$10000,4,FALSE))</f>
        <v>shivkumar_kalyanraman</v>
      </c>
      <c r="Z78" s="80" t="str">
        <f>IF(ISNA(VLOOKUP($B78&amp;":"&amp;Z$3,'x - authors'!$B$3:$E$10000,4,FALSE)),"",VLOOKUP($B78&amp;":"&amp;Z$3,'x - authors'!$B$3:$E$10000,4,FALSE))</f>
        <v>jim_kurose</v>
      </c>
      <c r="AA78" s="80" t="str">
        <f>IF(ISNA(VLOOKUP($B78&amp;":"&amp;AA$3,'x - authors'!$B$3:$E$10000,4,FALSE)),"",VLOOKUP($B78&amp;":"&amp;AA$3,'x - authors'!$B$3:$E$10000,4,FALSE))</f>
        <v/>
      </c>
      <c r="AB78" s="80" t="str">
        <f>IF(ISNA(VLOOKUP($B78&amp;":"&amp;AB$3,'x - authors'!$B$3:$E$10000,4,FALSE)),"",VLOOKUP($B78&amp;":"&amp;AB$3,'x - authors'!$B$3:$E$10000,4,FALSE))</f>
        <v/>
      </c>
      <c r="AC78" s="80" t="str">
        <f>IF(ISNA(VLOOKUP($B78&amp;":"&amp;AC$3,'x - authors'!$B$3:$E$10000,4,FALSE)),"",VLOOKUP($B78&amp;":"&amp;AC$3,'x - authors'!$B$3:$E$10000,4,FALSE))</f>
        <v/>
      </c>
      <c r="AD78" s="80" t="str">
        <f>IF(ISNA(VLOOKUP($B78&amp;":"&amp;AD$3,'x - authors'!$B$3:$E$10000,4,FALSE)),"",VLOOKUP($B78&amp;":"&amp;AD$3,'x - authors'!$B$3:$E$10000,4,FALSE))</f>
        <v/>
      </c>
      <c r="AE78" s="80" t="str">
        <f>IF(ISNA(VLOOKUP($B78&amp;":"&amp;AE$3,'x - authors'!$B$3:$E$10000,4,FALSE)),"",VLOOKUP($B78&amp;":"&amp;AE$3,'x - authors'!$B$3:$E$10000,4,FALSE))</f>
        <v/>
      </c>
      <c r="AF78" s="80" t="str">
        <f>IF(ISNA(VLOOKUP($B78&amp;":"&amp;AF$3,'x - authors'!$B$3:$E$10000,4,FALSE)),"",VLOOKUP($B78&amp;":"&amp;AF$3,'x - authors'!$B$3:$E$10000,4,FALSE))</f>
        <v/>
      </c>
      <c r="AG78" s="80" t="str">
        <f>IF(ISNA(VLOOKUP($B78&amp;":"&amp;AG$3,'x - authors'!$B$3:$E$10000,4,FALSE)),"",VLOOKUP($B78&amp;":"&amp;AG$3,'x - authors'!$B$3:$E$10000,4,FALSE))</f>
        <v/>
      </c>
      <c r="AH78" s="80" t="str">
        <f>IF(ISNA(VLOOKUP($B78&amp;":"&amp;AH$3,'x - authors'!$B$3:$E$10000,4,FALSE)),"",VLOOKUP($B78&amp;":"&amp;AH$3,'x - authors'!$B$3:$E$10000,4,FALSE))</f>
        <v/>
      </c>
      <c r="AI78" s="80" t="str">
        <f>IF(ISNA(VLOOKUP($B78&amp;":"&amp;AI$3,'x - authors'!$B$3:$E$10000,4,FALSE)),"",VLOOKUP($B78&amp;":"&amp;AI$3,'x - authors'!$B$3:$E$10000,4,FALSE))</f>
        <v/>
      </c>
    </row>
    <row r="79" spans="2:35">
      <c r="B79" s="65" t="s">
        <v>5975</v>
      </c>
      <c r="C79" s="65" t="s">
        <v>129</v>
      </c>
      <c r="D79" s="65" t="s">
        <v>5976</v>
      </c>
      <c r="E79" s="83" t="s">
        <v>1002</v>
      </c>
      <c r="F79" s="65" t="s">
        <v>5455</v>
      </c>
      <c r="G79" s="65"/>
      <c r="H79" s="65" t="s">
        <v>5977</v>
      </c>
      <c r="I79" s="65"/>
      <c r="J79" s="65" t="s">
        <v>5980</v>
      </c>
      <c r="K79" s="65"/>
      <c r="L79" s="65" t="s">
        <v>5981</v>
      </c>
      <c r="M79" s="65"/>
      <c r="N79" s="65"/>
      <c r="O79" s="15" t="str">
        <f t="shared" si="1"/>
        <v>citation:doc-1996-01</v>
      </c>
      <c r="Q79" s="15" t="str">
        <f>VLOOKUP($O79,'x - paper citations'!$B$3:$E$2000,2,FALSE)</f>
        <v>https://scholar.google.co.uk/scholar?q="Energy Efficient Location Services for Mobile Ad Hoc Networks"&amp;btnG=&amp;hl=en&amp;as_sdt=0,5</v>
      </c>
      <c r="R79" s="15">
        <f>VLOOKUP($O79,'x - paper citations'!$B$3:$E$2000,3,FALSE)</f>
        <v>5</v>
      </c>
      <c r="S79" s="15" t="str">
        <f>VLOOKUP($O79,'x - paper citations'!$B$3:$E$2000,4,FALSE)</f>
        <v>10/01/2016</v>
      </c>
      <c r="U79" s="80" t="str">
        <f>IF(ISNA(VLOOKUP($B79&amp;":"&amp;U$3,'x - authors'!$B$3:$E$10000,4,FALSE)),"",VLOOKUP($B79&amp;":"&amp;U$3,'x - authors'!$B$3:$E$10000,4,FALSE))</f>
        <v>zijian_wang</v>
      </c>
      <c r="V79" s="80" t="str">
        <f>IF(ISNA(VLOOKUP($B79&amp;":"&amp;V$3,'x - authors'!$B$3:$E$10000,4,FALSE)),"",VLOOKUP($B79&amp;":"&amp;V$3,'x - authors'!$B$3:$E$10000,4,FALSE))</f>
        <v>eyuphan_bulut</v>
      </c>
      <c r="W79" s="80" t="str">
        <f>IF(ISNA(VLOOKUP($B79&amp;":"&amp;W$3,'x - authors'!$B$3:$E$10000,4,FALSE)),"",VLOOKUP($B79&amp;":"&amp;W$3,'x - authors'!$B$3:$E$10000,4,FALSE))</f>
        <v>boleslaw_szymanski</v>
      </c>
      <c r="X79" s="80" t="str">
        <f>IF(ISNA(VLOOKUP($B79&amp;":"&amp;X$3,'x - authors'!$B$3:$E$10000,4,FALSE)),"",VLOOKUP($B79&amp;":"&amp;X$3,'x - authors'!$B$3:$E$10000,4,FALSE))</f>
        <v/>
      </c>
      <c r="Y79" s="80" t="str">
        <f>IF(ISNA(VLOOKUP($B79&amp;":"&amp;Y$3,'x - authors'!$B$3:$E$10000,4,FALSE)),"",VLOOKUP($B79&amp;":"&amp;Y$3,'x - authors'!$B$3:$E$10000,4,FALSE))</f>
        <v/>
      </c>
      <c r="Z79" s="80" t="str">
        <f>IF(ISNA(VLOOKUP($B79&amp;":"&amp;Z$3,'x - authors'!$B$3:$E$10000,4,FALSE)),"",VLOOKUP($B79&amp;":"&amp;Z$3,'x - authors'!$B$3:$E$10000,4,FALSE))</f>
        <v/>
      </c>
      <c r="AA79" s="80" t="str">
        <f>IF(ISNA(VLOOKUP($B79&amp;":"&amp;AA$3,'x - authors'!$B$3:$E$10000,4,FALSE)),"",VLOOKUP($B79&amp;":"&amp;AA$3,'x - authors'!$B$3:$E$10000,4,FALSE))</f>
        <v/>
      </c>
      <c r="AB79" s="80" t="str">
        <f>IF(ISNA(VLOOKUP($B79&amp;":"&amp;AB$3,'x - authors'!$B$3:$E$10000,4,FALSE)),"",VLOOKUP($B79&amp;":"&amp;AB$3,'x - authors'!$B$3:$E$10000,4,FALSE))</f>
        <v/>
      </c>
      <c r="AC79" s="80" t="str">
        <f>IF(ISNA(VLOOKUP($B79&amp;":"&amp;AC$3,'x - authors'!$B$3:$E$10000,4,FALSE)),"",VLOOKUP($B79&amp;":"&amp;AC$3,'x - authors'!$B$3:$E$10000,4,FALSE))</f>
        <v/>
      </c>
      <c r="AD79" s="80" t="str">
        <f>IF(ISNA(VLOOKUP($B79&amp;":"&amp;AD$3,'x - authors'!$B$3:$E$10000,4,FALSE)),"",VLOOKUP($B79&amp;":"&amp;AD$3,'x - authors'!$B$3:$E$10000,4,FALSE))</f>
        <v/>
      </c>
      <c r="AE79" s="80" t="str">
        <f>IF(ISNA(VLOOKUP($B79&amp;":"&amp;AE$3,'x - authors'!$B$3:$E$10000,4,FALSE)),"",VLOOKUP($B79&amp;":"&amp;AE$3,'x - authors'!$B$3:$E$10000,4,FALSE))</f>
        <v/>
      </c>
      <c r="AF79" s="80" t="str">
        <f>IF(ISNA(VLOOKUP($B79&amp;":"&amp;AF$3,'x - authors'!$B$3:$E$10000,4,FALSE)),"",VLOOKUP($B79&amp;":"&amp;AF$3,'x - authors'!$B$3:$E$10000,4,FALSE))</f>
        <v/>
      </c>
      <c r="AG79" s="80" t="str">
        <f>IF(ISNA(VLOOKUP($B79&amp;":"&amp;AG$3,'x - authors'!$B$3:$E$10000,4,FALSE)),"",VLOOKUP($B79&amp;":"&amp;AG$3,'x - authors'!$B$3:$E$10000,4,FALSE))</f>
        <v/>
      </c>
      <c r="AH79" s="80" t="str">
        <f>IF(ISNA(VLOOKUP($B79&amp;":"&amp;AH$3,'x - authors'!$B$3:$E$10000,4,FALSE)),"",VLOOKUP($B79&amp;":"&amp;AH$3,'x - authors'!$B$3:$E$10000,4,FALSE))</f>
        <v/>
      </c>
      <c r="AI79" s="80" t="str">
        <f>IF(ISNA(VLOOKUP($B79&amp;":"&amp;AI$3,'x - authors'!$B$3:$E$10000,4,FALSE)),"",VLOOKUP($B79&amp;":"&amp;AI$3,'x - authors'!$B$3:$E$10000,4,FALSE))</f>
        <v/>
      </c>
    </row>
    <row r="80" spans="2:35">
      <c r="B80" s="65" t="s">
        <v>5983</v>
      </c>
      <c r="C80" s="65" t="s">
        <v>129</v>
      </c>
      <c r="D80" s="65" t="s">
        <v>5984</v>
      </c>
      <c r="E80" s="83" t="s">
        <v>1006</v>
      </c>
      <c r="F80" s="65" t="s">
        <v>54</v>
      </c>
      <c r="G80" s="65"/>
      <c r="H80" s="65" t="s">
        <v>5985</v>
      </c>
      <c r="I80" s="65"/>
      <c r="J80" s="65" t="s">
        <v>5988</v>
      </c>
      <c r="K80" s="65"/>
      <c r="L80" s="65" t="s">
        <v>5989</v>
      </c>
      <c r="M80" s="65"/>
      <c r="N80" s="65"/>
      <c r="O80" s="15" t="str">
        <f t="shared" si="1"/>
        <v>citation:doc-2001-01</v>
      </c>
      <c r="Q80" s="15" t="str">
        <f>VLOOKUP($O80,'x - paper citations'!$B$3:$E$2000,2,FALSE)</f>
        <v>https://scholar.google.co.uk/scholar?q="Collective Sensemaking and Military Coalitions"&amp;btnG=&amp;hl=en&amp;as_sdt=0,5</v>
      </c>
      <c r="R80" s="15">
        <f>VLOOKUP($O80,'x - paper citations'!$B$3:$E$2000,3,FALSE)</f>
        <v>6</v>
      </c>
      <c r="S80" s="15" t="str">
        <f>VLOOKUP($O80,'x - paper citations'!$B$3:$E$2000,4,FALSE)</f>
        <v>27/11/2015</v>
      </c>
      <c r="U80" s="80" t="str">
        <f>IF(ISNA(VLOOKUP($B80&amp;":"&amp;U$3,'x - authors'!$B$3:$E$10000,4,FALSE)),"",VLOOKUP($B80&amp;":"&amp;U$3,'x - authors'!$B$3:$E$10000,4,FALSE))</f>
        <v>paul_smart</v>
      </c>
      <c r="V80" s="80" t="str">
        <f>IF(ISNA(VLOOKUP($B80&amp;":"&amp;V$3,'x - authors'!$B$3:$E$10000,4,FALSE)),"",VLOOKUP($B80&amp;":"&amp;V$3,'x - authors'!$B$3:$E$10000,4,FALSE))</f>
        <v>katia_sycara</v>
      </c>
      <c r="W80" s="80" t="str">
        <f>IF(ISNA(VLOOKUP($B80&amp;":"&amp;W$3,'x - authors'!$B$3:$E$10000,4,FALSE)),"",VLOOKUP($B80&amp;":"&amp;W$3,'x - authors'!$B$3:$E$10000,4,FALSE))</f>
        <v/>
      </c>
      <c r="X80" s="80" t="str">
        <f>IF(ISNA(VLOOKUP($B80&amp;":"&amp;X$3,'x - authors'!$B$3:$E$10000,4,FALSE)),"",VLOOKUP($B80&amp;":"&amp;X$3,'x - authors'!$B$3:$E$10000,4,FALSE))</f>
        <v/>
      </c>
      <c r="Y80" s="80" t="str">
        <f>IF(ISNA(VLOOKUP($B80&amp;":"&amp;Y$3,'x - authors'!$B$3:$E$10000,4,FALSE)),"",VLOOKUP($B80&amp;":"&amp;Y$3,'x - authors'!$B$3:$E$10000,4,FALSE))</f>
        <v/>
      </c>
      <c r="Z80" s="80" t="str">
        <f>IF(ISNA(VLOOKUP($B80&amp;":"&amp;Z$3,'x - authors'!$B$3:$E$10000,4,FALSE)),"",VLOOKUP($B80&amp;":"&amp;Z$3,'x - authors'!$B$3:$E$10000,4,FALSE))</f>
        <v/>
      </c>
      <c r="AA80" s="80" t="str">
        <f>IF(ISNA(VLOOKUP($B80&amp;":"&amp;AA$3,'x - authors'!$B$3:$E$10000,4,FALSE)),"",VLOOKUP($B80&amp;":"&amp;AA$3,'x - authors'!$B$3:$E$10000,4,FALSE))</f>
        <v/>
      </c>
      <c r="AB80" s="80" t="str">
        <f>IF(ISNA(VLOOKUP($B80&amp;":"&amp;AB$3,'x - authors'!$B$3:$E$10000,4,FALSE)),"",VLOOKUP($B80&amp;":"&amp;AB$3,'x - authors'!$B$3:$E$10000,4,FALSE))</f>
        <v/>
      </c>
      <c r="AC80" s="80" t="str">
        <f>IF(ISNA(VLOOKUP($B80&amp;":"&amp;AC$3,'x - authors'!$B$3:$E$10000,4,FALSE)),"",VLOOKUP($B80&amp;":"&amp;AC$3,'x - authors'!$B$3:$E$10000,4,FALSE))</f>
        <v/>
      </c>
      <c r="AD80" s="80" t="str">
        <f>IF(ISNA(VLOOKUP($B80&amp;":"&amp;AD$3,'x - authors'!$B$3:$E$10000,4,FALSE)),"",VLOOKUP($B80&amp;":"&amp;AD$3,'x - authors'!$B$3:$E$10000,4,FALSE))</f>
        <v/>
      </c>
      <c r="AE80" s="80" t="str">
        <f>IF(ISNA(VLOOKUP($B80&amp;":"&amp;AE$3,'x - authors'!$B$3:$E$10000,4,FALSE)),"",VLOOKUP($B80&amp;":"&amp;AE$3,'x - authors'!$B$3:$E$10000,4,FALSE))</f>
        <v/>
      </c>
      <c r="AF80" s="80" t="str">
        <f>IF(ISNA(VLOOKUP($B80&amp;":"&amp;AF$3,'x - authors'!$B$3:$E$10000,4,FALSE)),"",VLOOKUP($B80&amp;":"&amp;AF$3,'x - authors'!$B$3:$E$10000,4,FALSE))</f>
        <v/>
      </c>
      <c r="AG80" s="80" t="str">
        <f>IF(ISNA(VLOOKUP($B80&amp;":"&amp;AG$3,'x - authors'!$B$3:$E$10000,4,FALSE)),"",VLOOKUP($B80&amp;":"&amp;AG$3,'x - authors'!$B$3:$E$10000,4,FALSE))</f>
        <v/>
      </c>
      <c r="AH80" s="80" t="str">
        <f>IF(ISNA(VLOOKUP($B80&amp;":"&amp;AH$3,'x - authors'!$B$3:$E$10000,4,FALSE)),"",VLOOKUP($B80&amp;":"&amp;AH$3,'x - authors'!$B$3:$E$10000,4,FALSE))</f>
        <v/>
      </c>
      <c r="AI80" s="80" t="str">
        <f>IF(ISNA(VLOOKUP($B80&amp;":"&amp;AI$3,'x - authors'!$B$3:$E$10000,4,FALSE)),"",VLOOKUP($B80&amp;":"&amp;AI$3,'x - authors'!$B$3:$E$10000,4,FALSE))</f>
        <v/>
      </c>
    </row>
    <row r="81" spans="2:35">
      <c r="B81" s="65" t="s">
        <v>5990</v>
      </c>
      <c r="C81" s="65" t="s">
        <v>129</v>
      </c>
      <c r="D81" s="65" t="s">
        <v>5991</v>
      </c>
      <c r="E81" s="83" t="s">
        <v>1002</v>
      </c>
      <c r="F81" s="65" t="s">
        <v>54</v>
      </c>
      <c r="G81" s="65"/>
      <c r="H81" s="65" t="s">
        <v>5985</v>
      </c>
      <c r="I81" s="65"/>
      <c r="J81" s="65" t="s">
        <v>5993</v>
      </c>
      <c r="K81" s="65"/>
      <c r="L81" s="65" t="s">
        <v>5994</v>
      </c>
      <c r="M81" s="65"/>
      <c r="N81" s="65"/>
      <c r="O81" s="15" t="str">
        <f t="shared" si="1"/>
        <v>citation:doc-2006-01</v>
      </c>
      <c r="Q81" s="15" t="str">
        <f>VLOOKUP($O81,'x - paper citations'!$B$3:$E$2000,2,FALSE)</f>
        <v>https://scholar.google.co.uk/scholar?hl=en&amp;q=%22Agilely Assigning Sensing Assets to Mission Tasks in a Coalition Context%22&amp;btnG=&amp;as_sdt=1%2C5&amp;as_sdtp=</v>
      </c>
      <c r="R81" s="15">
        <f>VLOOKUP($O81,'x - paper citations'!$B$3:$E$2000,3,FALSE)</f>
        <v>11</v>
      </c>
      <c r="S81" s="15" t="str">
        <f>VLOOKUP($O81,'x - paper citations'!$B$3:$E$2000,4,FALSE)</f>
        <v>11/02/2016</v>
      </c>
      <c r="U81" s="80" t="str">
        <f>IF(ISNA(VLOOKUP($B81&amp;":"&amp;U$3,'x - authors'!$B$3:$E$10000,4,FALSE)),"",VLOOKUP($B81&amp;":"&amp;U$3,'x - authors'!$B$3:$E$10000,4,FALSE))</f>
        <v>alun_preece</v>
      </c>
      <c r="V81" s="80" t="str">
        <f>IF(ISNA(VLOOKUP($B81&amp;":"&amp;V$3,'x - authors'!$B$3:$E$10000,4,FALSE)),"",VLOOKUP($B81&amp;":"&amp;V$3,'x - authors'!$B$3:$E$10000,4,FALSE))</f>
        <v>timothy_norman</v>
      </c>
      <c r="W81" s="80" t="str">
        <f>IF(ISNA(VLOOKUP($B81&amp;":"&amp;W$3,'x - authors'!$B$3:$E$10000,4,FALSE)),"",VLOOKUP($B81&amp;":"&amp;W$3,'x - authors'!$B$3:$E$10000,4,FALSE))</f>
        <v>geeth_de_mel</v>
      </c>
      <c r="X81" s="80" t="str">
        <f>IF(ISNA(VLOOKUP($B81&amp;":"&amp;X$3,'x - authors'!$B$3:$E$10000,4,FALSE)),"",VLOOKUP($B81&amp;":"&amp;X$3,'x - authors'!$B$3:$E$10000,4,FALSE))</f>
        <v>diego_pizzocaro</v>
      </c>
      <c r="Y81" s="80" t="str">
        <f>IF(ISNA(VLOOKUP($B81&amp;":"&amp;Y$3,'x - authors'!$B$3:$E$10000,4,FALSE)),"",VLOOKUP($B81&amp;":"&amp;Y$3,'x - authors'!$B$3:$E$10000,4,FALSE))</f>
        <v>murat_sensoy</v>
      </c>
      <c r="Z81" s="80" t="str">
        <f>IF(ISNA(VLOOKUP($B81&amp;":"&amp;Z$3,'x - authors'!$B$3:$E$10000,4,FALSE)),"",VLOOKUP($B81&amp;":"&amp;Z$3,'x - authors'!$B$3:$E$10000,4,FALSE))</f>
        <v>tien_pham</v>
      </c>
      <c r="AA81" s="80" t="str">
        <f>IF(ISNA(VLOOKUP($B81&amp;":"&amp;AA$3,'x - authors'!$B$3:$E$10000,4,FALSE)),"",VLOOKUP($B81&amp;":"&amp;AA$3,'x - authors'!$B$3:$E$10000,4,FALSE))</f>
        <v/>
      </c>
      <c r="AB81" s="80" t="str">
        <f>IF(ISNA(VLOOKUP($B81&amp;":"&amp;AB$3,'x - authors'!$B$3:$E$10000,4,FALSE)),"",VLOOKUP($B81&amp;":"&amp;AB$3,'x - authors'!$B$3:$E$10000,4,FALSE))</f>
        <v/>
      </c>
      <c r="AC81" s="80" t="str">
        <f>IF(ISNA(VLOOKUP($B81&amp;":"&amp;AC$3,'x - authors'!$B$3:$E$10000,4,FALSE)),"",VLOOKUP($B81&amp;":"&amp;AC$3,'x - authors'!$B$3:$E$10000,4,FALSE))</f>
        <v/>
      </c>
      <c r="AD81" s="80" t="str">
        <f>IF(ISNA(VLOOKUP($B81&amp;":"&amp;AD$3,'x - authors'!$B$3:$E$10000,4,FALSE)),"",VLOOKUP($B81&amp;":"&amp;AD$3,'x - authors'!$B$3:$E$10000,4,FALSE))</f>
        <v/>
      </c>
      <c r="AE81" s="80" t="str">
        <f>IF(ISNA(VLOOKUP($B81&amp;":"&amp;AE$3,'x - authors'!$B$3:$E$10000,4,FALSE)),"",VLOOKUP($B81&amp;":"&amp;AE$3,'x - authors'!$B$3:$E$10000,4,FALSE))</f>
        <v/>
      </c>
      <c r="AF81" s="80" t="str">
        <f>IF(ISNA(VLOOKUP($B81&amp;":"&amp;AF$3,'x - authors'!$B$3:$E$10000,4,FALSE)),"",VLOOKUP($B81&amp;":"&amp;AF$3,'x - authors'!$B$3:$E$10000,4,FALSE))</f>
        <v/>
      </c>
      <c r="AG81" s="80" t="str">
        <f>IF(ISNA(VLOOKUP($B81&amp;":"&amp;AG$3,'x - authors'!$B$3:$E$10000,4,FALSE)),"",VLOOKUP($B81&amp;":"&amp;AG$3,'x - authors'!$B$3:$E$10000,4,FALSE))</f>
        <v/>
      </c>
      <c r="AH81" s="80" t="str">
        <f>IF(ISNA(VLOOKUP($B81&amp;":"&amp;AH$3,'x - authors'!$B$3:$E$10000,4,FALSE)),"",VLOOKUP($B81&amp;":"&amp;AH$3,'x - authors'!$B$3:$E$10000,4,FALSE))</f>
        <v/>
      </c>
      <c r="AI81" s="80" t="str">
        <f>IF(ISNA(VLOOKUP($B81&amp;":"&amp;AI$3,'x - authors'!$B$3:$E$10000,4,FALSE)),"",VLOOKUP($B81&amp;":"&amp;AI$3,'x - authors'!$B$3:$E$10000,4,FALSE))</f>
        <v/>
      </c>
    </row>
    <row r="82" spans="2:35">
      <c r="B82" s="65" t="s">
        <v>5995</v>
      </c>
      <c r="C82" s="65" t="s">
        <v>129</v>
      </c>
      <c r="D82" s="65" t="s">
        <v>5996</v>
      </c>
      <c r="E82" s="83" t="s">
        <v>1001</v>
      </c>
      <c r="F82" s="65" t="s">
        <v>5455</v>
      </c>
      <c r="G82" s="65"/>
      <c r="H82" s="65" t="s">
        <v>5997</v>
      </c>
      <c r="I82" s="65"/>
      <c r="J82" s="65" t="s">
        <v>5999</v>
      </c>
      <c r="K82" s="65"/>
      <c r="L82" s="65" t="s">
        <v>6000</v>
      </c>
      <c r="M82" s="65"/>
      <c r="N82" s="65"/>
      <c r="O82" s="15" t="str">
        <f t="shared" si="1"/>
        <v>citation:doc-2029-01</v>
      </c>
      <c r="Q82" s="15" t="str">
        <f>VLOOKUP($O82,'x - paper citations'!$B$3:$E$2000,2,FALSE)</f>
        <v>https://scholar.google.co.uk/scholar?q="Exploiting Friendship Relations for Efficient Routing in Mobile Social Networks"&amp;btnG=&amp;hl=en&amp;as_sdt=0,5</v>
      </c>
      <c r="R82" s="15">
        <f>VLOOKUP($O82,'x - paper citations'!$B$3:$E$2000,3,FALSE)</f>
        <v>89</v>
      </c>
      <c r="S82" s="15" t="str">
        <f>VLOOKUP($O82,'x - paper citations'!$B$3:$E$2000,4,FALSE)</f>
        <v>09/02/2016</v>
      </c>
      <c r="U82" s="80" t="str">
        <f>IF(ISNA(VLOOKUP($B82&amp;":"&amp;U$3,'x - authors'!$B$3:$E$10000,4,FALSE)),"",VLOOKUP($B82&amp;":"&amp;U$3,'x - authors'!$B$3:$E$10000,4,FALSE))</f>
        <v>eyuphan_bulut</v>
      </c>
      <c r="V82" s="80" t="str">
        <f>IF(ISNA(VLOOKUP($B82&amp;":"&amp;V$3,'x - authors'!$B$3:$E$10000,4,FALSE)),"",VLOOKUP($B82&amp;":"&amp;V$3,'x - authors'!$B$3:$E$10000,4,FALSE))</f>
        <v>boleslaw_szymanski</v>
      </c>
      <c r="W82" s="80" t="str">
        <f>IF(ISNA(VLOOKUP($B82&amp;":"&amp;W$3,'x - authors'!$B$3:$E$10000,4,FALSE)),"",VLOOKUP($B82&amp;":"&amp;W$3,'x - authors'!$B$3:$E$10000,4,FALSE))</f>
        <v/>
      </c>
      <c r="X82" s="80" t="str">
        <f>IF(ISNA(VLOOKUP($B82&amp;":"&amp;X$3,'x - authors'!$B$3:$E$10000,4,FALSE)),"",VLOOKUP($B82&amp;":"&amp;X$3,'x - authors'!$B$3:$E$10000,4,FALSE))</f>
        <v/>
      </c>
      <c r="Y82" s="80" t="str">
        <f>IF(ISNA(VLOOKUP($B82&amp;":"&amp;Y$3,'x - authors'!$B$3:$E$10000,4,FALSE)),"",VLOOKUP($B82&amp;":"&amp;Y$3,'x - authors'!$B$3:$E$10000,4,FALSE))</f>
        <v/>
      </c>
      <c r="Z82" s="80" t="str">
        <f>IF(ISNA(VLOOKUP($B82&amp;":"&amp;Z$3,'x - authors'!$B$3:$E$10000,4,FALSE)),"",VLOOKUP($B82&amp;":"&amp;Z$3,'x - authors'!$B$3:$E$10000,4,FALSE))</f>
        <v/>
      </c>
      <c r="AA82" s="80" t="str">
        <f>IF(ISNA(VLOOKUP($B82&amp;":"&amp;AA$3,'x - authors'!$B$3:$E$10000,4,FALSE)),"",VLOOKUP($B82&amp;":"&amp;AA$3,'x - authors'!$B$3:$E$10000,4,FALSE))</f>
        <v/>
      </c>
      <c r="AB82" s="80" t="str">
        <f>IF(ISNA(VLOOKUP($B82&amp;":"&amp;AB$3,'x - authors'!$B$3:$E$10000,4,FALSE)),"",VLOOKUP($B82&amp;":"&amp;AB$3,'x - authors'!$B$3:$E$10000,4,FALSE))</f>
        <v/>
      </c>
      <c r="AC82" s="80" t="str">
        <f>IF(ISNA(VLOOKUP($B82&amp;":"&amp;AC$3,'x - authors'!$B$3:$E$10000,4,FALSE)),"",VLOOKUP($B82&amp;":"&amp;AC$3,'x - authors'!$B$3:$E$10000,4,FALSE))</f>
        <v/>
      </c>
      <c r="AD82" s="80" t="str">
        <f>IF(ISNA(VLOOKUP($B82&amp;":"&amp;AD$3,'x - authors'!$B$3:$E$10000,4,FALSE)),"",VLOOKUP($B82&amp;":"&amp;AD$3,'x - authors'!$B$3:$E$10000,4,FALSE))</f>
        <v/>
      </c>
      <c r="AE82" s="80" t="str">
        <f>IF(ISNA(VLOOKUP($B82&amp;":"&amp;AE$3,'x - authors'!$B$3:$E$10000,4,FALSE)),"",VLOOKUP($B82&amp;":"&amp;AE$3,'x - authors'!$B$3:$E$10000,4,FALSE))</f>
        <v/>
      </c>
      <c r="AF82" s="80" t="str">
        <f>IF(ISNA(VLOOKUP($B82&amp;":"&amp;AF$3,'x - authors'!$B$3:$E$10000,4,FALSE)),"",VLOOKUP($B82&amp;":"&amp;AF$3,'x - authors'!$B$3:$E$10000,4,FALSE))</f>
        <v/>
      </c>
      <c r="AG82" s="80" t="str">
        <f>IF(ISNA(VLOOKUP($B82&amp;":"&amp;AG$3,'x - authors'!$B$3:$E$10000,4,FALSE)),"",VLOOKUP($B82&amp;":"&amp;AG$3,'x - authors'!$B$3:$E$10000,4,FALSE))</f>
        <v/>
      </c>
      <c r="AH82" s="80" t="str">
        <f>IF(ISNA(VLOOKUP($B82&amp;":"&amp;AH$3,'x - authors'!$B$3:$E$10000,4,FALSE)),"",VLOOKUP($B82&amp;":"&amp;AH$3,'x - authors'!$B$3:$E$10000,4,FALSE))</f>
        <v/>
      </c>
      <c r="AI82" s="80" t="str">
        <f>IF(ISNA(VLOOKUP($B82&amp;":"&amp;AI$3,'x - authors'!$B$3:$E$10000,4,FALSE)),"",VLOOKUP($B82&amp;":"&amp;AI$3,'x - authors'!$B$3:$E$10000,4,FALSE))</f>
        <v/>
      </c>
    </row>
    <row r="83" spans="2:35">
      <c r="B83" s="65" t="s">
        <v>6001</v>
      </c>
      <c r="C83" s="65" t="s">
        <v>129</v>
      </c>
      <c r="D83" s="65" t="s">
        <v>6002</v>
      </c>
      <c r="E83" s="83" t="s">
        <v>1003</v>
      </c>
      <c r="F83" s="65" t="s">
        <v>5455</v>
      </c>
      <c r="G83" s="65"/>
      <c r="H83" s="65" t="s">
        <v>6003</v>
      </c>
      <c r="I83" s="65"/>
      <c r="J83" s="65" t="s">
        <v>6005</v>
      </c>
      <c r="K83" s="65"/>
      <c r="L83" s="65" t="s">
        <v>6006</v>
      </c>
      <c r="M83" s="65"/>
      <c r="N83" s="65"/>
      <c r="O83" s="15" t="str">
        <f t="shared" si="1"/>
        <v>citation:doc-2030-01</v>
      </c>
      <c r="Q83" s="15" t="str">
        <f>VLOOKUP($O83,'x - paper citations'!$B$3:$E$2000,2,FALSE)</f>
        <v>https://scholar.google.co.uk/scholar?q="Market Mechanisms for Resource Allocation in Pervasive Sensor Applications"&amp;btnG=&amp;hl=en&amp;as_sdt=0,5</v>
      </c>
      <c r="R83" s="15">
        <f>VLOOKUP($O83,'x - paper citations'!$B$3:$E$2000,3,FALSE)</f>
        <v>3</v>
      </c>
      <c r="S83" s="15" t="str">
        <f>VLOOKUP($O83,'x - paper citations'!$B$3:$E$2000,4,FALSE)</f>
        <v>11/12/2015</v>
      </c>
      <c r="U83" s="80" t="str">
        <f>IF(ISNA(VLOOKUP($B83&amp;":"&amp;U$3,'x - authors'!$B$3:$E$10000,4,FALSE)),"",VLOOKUP($B83&amp;":"&amp;U$3,'x - authors'!$B$3:$E$10000,4,FALSE))</f>
        <v>sahin_geyik</v>
      </c>
      <c r="V83" s="80" t="str">
        <f>IF(ISNA(VLOOKUP($B83&amp;":"&amp;V$3,'x - authors'!$B$3:$E$10000,4,FALSE)),"",VLOOKUP($B83&amp;":"&amp;V$3,'x - authors'!$B$3:$E$10000,4,FALSE))</f>
        <v>syed_yousaf_shah</v>
      </c>
      <c r="W83" s="80" t="str">
        <f>IF(ISNA(VLOOKUP($B83&amp;":"&amp;W$3,'x - authors'!$B$3:$E$10000,4,FALSE)),"",VLOOKUP($B83&amp;":"&amp;W$3,'x - authors'!$B$3:$E$10000,4,FALSE))</f>
        <v>boleslaw_szymanski</v>
      </c>
      <c r="X83" s="80" t="str">
        <f>IF(ISNA(VLOOKUP($B83&amp;":"&amp;X$3,'x - authors'!$B$3:$E$10000,4,FALSE)),"",VLOOKUP($B83&amp;":"&amp;X$3,'x - authors'!$B$3:$E$10000,4,FALSE))</f>
        <v>sanmay_das</v>
      </c>
      <c r="Y83" s="80" t="str">
        <f>IF(ISNA(VLOOKUP($B83&amp;":"&amp;Y$3,'x - authors'!$B$3:$E$10000,4,FALSE)),"",VLOOKUP($B83&amp;":"&amp;Y$3,'x - authors'!$B$3:$E$10000,4,FALSE))</f>
        <v>petros_zerfos</v>
      </c>
      <c r="Z83" s="80" t="str">
        <f>IF(ISNA(VLOOKUP($B83&amp;":"&amp;Z$3,'x - authors'!$B$3:$E$10000,4,FALSE)),"",VLOOKUP($B83&amp;":"&amp;Z$3,'x - authors'!$B$3:$E$10000,4,FALSE))</f>
        <v/>
      </c>
      <c r="AA83" s="80" t="str">
        <f>IF(ISNA(VLOOKUP($B83&amp;":"&amp;AA$3,'x - authors'!$B$3:$E$10000,4,FALSE)),"",VLOOKUP($B83&amp;":"&amp;AA$3,'x - authors'!$B$3:$E$10000,4,FALSE))</f>
        <v/>
      </c>
      <c r="AB83" s="80" t="str">
        <f>IF(ISNA(VLOOKUP($B83&amp;":"&amp;AB$3,'x - authors'!$B$3:$E$10000,4,FALSE)),"",VLOOKUP($B83&amp;":"&amp;AB$3,'x - authors'!$B$3:$E$10000,4,FALSE))</f>
        <v/>
      </c>
      <c r="AC83" s="80" t="str">
        <f>IF(ISNA(VLOOKUP($B83&amp;":"&amp;AC$3,'x - authors'!$B$3:$E$10000,4,FALSE)),"",VLOOKUP($B83&amp;":"&amp;AC$3,'x - authors'!$B$3:$E$10000,4,FALSE))</f>
        <v/>
      </c>
      <c r="AD83" s="80" t="str">
        <f>IF(ISNA(VLOOKUP($B83&amp;":"&amp;AD$3,'x - authors'!$B$3:$E$10000,4,FALSE)),"",VLOOKUP($B83&amp;":"&amp;AD$3,'x - authors'!$B$3:$E$10000,4,FALSE))</f>
        <v/>
      </c>
      <c r="AE83" s="80" t="str">
        <f>IF(ISNA(VLOOKUP($B83&amp;":"&amp;AE$3,'x - authors'!$B$3:$E$10000,4,FALSE)),"",VLOOKUP($B83&amp;":"&amp;AE$3,'x - authors'!$B$3:$E$10000,4,FALSE))</f>
        <v/>
      </c>
      <c r="AF83" s="80" t="str">
        <f>IF(ISNA(VLOOKUP($B83&amp;":"&amp;AF$3,'x - authors'!$B$3:$E$10000,4,FALSE)),"",VLOOKUP($B83&amp;":"&amp;AF$3,'x - authors'!$B$3:$E$10000,4,FALSE))</f>
        <v/>
      </c>
      <c r="AG83" s="80" t="str">
        <f>IF(ISNA(VLOOKUP($B83&amp;":"&amp;AG$3,'x - authors'!$B$3:$E$10000,4,FALSE)),"",VLOOKUP($B83&amp;":"&amp;AG$3,'x - authors'!$B$3:$E$10000,4,FALSE))</f>
        <v/>
      </c>
      <c r="AH83" s="80" t="str">
        <f>IF(ISNA(VLOOKUP($B83&amp;":"&amp;AH$3,'x - authors'!$B$3:$E$10000,4,FALSE)),"",VLOOKUP($B83&amp;":"&amp;AH$3,'x - authors'!$B$3:$E$10000,4,FALSE))</f>
        <v/>
      </c>
      <c r="AI83" s="80" t="str">
        <f>IF(ISNA(VLOOKUP($B83&amp;":"&amp;AI$3,'x - authors'!$B$3:$E$10000,4,FALSE)),"",VLOOKUP($B83&amp;":"&amp;AI$3,'x - authors'!$B$3:$E$10000,4,FALSE))</f>
        <v/>
      </c>
    </row>
    <row r="84" spans="2:35">
      <c r="B84" s="65" t="s">
        <v>6007</v>
      </c>
      <c r="C84" s="65" t="s">
        <v>129</v>
      </c>
      <c r="D84" s="65" t="s">
        <v>6008</v>
      </c>
      <c r="E84" s="83" t="s">
        <v>1015</v>
      </c>
      <c r="F84" s="65" t="s">
        <v>5461</v>
      </c>
      <c r="G84" s="65"/>
      <c r="H84" s="65" t="s">
        <v>6009</v>
      </c>
      <c r="I84" s="65"/>
      <c r="J84" s="65" t="s">
        <v>6012</v>
      </c>
      <c r="K84" s="65"/>
      <c r="L84" s="65" t="s">
        <v>6013</v>
      </c>
      <c r="M84" s="65"/>
      <c r="N84" s="65"/>
      <c r="O84" s="15" t="str">
        <f t="shared" si="1"/>
        <v>citation:doc-2050-01</v>
      </c>
      <c r="Q84" s="15" t="str">
        <f>VLOOKUP($O84,'x - paper citations'!$B$3:$E$2000,2,FALSE)</f>
        <v>https://scholar.google.co.uk/scholar?q="On the Complexity of the BKW Algorithm on LWE"&amp;btnG=&amp;hl=en&amp;as_sdt=0,5</v>
      </c>
      <c r="R84" s="15">
        <f>VLOOKUP($O84,'x - paper citations'!$B$3:$E$2000,3,FALSE)</f>
        <v>15</v>
      </c>
      <c r="S84" s="15" t="str">
        <f>VLOOKUP($O84,'x - paper citations'!$B$3:$E$2000,4,FALSE)</f>
        <v>11/12/2015</v>
      </c>
      <c r="U84" s="80" t="str">
        <f>IF(ISNA(VLOOKUP($B84&amp;":"&amp;U$3,'x - authors'!$B$3:$E$10000,4,FALSE)),"",VLOOKUP($B84&amp;":"&amp;U$3,'x - authors'!$B$3:$E$10000,4,FALSE))</f>
        <v>martin_albrecht</v>
      </c>
      <c r="V84" s="80" t="str">
        <f>IF(ISNA(VLOOKUP($B84&amp;":"&amp;V$3,'x - authors'!$B$3:$E$10000,4,FALSE)),"",VLOOKUP($B84&amp;":"&amp;V$3,'x - authors'!$B$3:$E$10000,4,FALSE))</f>
        <v>carlos_cid</v>
      </c>
      <c r="W84" s="80" t="str">
        <f>IF(ISNA(VLOOKUP($B84&amp;":"&amp;W$3,'x - authors'!$B$3:$E$10000,4,FALSE)),"",VLOOKUP($B84&amp;":"&amp;W$3,'x - authors'!$B$3:$E$10000,4,FALSE))</f>
        <v>jean-charles_faugere</v>
      </c>
      <c r="X84" s="80" t="str">
        <f>IF(ISNA(VLOOKUP($B84&amp;":"&amp;X$3,'x - authors'!$B$3:$E$10000,4,FALSE)),"",VLOOKUP($B84&amp;":"&amp;X$3,'x - authors'!$B$3:$E$10000,4,FALSE))</f>
        <v>robert_fitzpatrick</v>
      </c>
      <c r="Y84" s="80" t="str">
        <f>IF(ISNA(VLOOKUP($B84&amp;":"&amp;Y$3,'x - authors'!$B$3:$E$10000,4,FALSE)),"",VLOOKUP($B84&amp;":"&amp;Y$3,'x - authors'!$B$3:$E$10000,4,FALSE))</f>
        <v>ludovic_perret</v>
      </c>
      <c r="Z84" s="80" t="str">
        <f>IF(ISNA(VLOOKUP($B84&amp;":"&amp;Z$3,'x - authors'!$B$3:$E$10000,4,FALSE)),"",VLOOKUP($B84&amp;":"&amp;Z$3,'x - authors'!$B$3:$E$10000,4,FALSE))</f>
        <v/>
      </c>
      <c r="AA84" s="80" t="str">
        <f>IF(ISNA(VLOOKUP($B84&amp;":"&amp;AA$3,'x - authors'!$B$3:$E$10000,4,FALSE)),"",VLOOKUP($B84&amp;":"&amp;AA$3,'x - authors'!$B$3:$E$10000,4,FALSE))</f>
        <v/>
      </c>
      <c r="AB84" s="80" t="str">
        <f>IF(ISNA(VLOOKUP($B84&amp;":"&amp;AB$3,'x - authors'!$B$3:$E$10000,4,FALSE)),"",VLOOKUP($B84&amp;":"&amp;AB$3,'x - authors'!$B$3:$E$10000,4,FALSE))</f>
        <v/>
      </c>
      <c r="AC84" s="80" t="str">
        <f>IF(ISNA(VLOOKUP($B84&amp;":"&amp;AC$3,'x - authors'!$B$3:$E$10000,4,FALSE)),"",VLOOKUP($B84&amp;":"&amp;AC$3,'x - authors'!$B$3:$E$10000,4,FALSE))</f>
        <v/>
      </c>
      <c r="AD84" s="80" t="str">
        <f>IF(ISNA(VLOOKUP($B84&amp;":"&amp;AD$3,'x - authors'!$B$3:$E$10000,4,FALSE)),"",VLOOKUP($B84&amp;":"&amp;AD$3,'x - authors'!$B$3:$E$10000,4,FALSE))</f>
        <v/>
      </c>
      <c r="AE84" s="80" t="str">
        <f>IF(ISNA(VLOOKUP($B84&amp;":"&amp;AE$3,'x - authors'!$B$3:$E$10000,4,FALSE)),"",VLOOKUP($B84&amp;":"&amp;AE$3,'x - authors'!$B$3:$E$10000,4,FALSE))</f>
        <v/>
      </c>
      <c r="AF84" s="80" t="str">
        <f>IF(ISNA(VLOOKUP($B84&amp;":"&amp;AF$3,'x - authors'!$B$3:$E$10000,4,FALSE)),"",VLOOKUP($B84&amp;":"&amp;AF$3,'x - authors'!$B$3:$E$10000,4,FALSE))</f>
        <v/>
      </c>
      <c r="AG84" s="80" t="str">
        <f>IF(ISNA(VLOOKUP($B84&amp;":"&amp;AG$3,'x - authors'!$B$3:$E$10000,4,FALSE)),"",VLOOKUP($B84&amp;":"&amp;AG$3,'x - authors'!$B$3:$E$10000,4,FALSE))</f>
        <v/>
      </c>
      <c r="AH84" s="80" t="str">
        <f>IF(ISNA(VLOOKUP($B84&amp;":"&amp;AH$3,'x - authors'!$B$3:$E$10000,4,FALSE)),"",VLOOKUP($B84&amp;":"&amp;AH$3,'x - authors'!$B$3:$E$10000,4,FALSE))</f>
        <v/>
      </c>
      <c r="AI84" s="80" t="str">
        <f>IF(ISNA(VLOOKUP($B84&amp;":"&amp;AI$3,'x - authors'!$B$3:$E$10000,4,FALSE)),"",VLOOKUP($B84&amp;":"&amp;AI$3,'x - authors'!$B$3:$E$10000,4,FALSE))</f>
        <v/>
      </c>
    </row>
    <row r="85" spans="2:35">
      <c r="B85" s="65" t="s">
        <v>6014</v>
      </c>
      <c r="C85" s="65" t="s">
        <v>129</v>
      </c>
      <c r="D85" s="65" t="s">
        <v>6015</v>
      </c>
      <c r="E85" s="83" t="s">
        <v>1002</v>
      </c>
      <c r="F85" s="65" t="s">
        <v>5449</v>
      </c>
      <c r="G85" s="65"/>
      <c r="H85" s="65" t="s">
        <v>6016</v>
      </c>
      <c r="I85" s="65"/>
      <c r="J85" s="65" t="s">
        <v>6018</v>
      </c>
      <c r="K85" s="65"/>
      <c r="L85" s="65" t="s">
        <v>6019</v>
      </c>
      <c r="M85" s="65"/>
      <c r="N85" s="65"/>
      <c r="O85" s="15" t="str">
        <f t="shared" si="1"/>
        <v>citation:doc-2058-01</v>
      </c>
      <c r="Q85" s="15" t="str">
        <f>VLOOKUP($O85,'x - paper citations'!$B$3:$E$2000,2,FALSE)</f>
        <v>https://scholar.google.co.uk/scholar?q="Efficient Algorithms for Neighbor Discovery in Wireless Networks"&amp;btnG=&amp;hl=en&amp;as_sdt=0,5</v>
      </c>
      <c r="R85" s="15">
        <f>VLOOKUP($O85,'x - paper citations'!$B$3:$E$2000,3,FALSE)</f>
        <v>44</v>
      </c>
      <c r="S85" s="15" t="str">
        <f>VLOOKUP($O85,'x - paper citations'!$B$3:$E$2000,4,FALSE)</f>
        <v>09/02/2015</v>
      </c>
      <c r="U85" s="80" t="str">
        <f>IF(ISNA(VLOOKUP($B85&amp;":"&amp;U$3,'x - authors'!$B$3:$E$10000,4,FALSE)),"",VLOOKUP($B85&amp;":"&amp;U$3,'x - authors'!$B$3:$E$10000,4,FALSE))</f>
        <v>sudarshan_vasudevan</v>
      </c>
      <c r="V85" s="80" t="str">
        <f>IF(ISNA(VLOOKUP($B85&amp;":"&amp;V$3,'x - authors'!$B$3:$E$10000,4,FALSE)),"",VLOOKUP($B85&amp;":"&amp;V$3,'x - authors'!$B$3:$E$10000,4,FALSE))</f>
        <v>micah_adler</v>
      </c>
      <c r="W85" s="80" t="str">
        <f>IF(ISNA(VLOOKUP($B85&amp;":"&amp;W$3,'x - authors'!$B$3:$E$10000,4,FALSE)),"",VLOOKUP($B85&amp;":"&amp;W$3,'x - authors'!$B$3:$E$10000,4,FALSE))</f>
        <v>dennis_goeckel</v>
      </c>
      <c r="X85" s="80" t="str">
        <f>IF(ISNA(VLOOKUP($B85&amp;":"&amp;X$3,'x - authors'!$B$3:$E$10000,4,FALSE)),"",VLOOKUP($B85&amp;":"&amp;X$3,'x - authors'!$B$3:$E$10000,4,FALSE))</f>
        <v>don_towsley</v>
      </c>
      <c r="Y85" s="80" t="str">
        <f>IF(ISNA(VLOOKUP($B85&amp;":"&amp;Y$3,'x - authors'!$B$3:$E$10000,4,FALSE)),"",VLOOKUP($B85&amp;":"&amp;Y$3,'x - authors'!$B$3:$E$10000,4,FALSE))</f>
        <v/>
      </c>
      <c r="Z85" s="80" t="str">
        <f>IF(ISNA(VLOOKUP($B85&amp;":"&amp;Z$3,'x - authors'!$B$3:$E$10000,4,FALSE)),"",VLOOKUP($B85&amp;":"&amp;Z$3,'x - authors'!$B$3:$E$10000,4,FALSE))</f>
        <v/>
      </c>
      <c r="AA85" s="80" t="str">
        <f>IF(ISNA(VLOOKUP($B85&amp;":"&amp;AA$3,'x - authors'!$B$3:$E$10000,4,FALSE)),"",VLOOKUP($B85&amp;":"&amp;AA$3,'x - authors'!$B$3:$E$10000,4,FALSE))</f>
        <v/>
      </c>
      <c r="AB85" s="80" t="str">
        <f>IF(ISNA(VLOOKUP($B85&amp;":"&amp;AB$3,'x - authors'!$B$3:$E$10000,4,FALSE)),"",VLOOKUP($B85&amp;":"&amp;AB$3,'x - authors'!$B$3:$E$10000,4,FALSE))</f>
        <v/>
      </c>
      <c r="AC85" s="80" t="str">
        <f>IF(ISNA(VLOOKUP($B85&amp;":"&amp;AC$3,'x - authors'!$B$3:$E$10000,4,FALSE)),"",VLOOKUP($B85&amp;":"&amp;AC$3,'x - authors'!$B$3:$E$10000,4,FALSE))</f>
        <v/>
      </c>
      <c r="AD85" s="80" t="str">
        <f>IF(ISNA(VLOOKUP($B85&amp;":"&amp;AD$3,'x - authors'!$B$3:$E$10000,4,FALSE)),"",VLOOKUP($B85&amp;":"&amp;AD$3,'x - authors'!$B$3:$E$10000,4,FALSE))</f>
        <v/>
      </c>
      <c r="AE85" s="80" t="str">
        <f>IF(ISNA(VLOOKUP($B85&amp;":"&amp;AE$3,'x - authors'!$B$3:$E$10000,4,FALSE)),"",VLOOKUP($B85&amp;":"&amp;AE$3,'x - authors'!$B$3:$E$10000,4,FALSE))</f>
        <v/>
      </c>
      <c r="AF85" s="80" t="str">
        <f>IF(ISNA(VLOOKUP($B85&amp;":"&amp;AF$3,'x - authors'!$B$3:$E$10000,4,FALSE)),"",VLOOKUP($B85&amp;":"&amp;AF$3,'x - authors'!$B$3:$E$10000,4,FALSE))</f>
        <v/>
      </c>
      <c r="AG85" s="80" t="str">
        <f>IF(ISNA(VLOOKUP($B85&amp;":"&amp;AG$3,'x - authors'!$B$3:$E$10000,4,FALSE)),"",VLOOKUP($B85&amp;":"&amp;AG$3,'x - authors'!$B$3:$E$10000,4,FALSE))</f>
        <v/>
      </c>
      <c r="AH85" s="80" t="str">
        <f>IF(ISNA(VLOOKUP($B85&amp;":"&amp;AH$3,'x - authors'!$B$3:$E$10000,4,FALSE)),"",VLOOKUP($B85&amp;":"&amp;AH$3,'x - authors'!$B$3:$E$10000,4,FALSE))</f>
        <v/>
      </c>
      <c r="AI85" s="80" t="str">
        <f>IF(ISNA(VLOOKUP($B85&amp;":"&amp;AI$3,'x - authors'!$B$3:$E$10000,4,FALSE)),"",VLOOKUP($B85&amp;":"&amp;AI$3,'x - authors'!$B$3:$E$10000,4,FALSE))</f>
        <v/>
      </c>
    </row>
    <row r="86" spans="2:35">
      <c r="B86" s="65" t="s">
        <v>6020</v>
      </c>
      <c r="C86" s="65" t="s">
        <v>129</v>
      </c>
      <c r="D86" s="65" t="s">
        <v>6021</v>
      </c>
      <c r="E86" s="83" t="s">
        <v>1025</v>
      </c>
      <c r="F86" s="65" t="s">
        <v>54</v>
      </c>
      <c r="G86" s="65"/>
      <c r="H86" s="65" t="s">
        <v>5985</v>
      </c>
      <c r="I86" s="65"/>
      <c r="J86" s="65" t="s">
        <v>6023</v>
      </c>
      <c r="K86" s="65"/>
      <c r="L86" s="65" t="s">
        <v>6024</v>
      </c>
      <c r="M86" s="65"/>
      <c r="N86" s="65"/>
      <c r="O86" s="15" t="str">
        <f t="shared" si="1"/>
        <v>citation:doc-2126-01</v>
      </c>
      <c r="Q86" s="15" t="str">
        <f>VLOOKUP($O86,'x - paper citations'!$B$3:$E$2000,2,FALSE)</f>
        <v>https://scholar.google.co.uk/scholar?q="Improving Coalition Planning by Making Plans Alive"&amp;btnG=&amp;hl=en&amp;as_sdt=0,5</v>
      </c>
      <c r="R86" s="15">
        <f>VLOOKUP($O86,'x - paper citations'!$B$3:$E$2000,3,FALSE)</f>
        <v>2</v>
      </c>
      <c r="S86" s="15" t="str">
        <f>VLOOKUP($O86,'x - paper citations'!$B$3:$E$2000,4,FALSE)</f>
        <v>10/01/2016</v>
      </c>
      <c r="U86" s="80" t="str">
        <f>IF(ISNA(VLOOKUP($B86&amp;":"&amp;U$3,'x - authors'!$B$3:$E$10000,4,FALSE)),"",VLOOKUP($B86&amp;":"&amp;U$3,'x - authors'!$B$3:$E$10000,4,FALSE))</f>
        <v>jitu_patel</v>
      </c>
      <c r="V86" s="80" t="str">
        <f>IF(ISNA(VLOOKUP($B86&amp;":"&amp;V$3,'x - authors'!$B$3:$E$10000,4,FALSE)),"",VLOOKUP($B86&amp;":"&amp;V$3,'x - authors'!$B$3:$E$10000,4,FALSE))</f>
        <v>michael_dorneich</v>
      </c>
      <c r="W86" s="80" t="str">
        <f>IF(ISNA(VLOOKUP($B86&amp;":"&amp;W$3,'x - authors'!$B$3:$E$10000,4,FALSE)),"",VLOOKUP($B86&amp;":"&amp;W$3,'x - authors'!$B$3:$E$10000,4,FALSE))</f>
        <v>david_mott</v>
      </c>
      <c r="X86" s="80" t="str">
        <f>IF(ISNA(VLOOKUP($B86&amp;":"&amp;X$3,'x - authors'!$B$3:$E$10000,4,FALSE)),"",VLOOKUP($B86&amp;":"&amp;X$3,'x - authors'!$B$3:$E$10000,4,FALSE))</f>
        <v>ali_bahrami</v>
      </c>
      <c r="Y86" s="80" t="str">
        <f>IF(ISNA(VLOOKUP($B86&amp;":"&amp;Y$3,'x - authors'!$B$3:$E$10000,4,FALSE)),"",VLOOKUP($B86&amp;":"&amp;Y$3,'x - authors'!$B$3:$E$10000,4,FALSE))</f>
        <v>cheryl_giammanco</v>
      </c>
      <c r="Z86" s="80" t="str">
        <f>IF(ISNA(VLOOKUP($B86&amp;":"&amp;Z$3,'x - authors'!$B$3:$E$10000,4,FALSE)),"",VLOOKUP($B86&amp;":"&amp;Z$3,'x - authors'!$B$3:$E$10000,4,FALSE))</f>
        <v/>
      </c>
      <c r="AA86" s="80" t="str">
        <f>IF(ISNA(VLOOKUP($B86&amp;":"&amp;AA$3,'x - authors'!$B$3:$E$10000,4,FALSE)),"",VLOOKUP($B86&amp;":"&amp;AA$3,'x - authors'!$B$3:$E$10000,4,FALSE))</f>
        <v/>
      </c>
      <c r="AB86" s="80" t="str">
        <f>IF(ISNA(VLOOKUP($B86&amp;":"&amp;AB$3,'x - authors'!$B$3:$E$10000,4,FALSE)),"",VLOOKUP($B86&amp;":"&amp;AB$3,'x - authors'!$B$3:$E$10000,4,FALSE))</f>
        <v/>
      </c>
      <c r="AC86" s="80" t="str">
        <f>IF(ISNA(VLOOKUP($B86&amp;":"&amp;AC$3,'x - authors'!$B$3:$E$10000,4,FALSE)),"",VLOOKUP($B86&amp;":"&amp;AC$3,'x - authors'!$B$3:$E$10000,4,FALSE))</f>
        <v/>
      </c>
      <c r="AD86" s="80" t="str">
        <f>IF(ISNA(VLOOKUP($B86&amp;":"&amp;AD$3,'x - authors'!$B$3:$E$10000,4,FALSE)),"",VLOOKUP($B86&amp;":"&amp;AD$3,'x - authors'!$B$3:$E$10000,4,FALSE))</f>
        <v/>
      </c>
      <c r="AE86" s="80" t="str">
        <f>IF(ISNA(VLOOKUP($B86&amp;":"&amp;AE$3,'x - authors'!$B$3:$E$10000,4,FALSE)),"",VLOOKUP($B86&amp;":"&amp;AE$3,'x - authors'!$B$3:$E$10000,4,FALSE))</f>
        <v/>
      </c>
      <c r="AF86" s="80" t="str">
        <f>IF(ISNA(VLOOKUP($B86&amp;":"&amp;AF$3,'x - authors'!$B$3:$E$10000,4,FALSE)),"",VLOOKUP($B86&amp;":"&amp;AF$3,'x - authors'!$B$3:$E$10000,4,FALSE))</f>
        <v/>
      </c>
      <c r="AG86" s="80" t="str">
        <f>IF(ISNA(VLOOKUP($B86&amp;":"&amp;AG$3,'x - authors'!$B$3:$E$10000,4,FALSE)),"",VLOOKUP($B86&amp;":"&amp;AG$3,'x - authors'!$B$3:$E$10000,4,FALSE))</f>
        <v/>
      </c>
      <c r="AH86" s="80" t="str">
        <f>IF(ISNA(VLOOKUP($B86&amp;":"&amp;AH$3,'x - authors'!$B$3:$E$10000,4,FALSE)),"",VLOOKUP($B86&amp;":"&amp;AH$3,'x - authors'!$B$3:$E$10000,4,FALSE))</f>
        <v/>
      </c>
      <c r="AI86" s="80" t="str">
        <f>IF(ISNA(VLOOKUP($B86&amp;":"&amp;AI$3,'x - authors'!$B$3:$E$10000,4,FALSE)),"",VLOOKUP($B86&amp;":"&amp;AI$3,'x - authors'!$B$3:$E$10000,4,FALSE))</f>
        <v/>
      </c>
    </row>
    <row r="87" spans="2:35">
      <c r="B87" s="65" t="s">
        <v>6025</v>
      </c>
      <c r="C87" s="65" t="s">
        <v>129</v>
      </c>
      <c r="D87" s="65" t="s">
        <v>6026</v>
      </c>
      <c r="E87" s="83" t="s">
        <v>1004</v>
      </c>
      <c r="F87" s="65" t="s">
        <v>5453</v>
      </c>
      <c r="G87" s="65"/>
      <c r="H87" s="65" t="s">
        <v>5959</v>
      </c>
      <c r="I87" s="65"/>
      <c r="J87" s="65" t="s">
        <v>6028</v>
      </c>
      <c r="K87" s="65"/>
      <c r="L87" s="65" t="s">
        <v>6029</v>
      </c>
      <c r="M87" s="65"/>
      <c r="N87" s="65"/>
      <c r="O87" s="15" t="str">
        <f t="shared" si="1"/>
        <v>citation:doc-2139-01</v>
      </c>
      <c r="Q87" s="15" t="str">
        <f>VLOOKUP($O87,'x - paper citations'!$B$3:$E$2000,2,FALSE)</f>
        <v>https://scholar.google.co.uk/scholar?q="Enforcing Secure and Privacy-Preserving Information Brokering in Distributed Information Sharing"&amp;btnG=&amp;hl=en&amp;as_sdt=0,5</v>
      </c>
      <c r="R87" s="15">
        <f>VLOOKUP($O87,'x - paper citations'!$B$3:$E$2000,3,FALSE)</f>
        <v>27</v>
      </c>
      <c r="S87" s="15" t="str">
        <f>VLOOKUP($O87,'x - paper citations'!$B$3:$E$2000,4,FALSE)</f>
        <v>09/02/2016</v>
      </c>
      <c r="U87" s="80" t="str">
        <f>IF(ISNA(VLOOKUP($B87&amp;":"&amp;U$3,'x - authors'!$B$3:$E$10000,4,FALSE)),"",VLOOKUP($B87&amp;":"&amp;U$3,'x - authors'!$B$3:$E$10000,4,FALSE))</f>
        <v>fengjun_li</v>
      </c>
      <c r="V87" s="80" t="str">
        <f>IF(ISNA(VLOOKUP($B87&amp;":"&amp;V$3,'x - authors'!$B$3:$E$10000,4,FALSE)),"",VLOOKUP($B87&amp;":"&amp;V$3,'x - authors'!$B$3:$E$10000,4,FALSE))</f>
        <v>bo_luo</v>
      </c>
      <c r="W87" s="80" t="str">
        <f>IF(ISNA(VLOOKUP($B87&amp;":"&amp;W$3,'x - authors'!$B$3:$E$10000,4,FALSE)),"",VLOOKUP($B87&amp;":"&amp;W$3,'x - authors'!$B$3:$E$10000,4,FALSE))</f>
        <v>peng_liu</v>
      </c>
      <c r="X87" s="80" t="str">
        <f>IF(ISNA(VLOOKUP($B87&amp;":"&amp;X$3,'x - authors'!$B$3:$E$10000,4,FALSE)),"",VLOOKUP($B87&amp;":"&amp;X$3,'x - authors'!$B$3:$E$10000,4,FALSE))</f>
        <v>dongwon_lee</v>
      </c>
      <c r="Y87" s="80" t="str">
        <f>IF(ISNA(VLOOKUP($B87&amp;":"&amp;Y$3,'x - authors'!$B$3:$E$10000,4,FALSE)),"",VLOOKUP($B87&amp;":"&amp;Y$3,'x - authors'!$B$3:$E$10000,4,FALSE))</f>
        <v>chao-hsien_chu</v>
      </c>
      <c r="Z87" s="80" t="str">
        <f>IF(ISNA(VLOOKUP($B87&amp;":"&amp;Z$3,'x - authors'!$B$3:$E$10000,4,FALSE)),"",VLOOKUP($B87&amp;":"&amp;Z$3,'x - authors'!$B$3:$E$10000,4,FALSE))</f>
        <v/>
      </c>
      <c r="AA87" s="80" t="str">
        <f>IF(ISNA(VLOOKUP($B87&amp;":"&amp;AA$3,'x - authors'!$B$3:$E$10000,4,FALSE)),"",VLOOKUP($B87&amp;":"&amp;AA$3,'x - authors'!$B$3:$E$10000,4,FALSE))</f>
        <v/>
      </c>
      <c r="AB87" s="80" t="str">
        <f>IF(ISNA(VLOOKUP($B87&amp;":"&amp;AB$3,'x - authors'!$B$3:$E$10000,4,FALSE)),"",VLOOKUP($B87&amp;":"&amp;AB$3,'x - authors'!$B$3:$E$10000,4,FALSE))</f>
        <v/>
      </c>
      <c r="AC87" s="80" t="str">
        <f>IF(ISNA(VLOOKUP($B87&amp;":"&amp;AC$3,'x - authors'!$B$3:$E$10000,4,FALSE)),"",VLOOKUP($B87&amp;":"&amp;AC$3,'x - authors'!$B$3:$E$10000,4,FALSE))</f>
        <v/>
      </c>
      <c r="AD87" s="80" t="str">
        <f>IF(ISNA(VLOOKUP($B87&amp;":"&amp;AD$3,'x - authors'!$B$3:$E$10000,4,FALSE)),"",VLOOKUP($B87&amp;":"&amp;AD$3,'x - authors'!$B$3:$E$10000,4,FALSE))</f>
        <v/>
      </c>
      <c r="AE87" s="80" t="str">
        <f>IF(ISNA(VLOOKUP($B87&amp;":"&amp;AE$3,'x - authors'!$B$3:$E$10000,4,FALSE)),"",VLOOKUP($B87&amp;":"&amp;AE$3,'x - authors'!$B$3:$E$10000,4,FALSE))</f>
        <v/>
      </c>
      <c r="AF87" s="80" t="str">
        <f>IF(ISNA(VLOOKUP($B87&amp;":"&amp;AF$3,'x - authors'!$B$3:$E$10000,4,FALSE)),"",VLOOKUP($B87&amp;":"&amp;AF$3,'x - authors'!$B$3:$E$10000,4,FALSE))</f>
        <v/>
      </c>
      <c r="AG87" s="80" t="str">
        <f>IF(ISNA(VLOOKUP($B87&amp;":"&amp;AG$3,'x - authors'!$B$3:$E$10000,4,FALSE)),"",VLOOKUP($B87&amp;":"&amp;AG$3,'x - authors'!$B$3:$E$10000,4,FALSE))</f>
        <v/>
      </c>
      <c r="AH87" s="80" t="str">
        <f>IF(ISNA(VLOOKUP($B87&amp;":"&amp;AH$3,'x - authors'!$B$3:$E$10000,4,FALSE)),"",VLOOKUP($B87&amp;":"&amp;AH$3,'x - authors'!$B$3:$E$10000,4,FALSE))</f>
        <v/>
      </c>
      <c r="AI87" s="80" t="str">
        <f>IF(ISNA(VLOOKUP($B87&amp;":"&amp;AI$3,'x - authors'!$B$3:$E$10000,4,FALSE)),"",VLOOKUP($B87&amp;":"&amp;AI$3,'x - authors'!$B$3:$E$10000,4,FALSE))</f>
        <v/>
      </c>
    </row>
    <row r="88" spans="2:35">
      <c r="B88" s="65" t="s">
        <v>6030</v>
      </c>
      <c r="C88" s="65" t="s">
        <v>129</v>
      </c>
      <c r="D88" s="65" t="s">
        <v>6031</v>
      </c>
      <c r="E88" s="41" t="s">
        <v>1005</v>
      </c>
      <c r="F88" s="65" t="s">
        <v>5457</v>
      </c>
      <c r="G88" s="65"/>
      <c r="H88" s="65" t="s">
        <v>6032</v>
      </c>
      <c r="I88" s="65"/>
      <c r="J88" s="65" t="s">
        <v>6034</v>
      </c>
      <c r="K88" s="65"/>
      <c r="L88" s="65" t="s">
        <v>6035</v>
      </c>
      <c r="M88" s="65"/>
      <c r="N88" s="65"/>
      <c r="O88" s="15" t="str">
        <f t="shared" si="1"/>
        <v>citation:doc-2170-01</v>
      </c>
      <c r="Q88" s="15" t="str">
        <f>VLOOKUP($O88,'x - paper citations'!$B$3:$E$2000,2,FALSE)</f>
        <v>https://scholar.google.co.uk/scholar?q="A Hybrid Reasoning Mechanism for Effective Sensor Selection for Tasks"&amp;btnG=&amp;hl=en&amp;as_sdt=0,5</v>
      </c>
      <c r="R88" s="15">
        <f>VLOOKUP($O88,'x - paper citations'!$B$3:$E$2000,3,FALSE)</f>
        <v>2</v>
      </c>
      <c r="S88" s="15" t="str">
        <f>VLOOKUP($O88,'x - paper citations'!$B$3:$E$2000,4,FALSE)</f>
        <v>10/01/2016</v>
      </c>
      <c r="U88" s="80" t="str">
        <f>IF(ISNA(VLOOKUP($B88&amp;":"&amp;U$3,'x - authors'!$B$3:$E$10000,4,FALSE)),"",VLOOKUP($B88&amp;":"&amp;U$3,'x - authors'!$B$3:$E$10000,4,FALSE))</f>
        <v>geeth_de_mel</v>
      </c>
      <c r="V88" s="80" t="str">
        <f>IF(ISNA(VLOOKUP($B88&amp;":"&amp;V$3,'x - authors'!$B$3:$E$10000,4,FALSE)),"",VLOOKUP($B88&amp;":"&amp;V$3,'x - authors'!$B$3:$E$10000,4,FALSE))</f>
        <v>murat_sensoy</v>
      </c>
      <c r="W88" s="80" t="str">
        <f>IF(ISNA(VLOOKUP($B88&amp;":"&amp;W$3,'x - authors'!$B$3:$E$10000,4,FALSE)),"",VLOOKUP($B88&amp;":"&amp;W$3,'x - authors'!$B$3:$E$10000,4,FALSE))</f>
        <v>wamberto_vasconcelos</v>
      </c>
      <c r="X88" s="80" t="str">
        <f>IF(ISNA(VLOOKUP($B88&amp;":"&amp;X$3,'x - authors'!$B$3:$E$10000,4,FALSE)),"",VLOOKUP($B88&amp;":"&amp;X$3,'x - authors'!$B$3:$E$10000,4,FALSE))</f>
        <v>timothy_norman</v>
      </c>
      <c r="Y88" s="80" t="str">
        <f>IF(ISNA(VLOOKUP($B88&amp;":"&amp;Y$3,'x - authors'!$B$3:$E$10000,4,FALSE)),"",VLOOKUP($B88&amp;":"&amp;Y$3,'x - authors'!$B$3:$E$10000,4,FALSE))</f>
        <v/>
      </c>
      <c r="Z88" s="80" t="str">
        <f>IF(ISNA(VLOOKUP($B88&amp;":"&amp;Z$3,'x - authors'!$B$3:$E$10000,4,FALSE)),"",VLOOKUP($B88&amp;":"&amp;Z$3,'x - authors'!$B$3:$E$10000,4,FALSE))</f>
        <v/>
      </c>
      <c r="AA88" s="80" t="str">
        <f>IF(ISNA(VLOOKUP($B88&amp;":"&amp;AA$3,'x - authors'!$B$3:$E$10000,4,FALSE)),"",VLOOKUP($B88&amp;":"&amp;AA$3,'x - authors'!$B$3:$E$10000,4,FALSE))</f>
        <v/>
      </c>
      <c r="AB88" s="80" t="str">
        <f>IF(ISNA(VLOOKUP($B88&amp;":"&amp;AB$3,'x - authors'!$B$3:$E$10000,4,FALSE)),"",VLOOKUP($B88&amp;":"&amp;AB$3,'x - authors'!$B$3:$E$10000,4,FALSE))</f>
        <v/>
      </c>
      <c r="AC88" s="80" t="str">
        <f>IF(ISNA(VLOOKUP($B88&amp;":"&amp;AC$3,'x - authors'!$B$3:$E$10000,4,FALSE)),"",VLOOKUP($B88&amp;":"&amp;AC$3,'x - authors'!$B$3:$E$10000,4,FALSE))</f>
        <v/>
      </c>
      <c r="AD88" s="80" t="str">
        <f>IF(ISNA(VLOOKUP($B88&amp;":"&amp;AD$3,'x - authors'!$B$3:$E$10000,4,FALSE)),"",VLOOKUP($B88&amp;":"&amp;AD$3,'x - authors'!$B$3:$E$10000,4,FALSE))</f>
        <v/>
      </c>
      <c r="AE88" s="80" t="str">
        <f>IF(ISNA(VLOOKUP($B88&amp;":"&amp;AE$3,'x - authors'!$B$3:$E$10000,4,FALSE)),"",VLOOKUP($B88&amp;":"&amp;AE$3,'x - authors'!$B$3:$E$10000,4,FALSE))</f>
        <v/>
      </c>
      <c r="AF88" s="80" t="str">
        <f>IF(ISNA(VLOOKUP($B88&amp;":"&amp;AF$3,'x - authors'!$B$3:$E$10000,4,FALSE)),"",VLOOKUP($B88&amp;":"&amp;AF$3,'x - authors'!$B$3:$E$10000,4,FALSE))</f>
        <v/>
      </c>
      <c r="AG88" s="80" t="str">
        <f>IF(ISNA(VLOOKUP($B88&amp;":"&amp;AG$3,'x - authors'!$B$3:$E$10000,4,FALSE)),"",VLOOKUP($B88&amp;":"&amp;AG$3,'x - authors'!$B$3:$E$10000,4,FALSE))</f>
        <v/>
      </c>
      <c r="AH88" s="80" t="str">
        <f>IF(ISNA(VLOOKUP($B88&amp;":"&amp;AH$3,'x - authors'!$B$3:$E$10000,4,FALSE)),"",VLOOKUP($B88&amp;":"&amp;AH$3,'x - authors'!$B$3:$E$10000,4,FALSE))</f>
        <v/>
      </c>
      <c r="AI88" s="80" t="str">
        <f>IF(ISNA(VLOOKUP($B88&amp;":"&amp;AI$3,'x - authors'!$B$3:$E$10000,4,FALSE)),"",VLOOKUP($B88&amp;":"&amp;AI$3,'x - authors'!$B$3:$E$10000,4,FALSE))</f>
        <v/>
      </c>
    </row>
    <row r="89" spans="2:35">
      <c r="B89" s="65" t="s">
        <v>6036</v>
      </c>
      <c r="C89" s="65" t="s">
        <v>129</v>
      </c>
      <c r="D89" s="65" t="s">
        <v>6037</v>
      </c>
      <c r="E89" s="41" t="s">
        <v>1005</v>
      </c>
      <c r="F89" s="65" t="s">
        <v>5457</v>
      </c>
      <c r="G89" s="65"/>
      <c r="H89" s="65" t="s">
        <v>6038</v>
      </c>
      <c r="I89" s="65"/>
      <c r="J89" s="65" t="s">
        <v>6040</v>
      </c>
      <c r="K89" s="65"/>
      <c r="L89" s="65" t="s">
        <v>6041</v>
      </c>
      <c r="M89" s="65"/>
      <c r="N89" s="65"/>
      <c r="O89" s="15" t="str">
        <f t="shared" si="1"/>
        <v>citation:doc-2176-01</v>
      </c>
      <c r="Q89" s="15" t="str">
        <f>VLOOKUP($O89,'x - paper citations'!$B$3:$E$2000,2,FALSE)</f>
        <v>https://scholar.google.co.uk/scholar?q="Towards Practical ABox Abduction in Large Description Logic Ontologies"&amp;btnG=&amp;hl=en&amp;as_sdt=0,5</v>
      </c>
      <c r="R89" s="15">
        <f>VLOOKUP($O89,'x - paper citations'!$B$3:$E$2000,3,FALSE)</f>
        <v>10</v>
      </c>
      <c r="S89" s="15" t="str">
        <f>VLOOKUP($O89,'x - paper citations'!$B$3:$E$2000,4,FALSE)</f>
        <v>11/12/2015</v>
      </c>
      <c r="U89" s="80" t="str">
        <f>IF(ISNA(VLOOKUP($B89&amp;":"&amp;U$3,'x - authors'!$B$3:$E$10000,4,FALSE)),"",VLOOKUP($B89&amp;":"&amp;U$3,'x - authors'!$B$3:$E$10000,4,FALSE))</f>
        <v>jianfeng_du</v>
      </c>
      <c r="V89" s="80" t="str">
        <f>IF(ISNA(VLOOKUP($B89&amp;":"&amp;V$3,'x - authors'!$B$3:$E$10000,4,FALSE)),"",VLOOKUP($B89&amp;":"&amp;V$3,'x - authors'!$B$3:$E$10000,4,FALSE))</f>
        <v>guilin_qi</v>
      </c>
      <c r="W89" s="80" t="str">
        <f>IF(ISNA(VLOOKUP($B89&amp;":"&amp;W$3,'x - authors'!$B$3:$E$10000,4,FALSE)),"",VLOOKUP($B89&amp;":"&amp;W$3,'x - authors'!$B$3:$E$10000,4,FALSE))</f>
        <v>yi-dong_shen</v>
      </c>
      <c r="X89" s="80" t="str">
        <f>IF(ISNA(VLOOKUP($B89&amp;":"&amp;X$3,'x - authors'!$B$3:$E$10000,4,FALSE)),"",VLOOKUP($B89&amp;":"&amp;X$3,'x - authors'!$B$3:$E$10000,4,FALSE))</f>
        <v>jeff_pan</v>
      </c>
      <c r="Y89" s="80" t="str">
        <f>IF(ISNA(VLOOKUP($B89&amp;":"&amp;Y$3,'x - authors'!$B$3:$E$10000,4,FALSE)),"",VLOOKUP($B89&amp;":"&amp;Y$3,'x - authors'!$B$3:$E$10000,4,FALSE))</f>
        <v/>
      </c>
      <c r="Z89" s="80" t="str">
        <f>IF(ISNA(VLOOKUP($B89&amp;":"&amp;Z$3,'x - authors'!$B$3:$E$10000,4,FALSE)),"",VLOOKUP($B89&amp;":"&amp;Z$3,'x - authors'!$B$3:$E$10000,4,FALSE))</f>
        <v/>
      </c>
      <c r="AA89" s="80" t="str">
        <f>IF(ISNA(VLOOKUP($B89&amp;":"&amp;AA$3,'x - authors'!$B$3:$E$10000,4,FALSE)),"",VLOOKUP($B89&amp;":"&amp;AA$3,'x - authors'!$B$3:$E$10000,4,FALSE))</f>
        <v/>
      </c>
      <c r="AB89" s="80" t="str">
        <f>IF(ISNA(VLOOKUP($B89&amp;":"&amp;AB$3,'x - authors'!$B$3:$E$10000,4,FALSE)),"",VLOOKUP($B89&amp;":"&amp;AB$3,'x - authors'!$B$3:$E$10000,4,FALSE))</f>
        <v/>
      </c>
      <c r="AC89" s="80" t="str">
        <f>IF(ISNA(VLOOKUP($B89&amp;":"&amp;AC$3,'x - authors'!$B$3:$E$10000,4,FALSE)),"",VLOOKUP($B89&amp;":"&amp;AC$3,'x - authors'!$B$3:$E$10000,4,FALSE))</f>
        <v/>
      </c>
      <c r="AD89" s="80" t="str">
        <f>IF(ISNA(VLOOKUP($B89&amp;":"&amp;AD$3,'x - authors'!$B$3:$E$10000,4,FALSE)),"",VLOOKUP($B89&amp;":"&amp;AD$3,'x - authors'!$B$3:$E$10000,4,FALSE))</f>
        <v/>
      </c>
      <c r="AE89" s="80" t="str">
        <f>IF(ISNA(VLOOKUP($B89&amp;":"&amp;AE$3,'x - authors'!$B$3:$E$10000,4,FALSE)),"",VLOOKUP($B89&amp;":"&amp;AE$3,'x - authors'!$B$3:$E$10000,4,FALSE))</f>
        <v/>
      </c>
      <c r="AF89" s="80" t="str">
        <f>IF(ISNA(VLOOKUP($B89&amp;":"&amp;AF$3,'x - authors'!$B$3:$E$10000,4,FALSE)),"",VLOOKUP($B89&amp;":"&amp;AF$3,'x - authors'!$B$3:$E$10000,4,FALSE))</f>
        <v/>
      </c>
      <c r="AG89" s="80" t="str">
        <f>IF(ISNA(VLOOKUP($B89&amp;":"&amp;AG$3,'x - authors'!$B$3:$E$10000,4,FALSE)),"",VLOOKUP($B89&amp;":"&amp;AG$3,'x - authors'!$B$3:$E$10000,4,FALSE))</f>
        <v/>
      </c>
      <c r="AH89" s="80" t="str">
        <f>IF(ISNA(VLOOKUP($B89&amp;":"&amp;AH$3,'x - authors'!$B$3:$E$10000,4,FALSE)),"",VLOOKUP($B89&amp;":"&amp;AH$3,'x - authors'!$B$3:$E$10000,4,FALSE))</f>
        <v/>
      </c>
      <c r="AI89" s="80" t="str">
        <f>IF(ISNA(VLOOKUP($B89&amp;":"&amp;AI$3,'x - authors'!$B$3:$E$10000,4,FALSE)),"",VLOOKUP($B89&amp;":"&amp;AI$3,'x - authors'!$B$3:$E$10000,4,FALSE))</f>
        <v/>
      </c>
    </row>
    <row r="90" spans="2:35">
      <c r="B90" s="65" t="s">
        <v>6042</v>
      </c>
      <c r="C90" s="65" t="s">
        <v>129</v>
      </c>
      <c r="D90" s="65" t="s">
        <v>6043</v>
      </c>
      <c r="E90" s="41" t="s">
        <v>1005</v>
      </c>
      <c r="F90" s="65" t="s">
        <v>5449</v>
      </c>
      <c r="G90" s="65"/>
      <c r="H90" s="65" t="s">
        <v>6044</v>
      </c>
      <c r="I90" s="65"/>
      <c r="J90" s="65" t="s">
        <v>6046</v>
      </c>
      <c r="K90" s="65"/>
      <c r="L90" s="65" t="s">
        <v>6047</v>
      </c>
      <c r="M90" s="65"/>
      <c r="N90" s="65"/>
      <c r="O90" s="15" t="str">
        <f t="shared" si="1"/>
        <v>citation:doc-2181-01</v>
      </c>
      <c r="Q90" s="15" t="str">
        <f>VLOOKUP($O90,'x - paper citations'!$B$3:$E$2000,2,FALSE)</f>
        <v>https://scholar.google.co.uk/scholar?q="Energy Efficiency of Cooperative Jamming Strategies in Secure Wireless Networks"&amp;btnG=&amp;hl=en&amp;as_sdt=0,5</v>
      </c>
      <c r="R90" s="15">
        <f>VLOOKUP($O90,'x - paper citations'!$B$3:$E$2000,3,FALSE)</f>
        <v>21</v>
      </c>
      <c r="S90" s="15" t="str">
        <f>VLOOKUP($O90,'x - paper citations'!$B$3:$E$2000,4,FALSE)</f>
        <v>10/01/2016</v>
      </c>
      <c r="U90" s="80" t="str">
        <f>IF(ISNA(VLOOKUP($B90&amp;":"&amp;U$3,'x - authors'!$B$3:$E$10000,4,FALSE)),"",VLOOKUP($B90&amp;":"&amp;U$3,'x - authors'!$B$3:$E$10000,4,FALSE))</f>
        <v>mostafa_dehghan</v>
      </c>
      <c r="V90" s="80" t="str">
        <f>IF(ISNA(VLOOKUP($B90&amp;":"&amp;V$3,'x - authors'!$B$3:$E$10000,4,FALSE)),"",VLOOKUP($B90&amp;":"&amp;V$3,'x - authors'!$B$3:$E$10000,4,FALSE))</f>
        <v>dennis_goeckel</v>
      </c>
      <c r="W90" s="80" t="str">
        <f>IF(ISNA(VLOOKUP($B90&amp;":"&amp;W$3,'x - authors'!$B$3:$E$10000,4,FALSE)),"",VLOOKUP($B90&amp;":"&amp;W$3,'x - authors'!$B$3:$E$10000,4,FALSE))</f>
        <v>majid_ghaderi</v>
      </c>
      <c r="X90" s="80" t="str">
        <f>IF(ISNA(VLOOKUP($B90&amp;":"&amp;X$3,'x - authors'!$B$3:$E$10000,4,FALSE)),"",VLOOKUP($B90&amp;":"&amp;X$3,'x - authors'!$B$3:$E$10000,4,FALSE))</f>
        <v>zhiguo_ding</v>
      </c>
      <c r="Y90" s="80" t="str">
        <f>IF(ISNA(VLOOKUP($B90&amp;":"&amp;Y$3,'x - authors'!$B$3:$E$10000,4,FALSE)),"",VLOOKUP($B90&amp;":"&amp;Y$3,'x - authors'!$B$3:$E$10000,4,FALSE))</f>
        <v/>
      </c>
      <c r="Z90" s="80" t="str">
        <f>IF(ISNA(VLOOKUP($B90&amp;":"&amp;Z$3,'x - authors'!$B$3:$E$10000,4,FALSE)),"",VLOOKUP($B90&amp;":"&amp;Z$3,'x - authors'!$B$3:$E$10000,4,FALSE))</f>
        <v/>
      </c>
      <c r="AA90" s="80" t="str">
        <f>IF(ISNA(VLOOKUP($B90&amp;":"&amp;AA$3,'x - authors'!$B$3:$E$10000,4,FALSE)),"",VLOOKUP($B90&amp;":"&amp;AA$3,'x - authors'!$B$3:$E$10000,4,FALSE))</f>
        <v/>
      </c>
      <c r="AB90" s="80" t="str">
        <f>IF(ISNA(VLOOKUP($B90&amp;":"&amp;AB$3,'x - authors'!$B$3:$E$10000,4,FALSE)),"",VLOOKUP($B90&amp;":"&amp;AB$3,'x - authors'!$B$3:$E$10000,4,FALSE))</f>
        <v/>
      </c>
      <c r="AC90" s="80" t="str">
        <f>IF(ISNA(VLOOKUP($B90&amp;":"&amp;AC$3,'x - authors'!$B$3:$E$10000,4,FALSE)),"",VLOOKUP($B90&amp;":"&amp;AC$3,'x - authors'!$B$3:$E$10000,4,FALSE))</f>
        <v/>
      </c>
      <c r="AD90" s="80" t="str">
        <f>IF(ISNA(VLOOKUP($B90&amp;":"&amp;AD$3,'x - authors'!$B$3:$E$10000,4,FALSE)),"",VLOOKUP($B90&amp;":"&amp;AD$3,'x - authors'!$B$3:$E$10000,4,FALSE))</f>
        <v/>
      </c>
      <c r="AE90" s="80" t="str">
        <f>IF(ISNA(VLOOKUP($B90&amp;":"&amp;AE$3,'x - authors'!$B$3:$E$10000,4,FALSE)),"",VLOOKUP($B90&amp;":"&amp;AE$3,'x - authors'!$B$3:$E$10000,4,FALSE))</f>
        <v/>
      </c>
      <c r="AF90" s="80" t="str">
        <f>IF(ISNA(VLOOKUP($B90&amp;":"&amp;AF$3,'x - authors'!$B$3:$E$10000,4,FALSE)),"",VLOOKUP($B90&amp;":"&amp;AF$3,'x - authors'!$B$3:$E$10000,4,FALSE))</f>
        <v/>
      </c>
      <c r="AG90" s="80" t="str">
        <f>IF(ISNA(VLOOKUP($B90&amp;":"&amp;AG$3,'x - authors'!$B$3:$E$10000,4,FALSE)),"",VLOOKUP($B90&amp;":"&amp;AG$3,'x - authors'!$B$3:$E$10000,4,FALSE))</f>
        <v/>
      </c>
      <c r="AH90" s="80" t="str">
        <f>IF(ISNA(VLOOKUP($B90&amp;":"&amp;AH$3,'x - authors'!$B$3:$E$10000,4,FALSE)),"",VLOOKUP($B90&amp;":"&amp;AH$3,'x - authors'!$B$3:$E$10000,4,FALSE))</f>
        <v/>
      </c>
      <c r="AI90" s="80" t="str">
        <f>IF(ISNA(VLOOKUP($B90&amp;":"&amp;AI$3,'x - authors'!$B$3:$E$10000,4,FALSE)),"",VLOOKUP($B90&amp;":"&amp;AI$3,'x - authors'!$B$3:$E$10000,4,FALSE))</f>
        <v/>
      </c>
    </row>
    <row r="91" spans="2:35">
      <c r="B91" s="65" t="s">
        <v>6048</v>
      </c>
      <c r="C91" s="65" t="s">
        <v>129</v>
      </c>
      <c r="D91" s="65" t="s">
        <v>6049</v>
      </c>
      <c r="E91" s="41" t="s">
        <v>1007</v>
      </c>
      <c r="F91" s="65" t="s">
        <v>5449</v>
      </c>
      <c r="G91" s="65"/>
      <c r="H91" s="65" t="s">
        <v>6050</v>
      </c>
      <c r="I91" s="65"/>
      <c r="J91" s="65" t="s">
        <v>6052</v>
      </c>
      <c r="K91" s="65"/>
      <c r="L91" s="65" t="s">
        <v>6053</v>
      </c>
      <c r="M91" s="65"/>
      <c r="N91" s="65"/>
      <c r="O91" s="15" t="str">
        <f t="shared" si="1"/>
        <v>citation:doc-2182-01</v>
      </c>
      <c r="Q91" s="15" t="str">
        <f>VLOOKUP($O91,'x - paper citations'!$B$3:$E$2000,2,FALSE)</f>
        <v>https://scholar.google.co.uk/scholar?q="Signal-Flow-Based Analysis of Wireless Security Protocols"&amp;btnG=&amp;hl=en&amp;as_sdt=0,5</v>
      </c>
      <c r="R91" s="15">
        <f>VLOOKUP($O91,'x - paper citations'!$B$3:$E$2000,3,FALSE)</f>
        <v>8</v>
      </c>
      <c r="S91" s="15" t="str">
        <f>VLOOKUP($O91,'x - paper citations'!$B$3:$E$2000,4,FALSE)</f>
        <v>11/12/2015</v>
      </c>
      <c r="U91" s="80" t="str">
        <f>IF(ISNA(VLOOKUP($B91&amp;":"&amp;U$3,'x - authors'!$B$3:$E$10000,4,FALSE)),"",VLOOKUP($B91&amp;":"&amp;U$3,'x - authors'!$B$3:$E$10000,4,FALSE))</f>
        <v>cagatay_capar</v>
      </c>
      <c r="V91" s="80" t="str">
        <f>IF(ISNA(VLOOKUP($B91&amp;":"&amp;V$3,'x - authors'!$B$3:$E$10000,4,FALSE)),"",VLOOKUP($B91&amp;":"&amp;V$3,'x - authors'!$B$3:$E$10000,4,FALSE))</f>
        <v>dennis_goeckel</v>
      </c>
      <c r="W91" s="80" t="str">
        <f>IF(ISNA(VLOOKUP($B91&amp;":"&amp;W$3,'x - authors'!$B$3:$E$10000,4,FALSE)),"",VLOOKUP($B91&amp;":"&amp;W$3,'x - authors'!$B$3:$E$10000,4,FALSE))</f>
        <v>kenny_paterson</v>
      </c>
      <c r="X91" s="80" t="str">
        <f>IF(ISNA(VLOOKUP($B91&amp;":"&amp;X$3,'x - authors'!$B$3:$E$10000,4,FALSE)),"",VLOOKUP($B91&amp;":"&amp;X$3,'x - authors'!$B$3:$E$10000,4,FALSE))</f>
        <v>elizabeth_quaglia</v>
      </c>
      <c r="Y91" s="80" t="str">
        <f>IF(ISNA(VLOOKUP($B91&amp;":"&amp;Y$3,'x - authors'!$B$3:$E$10000,4,FALSE)),"",VLOOKUP($B91&amp;":"&amp;Y$3,'x - authors'!$B$3:$E$10000,4,FALSE))</f>
        <v>don_towsley</v>
      </c>
      <c r="Z91" s="80" t="str">
        <f>IF(ISNA(VLOOKUP($B91&amp;":"&amp;Z$3,'x - authors'!$B$3:$E$10000,4,FALSE)),"",VLOOKUP($B91&amp;":"&amp;Z$3,'x - authors'!$B$3:$E$10000,4,FALSE))</f>
        <v>murtaza_zafer</v>
      </c>
      <c r="AA91" s="80" t="str">
        <f>IF(ISNA(VLOOKUP($B91&amp;":"&amp;AA$3,'x - authors'!$B$3:$E$10000,4,FALSE)),"",VLOOKUP($B91&amp;":"&amp;AA$3,'x - authors'!$B$3:$E$10000,4,FALSE))</f>
        <v/>
      </c>
      <c r="AB91" s="80" t="str">
        <f>IF(ISNA(VLOOKUP($B91&amp;":"&amp;AB$3,'x - authors'!$B$3:$E$10000,4,FALSE)),"",VLOOKUP($B91&amp;":"&amp;AB$3,'x - authors'!$B$3:$E$10000,4,FALSE))</f>
        <v/>
      </c>
      <c r="AC91" s="80" t="str">
        <f>IF(ISNA(VLOOKUP($B91&amp;":"&amp;AC$3,'x - authors'!$B$3:$E$10000,4,FALSE)),"",VLOOKUP($B91&amp;":"&amp;AC$3,'x - authors'!$B$3:$E$10000,4,FALSE))</f>
        <v/>
      </c>
      <c r="AD91" s="80" t="str">
        <f>IF(ISNA(VLOOKUP($B91&amp;":"&amp;AD$3,'x - authors'!$B$3:$E$10000,4,FALSE)),"",VLOOKUP($B91&amp;":"&amp;AD$3,'x - authors'!$B$3:$E$10000,4,FALSE))</f>
        <v/>
      </c>
      <c r="AE91" s="80" t="str">
        <f>IF(ISNA(VLOOKUP($B91&amp;":"&amp;AE$3,'x - authors'!$B$3:$E$10000,4,FALSE)),"",VLOOKUP($B91&amp;":"&amp;AE$3,'x - authors'!$B$3:$E$10000,4,FALSE))</f>
        <v/>
      </c>
      <c r="AF91" s="80" t="str">
        <f>IF(ISNA(VLOOKUP($B91&amp;":"&amp;AF$3,'x - authors'!$B$3:$E$10000,4,FALSE)),"",VLOOKUP($B91&amp;":"&amp;AF$3,'x - authors'!$B$3:$E$10000,4,FALSE))</f>
        <v/>
      </c>
      <c r="AG91" s="80" t="str">
        <f>IF(ISNA(VLOOKUP($B91&amp;":"&amp;AG$3,'x - authors'!$B$3:$E$10000,4,FALSE)),"",VLOOKUP($B91&amp;":"&amp;AG$3,'x - authors'!$B$3:$E$10000,4,FALSE))</f>
        <v/>
      </c>
      <c r="AH91" s="80" t="str">
        <f>IF(ISNA(VLOOKUP($B91&amp;":"&amp;AH$3,'x - authors'!$B$3:$E$10000,4,FALSE)),"",VLOOKUP($B91&amp;":"&amp;AH$3,'x - authors'!$B$3:$E$10000,4,FALSE))</f>
        <v/>
      </c>
      <c r="AI91" s="80" t="str">
        <f>IF(ISNA(VLOOKUP($B91&amp;":"&amp;AI$3,'x - authors'!$B$3:$E$10000,4,FALSE)),"",VLOOKUP($B91&amp;":"&amp;AI$3,'x - authors'!$B$3:$E$10000,4,FALSE))</f>
        <v/>
      </c>
    </row>
    <row r="92" spans="2:35">
      <c r="B92" s="65" t="s">
        <v>6054</v>
      </c>
      <c r="C92" s="65" t="s">
        <v>129</v>
      </c>
      <c r="D92" s="65" t="s">
        <v>6055</v>
      </c>
      <c r="E92" s="41" t="s">
        <v>1005</v>
      </c>
      <c r="F92" s="65" t="s">
        <v>5449</v>
      </c>
      <c r="G92" s="65"/>
      <c r="H92" s="65" t="s">
        <v>6056</v>
      </c>
      <c r="I92" s="65"/>
      <c r="J92" s="65" t="s">
        <v>6058</v>
      </c>
      <c r="K92" s="65"/>
      <c r="L92" s="65" t="s">
        <v>6059</v>
      </c>
      <c r="M92" s="65"/>
      <c r="N92" s="65"/>
      <c r="O92" s="15" t="str">
        <f t="shared" si="1"/>
        <v>citation:doc-2183-01</v>
      </c>
      <c r="Q92" s="15" t="str">
        <f>VLOOKUP($O92,'x - paper citations'!$B$3:$E$2000,2,FALSE)</f>
        <v>https://scholar.google.co.uk/scholar?q="Broadcast Analysis for Extended Cooperative Wireless Networks"&amp;btnG=&amp;hl=en&amp;as_sdt=0,5</v>
      </c>
      <c r="R92" s="15">
        <f>VLOOKUP($O92,'x - paper citations'!$B$3:$E$2000,3,FALSE)</f>
        <v>3</v>
      </c>
      <c r="S92" s="15" t="str">
        <f>VLOOKUP($O92,'x - paper citations'!$B$3:$E$2000,4,FALSE)</f>
        <v>11/12/2015</v>
      </c>
      <c r="U92" s="80" t="str">
        <f>IF(ISNA(VLOOKUP($B92&amp;":"&amp;U$3,'x - authors'!$B$3:$E$10000,4,FALSE)),"",VLOOKUP($B92&amp;":"&amp;U$3,'x - authors'!$B$3:$E$10000,4,FALSE))</f>
        <v>cagatay_capar</v>
      </c>
      <c r="V92" s="80" t="str">
        <f>IF(ISNA(VLOOKUP($B92&amp;":"&amp;V$3,'x - authors'!$B$3:$E$10000,4,FALSE)),"",VLOOKUP($B92&amp;":"&amp;V$3,'x - authors'!$B$3:$E$10000,4,FALSE))</f>
        <v>dennis_goeckel</v>
      </c>
      <c r="W92" s="80" t="str">
        <f>IF(ISNA(VLOOKUP($B92&amp;":"&amp;W$3,'x - authors'!$B$3:$E$10000,4,FALSE)),"",VLOOKUP($B92&amp;":"&amp;W$3,'x - authors'!$B$3:$E$10000,4,FALSE))</f>
        <v>don_towsley</v>
      </c>
      <c r="X92" s="80" t="str">
        <f>IF(ISNA(VLOOKUP($B92&amp;":"&amp;X$3,'x - authors'!$B$3:$E$10000,4,FALSE)),"",VLOOKUP($B92&amp;":"&amp;X$3,'x - authors'!$B$3:$E$10000,4,FALSE))</f>
        <v/>
      </c>
      <c r="Y92" s="80" t="str">
        <f>IF(ISNA(VLOOKUP($B92&amp;":"&amp;Y$3,'x - authors'!$B$3:$E$10000,4,FALSE)),"",VLOOKUP($B92&amp;":"&amp;Y$3,'x - authors'!$B$3:$E$10000,4,FALSE))</f>
        <v/>
      </c>
      <c r="Z92" s="80" t="str">
        <f>IF(ISNA(VLOOKUP($B92&amp;":"&amp;Z$3,'x - authors'!$B$3:$E$10000,4,FALSE)),"",VLOOKUP($B92&amp;":"&amp;Z$3,'x - authors'!$B$3:$E$10000,4,FALSE))</f>
        <v/>
      </c>
      <c r="AA92" s="80" t="str">
        <f>IF(ISNA(VLOOKUP($B92&amp;":"&amp;AA$3,'x - authors'!$B$3:$E$10000,4,FALSE)),"",VLOOKUP($B92&amp;":"&amp;AA$3,'x - authors'!$B$3:$E$10000,4,FALSE))</f>
        <v/>
      </c>
      <c r="AB92" s="80" t="str">
        <f>IF(ISNA(VLOOKUP($B92&amp;":"&amp;AB$3,'x - authors'!$B$3:$E$10000,4,FALSE)),"",VLOOKUP($B92&amp;":"&amp;AB$3,'x - authors'!$B$3:$E$10000,4,FALSE))</f>
        <v/>
      </c>
      <c r="AC92" s="80" t="str">
        <f>IF(ISNA(VLOOKUP($B92&amp;":"&amp;AC$3,'x - authors'!$B$3:$E$10000,4,FALSE)),"",VLOOKUP($B92&amp;":"&amp;AC$3,'x - authors'!$B$3:$E$10000,4,FALSE))</f>
        <v/>
      </c>
      <c r="AD92" s="80" t="str">
        <f>IF(ISNA(VLOOKUP($B92&amp;":"&amp;AD$3,'x - authors'!$B$3:$E$10000,4,FALSE)),"",VLOOKUP($B92&amp;":"&amp;AD$3,'x - authors'!$B$3:$E$10000,4,FALSE))</f>
        <v/>
      </c>
      <c r="AE92" s="80" t="str">
        <f>IF(ISNA(VLOOKUP($B92&amp;":"&amp;AE$3,'x - authors'!$B$3:$E$10000,4,FALSE)),"",VLOOKUP($B92&amp;":"&amp;AE$3,'x - authors'!$B$3:$E$10000,4,FALSE))</f>
        <v/>
      </c>
      <c r="AF92" s="80" t="str">
        <f>IF(ISNA(VLOOKUP($B92&amp;":"&amp;AF$3,'x - authors'!$B$3:$E$10000,4,FALSE)),"",VLOOKUP($B92&amp;":"&amp;AF$3,'x - authors'!$B$3:$E$10000,4,FALSE))</f>
        <v/>
      </c>
      <c r="AG92" s="80" t="str">
        <f>IF(ISNA(VLOOKUP($B92&amp;":"&amp;AG$3,'x - authors'!$B$3:$E$10000,4,FALSE)),"",VLOOKUP($B92&amp;":"&amp;AG$3,'x - authors'!$B$3:$E$10000,4,FALSE))</f>
        <v/>
      </c>
      <c r="AH92" s="80" t="str">
        <f>IF(ISNA(VLOOKUP($B92&amp;":"&amp;AH$3,'x - authors'!$B$3:$E$10000,4,FALSE)),"",VLOOKUP($B92&amp;":"&amp;AH$3,'x - authors'!$B$3:$E$10000,4,FALSE))</f>
        <v/>
      </c>
      <c r="AI92" s="80" t="str">
        <f>IF(ISNA(VLOOKUP($B92&amp;":"&amp;AI$3,'x - authors'!$B$3:$E$10000,4,FALSE)),"",VLOOKUP($B92&amp;":"&amp;AI$3,'x - authors'!$B$3:$E$10000,4,FALSE))</f>
        <v/>
      </c>
    </row>
    <row r="93" spans="2:35">
      <c r="B93" s="65" t="s">
        <v>6060</v>
      </c>
      <c r="C93" s="65" t="s">
        <v>129</v>
      </c>
      <c r="D93" s="65" t="s">
        <v>6061</v>
      </c>
      <c r="E93" s="83" t="s">
        <v>6761</v>
      </c>
      <c r="F93" s="65" t="s">
        <v>5457</v>
      </c>
      <c r="G93" s="65"/>
      <c r="H93" s="65" t="s">
        <v>6062</v>
      </c>
      <c r="I93" s="65"/>
      <c r="J93" s="65" t="s">
        <v>6064</v>
      </c>
      <c r="K93" s="65"/>
      <c r="L93" s="65" t="s">
        <v>6065</v>
      </c>
      <c r="M93" s="65"/>
      <c r="N93" s="65"/>
      <c r="O93" s="15" t="str">
        <f t="shared" si="1"/>
        <v>citation:doc-2242-01</v>
      </c>
      <c r="Q93" s="15" t="str">
        <f>VLOOKUP($O93,'x - paper citations'!$B$3:$E$2000,2,FALSE)</f>
        <v>https://scholar.google.co.uk/scholar?q="Prognostic Normative Reasoning"&amp;btnG=&amp;hl=en&amp;as_sdt=0,5</v>
      </c>
      <c r="R93" s="15">
        <f>VLOOKUP($O93,'x - paper citations'!$B$3:$E$2000,3,FALSE)</f>
        <v>4</v>
      </c>
      <c r="S93" s="15" t="str">
        <f>VLOOKUP($O93,'x - paper citations'!$B$3:$E$2000,4,FALSE)</f>
        <v>11/12/2015</v>
      </c>
      <c r="U93" s="80" t="str">
        <f>IF(ISNA(VLOOKUP($B93&amp;":"&amp;U$3,'x - authors'!$B$3:$E$10000,4,FALSE)),"",VLOOKUP($B93&amp;":"&amp;U$3,'x - authors'!$B$3:$E$10000,4,FALSE))</f>
        <v>jean_oh</v>
      </c>
      <c r="V93" s="80" t="str">
        <f>IF(ISNA(VLOOKUP($B93&amp;":"&amp;V$3,'x - authors'!$B$3:$E$10000,4,FALSE)),"",VLOOKUP($B93&amp;":"&amp;V$3,'x - authors'!$B$3:$E$10000,4,FALSE))</f>
        <v>felipe_meneguzzi</v>
      </c>
      <c r="W93" s="80" t="str">
        <f>IF(ISNA(VLOOKUP($B93&amp;":"&amp;W$3,'x - authors'!$B$3:$E$10000,4,FALSE)),"",VLOOKUP($B93&amp;":"&amp;W$3,'x - authors'!$B$3:$E$10000,4,FALSE))</f>
        <v>katia_sycara</v>
      </c>
      <c r="X93" s="80" t="str">
        <f>IF(ISNA(VLOOKUP($B93&amp;":"&amp;X$3,'x - authors'!$B$3:$E$10000,4,FALSE)),"",VLOOKUP($B93&amp;":"&amp;X$3,'x - authors'!$B$3:$E$10000,4,FALSE))</f>
        <v>timothy_norman</v>
      </c>
      <c r="Y93" s="80" t="str">
        <f>IF(ISNA(VLOOKUP($B93&amp;":"&amp;Y$3,'x - authors'!$B$3:$E$10000,4,FALSE)),"",VLOOKUP($B93&amp;":"&amp;Y$3,'x - authors'!$B$3:$E$10000,4,FALSE))</f>
        <v/>
      </c>
      <c r="Z93" s="80" t="str">
        <f>IF(ISNA(VLOOKUP($B93&amp;":"&amp;Z$3,'x - authors'!$B$3:$E$10000,4,FALSE)),"",VLOOKUP($B93&amp;":"&amp;Z$3,'x - authors'!$B$3:$E$10000,4,FALSE))</f>
        <v/>
      </c>
      <c r="AA93" s="80" t="str">
        <f>IF(ISNA(VLOOKUP($B93&amp;":"&amp;AA$3,'x - authors'!$B$3:$E$10000,4,FALSE)),"",VLOOKUP($B93&amp;":"&amp;AA$3,'x - authors'!$B$3:$E$10000,4,FALSE))</f>
        <v/>
      </c>
      <c r="AB93" s="80" t="str">
        <f>IF(ISNA(VLOOKUP($B93&amp;":"&amp;AB$3,'x - authors'!$B$3:$E$10000,4,FALSE)),"",VLOOKUP($B93&amp;":"&amp;AB$3,'x - authors'!$B$3:$E$10000,4,FALSE))</f>
        <v/>
      </c>
      <c r="AC93" s="80" t="str">
        <f>IF(ISNA(VLOOKUP($B93&amp;":"&amp;AC$3,'x - authors'!$B$3:$E$10000,4,FALSE)),"",VLOOKUP($B93&amp;":"&amp;AC$3,'x - authors'!$B$3:$E$10000,4,FALSE))</f>
        <v/>
      </c>
      <c r="AD93" s="80" t="str">
        <f>IF(ISNA(VLOOKUP($B93&amp;":"&amp;AD$3,'x - authors'!$B$3:$E$10000,4,FALSE)),"",VLOOKUP($B93&amp;":"&amp;AD$3,'x - authors'!$B$3:$E$10000,4,FALSE))</f>
        <v/>
      </c>
      <c r="AE93" s="80" t="str">
        <f>IF(ISNA(VLOOKUP($B93&amp;":"&amp;AE$3,'x - authors'!$B$3:$E$10000,4,FALSE)),"",VLOOKUP($B93&amp;":"&amp;AE$3,'x - authors'!$B$3:$E$10000,4,FALSE))</f>
        <v/>
      </c>
      <c r="AF93" s="80" t="str">
        <f>IF(ISNA(VLOOKUP($B93&amp;":"&amp;AF$3,'x - authors'!$B$3:$E$10000,4,FALSE)),"",VLOOKUP($B93&amp;":"&amp;AF$3,'x - authors'!$B$3:$E$10000,4,FALSE))</f>
        <v/>
      </c>
      <c r="AG93" s="80" t="str">
        <f>IF(ISNA(VLOOKUP($B93&amp;":"&amp;AG$3,'x - authors'!$B$3:$E$10000,4,FALSE)),"",VLOOKUP($B93&amp;":"&amp;AG$3,'x - authors'!$B$3:$E$10000,4,FALSE))</f>
        <v/>
      </c>
      <c r="AH93" s="80" t="str">
        <f>IF(ISNA(VLOOKUP($B93&amp;":"&amp;AH$3,'x - authors'!$B$3:$E$10000,4,FALSE)),"",VLOOKUP($B93&amp;":"&amp;AH$3,'x - authors'!$B$3:$E$10000,4,FALSE))</f>
        <v/>
      </c>
      <c r="AI93" s="80" t="str">
        <f>IF(ISNA(VLOOKUP($B93&amp;":"&amp;AI$3,'x - authors'!$B$3:$E$10000,4,FALSE)),"",VLOOKUP($B93&amp;":"&amp;AI$3,'x - authors'!$B$3:$E$10000,4,FALSE))</f>
        <v/>
      </c>
    </row>
    <row r="94" spans="2:35">
      <c r="B94" s="65" t="s">
        <v>6066</v>
      </c>
      <c r="C94" s="65" t="s">
        <v>129</v>
      </c>
      <c r="D94" s="65" t="s">
        <v>6067</v>
      </c>
      <c r="E94" s="83" t="s">
        <v>1006</v>
      </c>
      <c r="F94" s="65" t="s">
        <v>5453</v>
      </c>
      <c r="G94" s="65"/>
      <c r="H94" s="65" t="s">
        <v>6068</v>
      </c>
      <c r="I94" s="65"/>
      <c r="J94" s="65" t="s">
        <v>6070</v>
      </c>
      <c r="K94" s="65"/>
      <c r="L94" s="65" t="s">
        <v>6071</v>
      </c>
      <c r="M94" s="65" t="s">
        <v>6072</v>
      </c>
      <c r="N94" s="65"/>
      <c r="O94" s="15" t="str">
        <f t="shared" si="1"/>
        <v>citation:doc-2248-01</v>
      </c>
      <c r="Q94" s="15" t="str">
        <f>VLOOKUP($O94,'x - paper citations'!$B$3:$E$2000,2,FALSE)</f>
        <v>https://scholar.google.co.uk/scholar?q="Outsider-Anonymous Broadcast Encryption with Sublinear Ciphertexts"&amp;btnG=&amp;hl=en&amp;as_sdt=0,5</v>
      </c>
      <c r="R94" s="15">
        <f>VLOOKUP($O94,'x - paper citations'!$B$3:$E$2000,3,FALSE)</f>
        <v>37</v>
      </c>
      <c r="S94" s="15" t="str">
        <f>VLOOKUP($O94,'x - paper citations'!$B$3:$E$2000,4,FALSE)</f>
        <v>12/02/2016</v>
      </c>
      <c r="U94" s="80" t="str">
        <f>IF(ISNA(VLOOKUP($B94&amp;":"&amp;U$3,'x - authors'!$B$3:$E$10000,4,FALSE)),"",VLOOKUP($B94&amp;":"&amp;U$3,'x - authors'!$B$3:$E$10000,4,FALSE))</f>
        <v>nelly_fazio</v>
      </c>
      <c r="V94" s="80" t="str">
        <f>IF(ISNA(VLOOKUP($B94&amp;":"&amp;V$3,'x - authors'!$B$3:$E$10000,4,FALSE)),"",VLOOKUP($B94&amp;":"&amp;V$3,'x - authors'!$B$3:$E$10000,4,FALSE))</f>
        <v>irippuge_perera</v>
      </c>
      <c r="W94" s="80" t="str">
        <f>IF(ISNA(VLOOKUP($B94&amp;":"&amp;W$3,'x - authors'!$B$3:$E$10000,4,FALSE)),"",VLOOKUP($B94&amp;":"&amp;W$3,'x - authors'!$B$3:$E$10000,4,FALSE))</f>
        <v/>
      </c>
      <c r="X94" s="80" t="str">
        <f>IF(ISNA(VLOOKUP($B94&amp;":"&amp;X$3,'x - authors'!$B$3:$E$10000,4,FALSE)),"",VLOOKUP($B94&amp;":"&amp;X$3,'x - authors'!$B$3:$E$10000,4,FALSE))</f>
        <v/>
      </c>
      <c r="Y94" s="80" t="str">
        <f>IF(ISNA(VLOOKUP($B94&amp;":"&amp;Y$3,'x - authors'!$B$3:$E$10000,4,FALSE)),"",VLOOKUP($B94&amp;":"&amp;Y$3,'x - authors'!$B$3:$E$10000,4,FALSE))</f>
        <v/>
      </c>
      <c r="Z94" s="80" t="str">
        <f>IF(ISNA(VLOOKUP($B94&amp;":"&amp;Z$3,'x - authors'!$B$3:$E$10000,4,FALSE)),"",VLOOKUP($B94&amp;":"&amp;Z$3,'x - authors'!$B$3:$E$10000,4,FALSE))</f>
        <v/>
      </c>
      <c r="AA94" s="80" t="str">
        <f>IF(ISNA(VLOOKUP($B94&amp;":"&amp;AA$3,'x - authors'!$B$3:$E$10000,4,FALSE)),"",VLOOKUP($B94&amp;":"&amp;AA$3,'x - authors'!$B$3:$E$10000,4,FALSE))</f>
        <v/>
      </c>
      <c r="AB94" s="80" t="str">
        <f>IF(ISNA(VLOOKUP($B94&amp;":"&amp;AB$3,'x - authors'!$B$3:$E$10000,4,FALSE)),"",VLOOKUP($B94&amp;":"&amp;AB$3,'x - authors'!$B$3:$E$10000,4,FALSE))</f>
        <v/>
      </c>
      <c r="AC94" s="80" t="str">
        <f>IF(ISNA(VLOOKUP($B94&amp;":"&amp;AC$3,'x - authors'!$B$3:$E$10000,4,FALSE)),"",VLOOKUP($B94&amp;":"&amp;AC$3,'x - authors'!$B$3:$E$10000,4,FALSE))</f>
        <v/>
      </c>
      <c r="AD94" s="80" t="str">
        <f>IF(ISNA(VLOOKUP($B94&amp;":"&amp;AD$3,'x - authors'!$B$3:$E$10000,4,FALSE)),"",VLOOKUP($B94&amp;":"&amp;AD$3,'x - authors'!$B$3:$E$10000,4,FALSE))</f>
        <v/>
      </c>
      <c r="AE94" s="80" t="str">
        <f>IF(ISNA(VLOOKUP($B94&amp;":"&amp;AE$3,'x - authors'!$B$3:$E$10000,4,FALSE)),"",VLOOKUP($B94&amp;":"&amp;AE$3,'x - authors'!$B$3:$E$10000,4,FALSE))</f>
        <v/>
      </c>
      <c r="AF94" s="80" t="str">
        <f>IF(ISNA(VLOOKUP($B94&amp;":"&amp;AF$3,'x - authors'!$B$3:$E$10000,4,FALSE)),"",VLOOKUP($B94&amp;":"&amp;AF$3,'x - authors'!$B$3:$E$10000,4,FALSE))</f>
        <v/>
      </c>
      <c r="AG94" s="80" t="str">
        <f>IF(ISNA(VLOOKUP($B94&amp;":"&amp;AG$3,'x - authors'!$B$3:$E$10000,4,FALSE)),"",VLOOKUP($B94&amp;":"&amp;AG$3,'x - authors'!$B$3:$E$10000,4,FALSE))</f>
        <v/>
      </c>
      <c r="AH94" s="80" t="str">
        <f>IF(ISNA(VLOOKUP($B94&amp;":"&amp;AH$3,'x - authors'!$B$3:$E$10000,4,FALSE)),"",VLOOKUP($B94&amp;":"&amp;AH$3,'x - authors'!$B$3:$E$10000,4,FALSE))</f>
        <v/>
      </c>
      <c r="AI94" s="80" t="str">
        <f>IF(ISNA(VLOOKUP($B94&amp;":"&amp;AI$3,'x - authors'!$B$3:$E$10000,4,FALSE)),"",VLOOKUP($B94&amp;":"&amp;AI$3,'x - authors'!$B$3:$E$10000,4,FALSE))</f>
        <v/>
      </c>
    </row>
    <row r="95" spans="2:35">
      <c r="B95" s="65" t="s">
        <v>6073</v>
      </c>
      <c r="C95" s="65" t="s">
        <v>129</v>
      </c>
      <c r="D95" s="65" t="s">
        <v>6074</v>
      </c>
      <c r="E95" s="83" t="s">
        <v>1007</v>
      </c>
      <c r="F95" s="65" t="s">
        <v>5449</v>
      </c>
      <c r="G95" s="65"/>
      <c r="H95" s="65" t="s">
        <v>6075</v>
      </c>
      <c r="I95" s="65"/>
      <c r="J95" s="65" t="s">
        <v>6077</v>
      </c>
      <c r="K95" s="65"/>
      <c r="L95" s="65" t="s">
        <v>6078</v>
      </c>
      <c r="M95" s="65"/>
      <c r="N95" s="65"/>
      <c r="O95" s="15" t="str">
        <f t="shared" si="1"/>
        <v>citation:doc-2249-01</v>
      </c>
      <c r="Q95" s="15" t="str">
        <f>VLOOKUP($O95,'x - paper citations'!$B$3:$E$2000,2,FALSE)</f>
        <v>https://scholar.google.co.uk/scholar?q="Limits of Reliable Communication with Low Probability of Detection on AWGN Channels"&amp;btnG=&amp;hl=en&amp;as_sdt=0,5</v>
      </c>
      <c r="R95" s="15">
        <f>VLOOKUP($O95,'x - paper citations'!$B$3:$E$2000,3,FALSE)</f>
        <v>21</v>
      </c>
      <c r="S95" s="15" t="str">
        <f>VLOOKUP($O95,'x - paper citations'!$B$3:$E$2000,4,FALSE)</f>
        <v>27/11/2015</v>
      </c>
      <c r="U95" s="80" t="str">
        <f>IF(ISNA(VLOOKUP($B95&amp;":"&amp;U$3,'x - authors'!$B$3:$E$10000,4,FALSE)),"",VLOOKUP($B95&amp;":"&amp;U$3,'x - authors'!$B$3:$E$10000,4,FALSE))</f>
        <v>boulat_bash</v>
      </c>
      <c r="V95" s="80" t="str">
        <f>IF(ISNA(VLOOKUP($B95&amp;":"&amp;V$3,'x - authors'!$B$3:$E$10000,4,FALSE)),"",VLOOKUP($B95&amp;":"&amp;V$3,'x - authors'!$B$3:$E$10000,4,FALSE))</f>
        <v>dennis_goeckel</v>
      </c>
      <c r="W95" s="80" t="str">
        <f>IF(ISNA(VLOOKUP($B95&amp;":"&amp;W$3,'x - authors'!$B$3:$E$10000,4,FALSE)),"",VLOOKUP($B95&amp;":"&amp;W$3,'x - authors'!$B$3:$E$10000,4,FALSE))</f>
        <v>don_towsley</v>
      </c>
      <c r="X95" s="80" t="str">
        <f>IF(ISNA(VLOOKUP($B95&amp;":"&amp;X$3,'x - authors'!$B$3:$E$10000,4,FALSE)),"",VLOOKUP($B95&amp;":"&amp;X$3,'x - authors'!$B$3:$E$10000,4,FALSE))</f>
        <v/>
      </c>
      <c r="Y95" s="80" t="str">
        <f>IF(ISNA(VLOOKUP($B95&amp;":"&amp;Y$3,'x - authors'!$B$3:$E$10000,4,FALSE)),"",VLOOKUP($B95&amp;":"&amp;Y$3,'x - authors'!$B$3:$E$10000,4,FALSE))</f>
        <v/>
      </c>
      <c r="Z95" s="80" t="str">
        <f>IF(ISNA(VLOOKUP($B95&amp;":"&amp;Z$3,'x - authors'!$B$3:$E$10000,4,FALSE)),"",VLOOKUP($B95&amp;":"&amp;Z$3,'x - authors'!$B$3:$E$10000,4,FALSE))</f>
        <v/>
      </c>
      <c r="AA95" s="80" t="str">
        <f>IF(ISNA(VLOOKUP($B95&amp;":"&amp;AA$3,'x - authors'!$B$3:$E$10000,4,FALSE)),"",VLOOKUP($B95&amp;":"&amp;AA$3,'x - authors'!$B$3:$E$10000,4,FALSE))</f>
        <v/>
      </c>
      <c r="AB95" s="80" t="str">
        <f>IF(ISNA(VLOOKUP($B95&amp;":"&amp;AB$3,'x - authors'!$B$3:$E$10000,4,FALSE)),"",VLOOKUP($B95&amp;":"&amp;AB$3,'x - authors'!$B$3:$E$10000,4,FALSE))</f>
        <v/>
      </c>
      <c r="AC95" s="80" t="str">
        <f>IF(ISNA(VLOOKUP($B95&amp;":"&amp;AC$3,'x - authors'!$B$3:$E$10000,4,FALSE)),"",VLOOKUP($B95&amp;":"&amp;AC$3,'x - authors'!$B$3:$E$10000,4,FALSE))</f>
        <v/>
      </c>
      <c r="AD95" s="80" t="str">
        <f>IF(ISNA(VLOOKUP($B95&amp;":"&amp;AD$3,'x - authors'!$B$3:$E$10000,4,FALSE)),"",VLOOKUP($B95&amp;":"&amp;AD$3,'x - authors'!$B$3:$E$10000,4,FALSE))</f>
        <v/>
      </c>
      <c r="AE95" s="80" t="str">
        <f>IF(ISNA(VLOOKUP($B95&amp;":"&amp;AE$3,'x - authors'!$B$3:$E$10000,4,FALSE)),"",VLOOKUP($B95&amp;":"&amp;AE$3,'x - authors'!$B$3:$E$10000,4,FALSE))</f>
        <v/>
      </c>
      <c r="AF95" s="80" t="str">
        <f>IF(ISNA(VLOOKUP($B95&amp;":"&amp;AF$3,'x - authors'!$B$3:$E$10000,4,FALSE)),"",VLOOKUP($B95&amp;":"&amp;AF$3,'x - authors'!$B$3:$E$10000,4,FALSE))</f>
        <v/>
      </c>
      <c r="AG95" s="80" t="str">
        <f>IF(ISNA(VLOOKUP($B95&amp;":"&amp;AG$3,'x - authors'!$B$3:$E$10000,4,FALSE)),"",VLOOKUP($B95&amp;":"&amp;AG$3,'x - authors'!$B$3:$E$10000,4,FALSE))</f>
        <v/>
      </c>
      <c r="AH95" s="80" t="str">
        <f>IF(ISNA(VLOOKUP($B95&amp;":"&amp;AH$3,'x - authors'!$B$3:$E$10000,4,FALSE)),"",VLOOKUP($B95&amp;":"&amp;AH$3,'x - authors'!$B$3:$E$10000,4,FALSE))</f>
        <v/>
      </c>
      <c r="AI95" s="80" t="str">
        <f>IF(ISNA(VLOOKUP($B95&amp;":"&amp;AI$3,'x - authors'!$B$3:$E$10000,4,FALSE)),"",VLOOKUP($B95&amp;":"&amp;AI$3,'x - authors'!$B$3:$E$10000,4,FALSE))</f>
        <v/>
      </c>
    </row>
    <row r="96" spans="2:35">
      <c r="B96" s="65" t="s">
        <v>6079</v>
      </c>
      <c r="C96" s="65" t="s">
        <v>129</v>
      </c>
      <c r="D96" s="65" t="s">
        <v>6080</v>
      </c>
      <c r="E96" s="83" t="s">
        <v>1009</v>
      </c>
      <c r="F96" s="65" t="s">
        <v>5449</v>
      </c>
      <c r="G96" s="65"/>
      <c r="H96" s="65" t="s">
        <v>6081</v>
      </c>
      <c r="I96" s="65"/>
      <c r="J96" s="65" t="s">
        <v>6083</v>
      </c>
      <c r="K96" s="65"/>
      <c r="L96" s="65" t="s">
        <v>6084</v>
      </c>
      <c r="M96" s="65"/>
      <c r="N96" s="65"/>
      <c r="O96" s="15" t="str">
        <f t="shared" si="1"/>
        <v>citation:doc-2284-01</v>
      </c>
      <c r="Q96" s="15" t="str">
        <f>VLOOKUP($O96,'x - paper citations'!$B$3:$E$2000,2,FALSE)</f>
        <v>https://scholar.google.co.uk/scholar?q="Asymptotic Optimality of Equal Power Allocation for Linear Estimation of WSS Random Processes"&amp;btnG=&amp;hl=en&amp;as_sdt=0,5</v>
      </c>
      <c r="R96" s="15">
        <f>VLOOKUP($O96,'x - paper citations'!$B$3:$E$2000,3,FALSE)</f>
        <v>0</v>
      </c>
      <c r="S96" s="15" t="str">
        <f>VLOOKUP($O96,'x - paper citations'!$B$3:$E$2000,4,FALSE)</f>
        <v>11/12/2015</v>
      </c>
      <c r="U96" s="80" t="str">
        <f>IF(ISNA(VLOOKUP($B96&amp;":"&amp;U$3,'x - authors'!$B$3:$E$10000,4,FALSE)),"",VLOOKUP($B96&amp;":"&amp;U$3,'x - authors'!$B$3:$E$10000,4,FALSE))</f>
        <v>boulat_bash</v>
      </c>
      <c r="V96" s="80" t="str">
        <f>IF(ISNA(VLOOKUP($B96&amp;":"&amp;V$3,'x - authors'!$B$3:$E$10000,4,FALSE)),"",VLOOKUP($B96&amp;":"&amp;V$3,'x - authors'!$B$3:$E$10000,4,FALSE))</f>
        <v>dennis_goeckel</v>
      </c>
      <c r="W96" s="80" t="str">
        <f>IF(ISNA(VLOOKUP($B96&amp;":"&amp;W$3,'x - authors'!$B$3:$E$10000,4,FALSE)),"",VLOOKUP($B96&amp;":"&amp;W$3,'x - authors'!$B$3:$E$10000,4,FALSE))</f>
        <v>don_towsley</v>
      </c>
      <c r="X96" s="80" t="str">
        <f>IF(ISNA(VLOOKUP($B96&amp;":"&amp;X$3,'x - authors'!$B$3:$E$10000,4,FALSE)),"",VLOOKUP($B96&amp;":"&amp;X$3,'x - authors'!$B$3:$E$10000,4,FALSE))</f>
        <v/>
      </c>
      <c r="Y96" s="80" t="str">
        <f>IF(ISNA(VLOOKUP($B96&amp;":"&amp;Y$3,'x - authors'!$B$3:$E$10000,4,FALSE)),"",VLOOKUP($B96&amp;":"&amp;Y$3,'x - authors'!$B$3:$E$10000,4,FALSE))</f>
        <v/>
      </c>
      <c r="Z96" s="80" t="str">
        <f>IF(ISNA(VLOOKUP($B96&amp;":"&amp;Z$3,'x - authors'!$B$3:$E$10000,4,FALSE)),"",VLOOKUP($B96&amp;":"&amp;Z$3,'x - authors'!$B$3:$E$10000,4,FALSE))</f>
        <v/>
      </c>
      <c r="AA96" s="80" t="str">
        <f>IF(ISNA(VLOOKUP($B96&amp;":"&amp;AA$3,'x - authors'!$B$3:$E$10000,4,FALSE)),"",VLOOKUP($B96&amp;":"&amp;AA$3,'x - authors'!$B$3:$E$10000,4,FALSE))</f>
        <v/>
      </c>
      <c r="AB96" s="80" t="str">
        <f>IF(ISNA(VLOOKUP($B96&amp;":"&amp;AB$3,'x - authors'!$B$3:$E$10000,4,FALSE)),"",VLOOKUP($B96&amp;":"&amp;AB$3,'x - authors'!$B$3:$E$10000,4,FALSE))</f>
        <v/>
      </c>
      <c r="AC96" s="80" t="str">
        <f>IF(ISNA(VLOOKUP($B96&amp;":"&amp;AC$3,'x - authors'!$B$3:$E$10000,4,FALSE)),"",VLOOKUP($B96&amp;":"&amp;AC$3,'x - authors'!$B$3:$E$10000,4,FALSE))</f>
        <v/>
      </c>
      <c r="AD96" s="80" t="str">
        <f>IF(ISNA(VLOOKUP($B96&amp;":"&amp;AD$3,'x - authors'!$B$3:$E$10000,4,FALSE)),"",VLOOKUP($B96&amp;":"&amp;AD$3,'x - authors'!$B$3:$E$10000,4,FALSE))</f>
        <v/>
      </c>
      <c r="AE96" s="80" t="str">
        <f>IF(ISNA(VLOOKUP($B96&amp;":"&amp;AE$3,'x - authors'!$B$3:$E$10000,4,FALSE)),"",VLOOKUP($B96&amp;":"&amp;AE$3,'x - authors'!$B$3:$E$10000,4,FALSE))</f>
        <v/>
      </c>
      <c r="AF96" s="80" t="str">
        <f>IF(ISNA(VLOOKUP($B96&amp;":"&amp;AF$3,'x - authors'!$B$3:$E$10000,4,FALSE)),"",VLOOKUP($B96&amp;":"&amp;AF$3,'x - authors'!$B$3:$E$10000,4,FALSE))</f>
        <v/>
      </c>
      <c r="AG96" s="80" t="str">
        <f>IF(ISNA(VLOOKUP($B96&amp;":"&amp;AG$3,'x - authors'!$B$3:$E$10000,4,FALSE)),"",VLOOKUP($B96&amp;":"&amp;AG$3,'x - authors'!$B$3:$E$10000,4,FALSE))</f>
        <v/>
      </c>
      <c r="AH96" s="80" t="str">
        <f>IF(ISNA(VLOOKUP($B96&amp;":"&amp;AH$3,'x - authors'!$B$3:$E$10000,4,FALSE)),"",VLOOKUP($B96&amp;":"&amp;AH$3,'x - authors'!$B$3:$E$10000,4,FALSE))</f>
        <v/>
      </c>
      <c r="AI96" s="80" t="str">
        <f>IF(ISNA(VLOOKUP($B96&amp;":"&amp;AI$3,'x - authors'!$B$3:$E$10000,4,FALSE)),"",VLOOKUP($B96&amp;":"&amp;AI$3,'x - authors'!$B$3:$E$10000,4,FALSE))</f>
        <v/>
      </c>
    </row>
    <row r="97" spans="2:35">
      <c r="B97" s="65" t="s">
        <v>6085</v>
      </c>
      <c r="C97" s="65" t="s">
        <v>129</v>
      </c>
      <c r="D97" s="65" t="s">
        <v>6086</v>
      </c>
      <c r="E97" s="83" t="s">
        <v>142</v>
      </c>
      <c r="F97" s="65" t="s">
        <v>5455</v>
      </c>
      <c r="G97" s="65"/>
      <c r="H97" s="65" t="s">
        <v>6087</v>
      </c>
      <c r="I97" s="65"/>
      <c r="J97" s="65" t="s">
        <v>6089</v>
      </c>
      <c r="K97" s="65"/>
      <c r="L97" s="65" t="s">
        <v>6090</v>
      </c>
      <c r="M97" s="65"/>
      <c r="N97" s="65"/>
      <c r="O97" s="15" t="str">
        <f t="shared" si="1"/>
        <v>citation:doc-2295-01</v>
      </c>
      <c r="Q97" s="15" t="str">
        <f>VLOOKUP($O97,'x - paper citations'!$B$3:$E$2000,2,FALSE)</f>
        <v>https://scholar.google.co.uk/scholar?q="The discrimination power of structural superindices"&amp;btnG=&amp;hl=en&amp;as_sdt=0,5</v>
      </c>
      <c r="R97" s="15">
        <f>VLOOKUP($O97,'x - paper citations'!$B$3:$E$2000,3,FALSE)</f>
        <v>2</v>
      </c>
      <c r="S97" s="15" t="str">
        <f>VLOOKUP($O97,'x - paper citations'!$B$3:$E$2000,4,FALSE)</f>
        <v>12/02/2016</v>
      </c>
      <c r="U97" s="80" t="str">
        <f>IF(ISNA(VLOOKUP($B97&amp;":"&amp;U$3,'x - authors'!$B$3:$E$10000,4,FALSE)),"",VLOOKUP($B97&amp;":"&amp;U$3,'x - authors'!$B$3:$E$10000,4,FALSE))</f>
        <v>matthias_dehmer</v>
      </c>
      <c r="V97" s="80" t="str">
        <f>IF(ISNA(VLOOKUP($B97&amp;":"&amp;V$3,'x - authors'!$B$3:$E$10000,4,FALSE)),"",VLOOKUP($B97&amp;":"&amp;V$3,'x - authors'!$B$3:$E$10000,4,FALSE))</f>
        <v>abbe_mowshowitz</v>
      </c>
      <c r="W97" s="80" t="str">
        <f>IF(ISNA(VLOOKUP($B97&amp;":"&amp;W$3,'x - authors'!$B$3:$E$10000,4,FALSE)),"",VLOOKUP($B97&amp;":"&amp;W$3,'x - authors'!$B$3:$E$10000,4,FALSE))</f>
        <v/>
      </c>
      <c r="X97" s="80" t="str">
        <f>IF(ISNA(VLOOKUP($B97&amp;":"&amp;X$3,'x - authors'!$B$3:$E$10000,4,FALSE)),"",VLOOKUP($B97&amp;":"&amp;X$3,'x - authors'!$B$3:$E$10000,4,FALSE))</f>
        <v/>
      </c>
      <c r="Y97" s="80" t="str">
        <f>IF(ISNA(VLOOKUP($B97&amp;":"&amp;Y$3,'x - authors'!$B$3:$E$10000,4,FALSE)),"",VLOOKUP($B97&amp;":"&amp;Y$3,'x - authors'!$B$3:$E$10000,4,FALSE))</f>
        <v/>
      </c>
      <c r="Z97" s="80" t="str">
        <f>IF(ISNA(VLOOKUP($B97&amp;":"&amp;Z$3,'x - authors'!$B$3:$E$10000,4,FALSE)),"",VLOOKUP($B97&amp;":"&amp;Z$3,'x - authors'!$B$3:$E$10000,4,FALSE))</f>
        <v/>
      </c>
      <c r="AA97" s="80" t="str">
        <f>IF(ISNA(VLOOKUP($B97&amp;":"&amp;AA$3,'x - authors'!$B$3:$E$10000,4,FALSE)),"",VLOOKUP($B97&amp;":"&amp;AA$3,'x - authors'!$B$3:$E$10000,4,FALSE))</f>
        <v/>
      </c>
      <c r="AB97" s="80" t="str">
        <f>IF(ISNA(VLOOKUP($B97&amp;":"&amp;AB$3,'x - authors'!$B$3:$E$10000,4,FALSE)),"",VLOOKUP($B97&amp;":"&amp;AB$3,'x - authors'!$B$3:$E$10000,4,FALSE))</f>
        <v/>
      </c>
      <c r="AC97" s="80" t="str">
        <f>IF(ISNA(VLOOKUP($B97&amp;":"&amp;AC$3,'x - authors'!$B$3:$E$10000,4,FALSE)),"",VLOOKUP($B97&amp;":"&amp;AC$3,'x - authors'!$B$3:$E$10000,4,FALSE))</f>
        <v/>
      </c>
      <c r="AD97" s="80" t="str">
        <f>IF(ISNA(VLOOKUP($B97&amp;":"&amp;AD$3,'x - authors'!$B$3:$E$10000,4,FALSE)),"",VLOOKUP($B97&amp;":"&amp;AD$3,'x - authors'!$B$3:$E$10000,4,FALSE))</f>
        <v/>
      </c>
      <c r="AE97" s="80" t="str">
        <f>IF(ISNA(VLOOKUP($B97&amp;":"&amp;AE$3,'x - authors'!$B$3:$E$10000,4,FALSE)),"",VLOOKUP($B97&amp;":"&amp;AE$3,'x - authors'!$B$3:$E$10000,4,FALSE))</f>
        <v/>
      </c>
      <c r="AF97" s="80" t="str">
        <f>IF(ISNA(VLOOKUP($B97&amp;":"&amp;AF$3,'x - authors'!$B$3:$E$10000,4,FALSE)),"",VLOOKUP($B97&amp;":"&amp;AF$3,'x - authors'!$B$3:$E$10000,4,FALSE))</f>
        <v/>
      </c>
      <c r="AG97" s="80" t="str">
        <f>IF(ISNA(VLOOKUP($B97&amp;":"&amp;AG$3,'x - authors'!$B$3:$E$10000,4,FALSE)),"",VLOOKUP($B97&amp;":"&amp;AG$3,'x - authors'!$B$3:$E$10000,4,FALSE))</f>
        <v/>
      </c>
      <c r="AH97" s="80" t="str">
        <f>IF(ISNA(VLOOKUP($B97&amp;":"&amp;AH$3,'x - authors'!$B$3:$E$10000,4,FALSE)),"",VLOOKUP($B97&amp;":"&amp;AH$3,'x - authors'!$B$3:$E$10000,4,FALSE))</f>
        <v/>
      </c>
      <c r="AI97" s="80" t="str">
        <f>IF(ISNA(VLOOKUP($B97&amp;":"&amp;AI$3,'x - authors'!$B$3:$E$10000,4,FALSE)),"",VLOOKUP($B97&amp;":"&amp;AI$3,'x - authors'!$B$3:$E$10000,4,FALSE))</f>
        <v/>
      </c>
    </row>
    <row r="98" spans="2:35">
      <c r="B98" s="65" t="s">
        <v>6091</v>
      </c>
      <c r="C98" s="65" t="s">
        <v>129</v>
      </c>
      <c r="D98" s="65" t="s">
        <v>6092</v>
      </c>
      <c r="E98" s="83" t="s">
        <v>1011</v>
      </c>
      <c r="F98" s="65" t="s">
        <v>5455</v>
      </c>
      <c r="G98" s="65"/>
      <c r="H98" s="65" t="s">
        <v>6093</v>
      </c>
      <c r="I98" s="65"/>
      <c r="J98" s="65" t="s">
        <v>6096</v>
      </c>
      <c r="K98" s="65"/>
      <c r="L98" s="65" t="s">
        <v>6097</v>
      </c>
      <c r="M98" s="65"/>
      <c r="N98" s="65"/>
      <c r="O98" s="15" t="str">
        <f t="shared" si="1"/>
        <v>citation:doc-2325-01</v>
      </c>
      <c r="Q98" s="15" t="str">
        <f>VLOOKUP($O98,'x - paper citations'!$B$3:$E$2000,2,FALSE)</f>
        <v>https://scholar.google.co.uk/scholar?q="Constructing Limited Scale-Free Topologies Over Peer-to-Peer Networks"&amp;btnG=&amp;hl=en&amp;as_sdt=0,5</v>
      </c>
      <c r="R98" s="15">
        <f>VLOOKUP($O98,'x - paper citations'!$B$3:$E$2000,3,FALSE)</f>
        <v>4</v>
      </c>
      <c r="S98" s="15" t="str">
        <f>VLOOKUP($O98,'x - paper citations'!$B$3:$E$2000,4,FALSE)</f>
        <v>11/01/2016</v>
      </c>
      <c r="U98" s="80" t="str">
        <f>IF(ISNA(VLOOKUP($B98&amp;":"&amp;U$3,'x - authors'!$B$3:$E$10000,4,FALSE)),"",VLOOKUP($B98&amp;":"&amp;U$3,'x - authors'!$B$3:$E$10000,4,FALSE))</f>
        <v>eyuphan_bulut</v>
      </c>
      <c r="V98" s="80" t="str">
        <f>IF(ISNA(VLOOKUP($B98&amp;":"&amp;V$3,'x - authors'!$B$3:$E$10000,4,FALSE)),"",VLOOKUP($B98&amp;":"&amp;V$3,'x - authors'!$B$3:$E$10000,4,FALSE))</f>
        <v>boleslaw_szymanski</v>
      </c>
      <c r="W98" s="80" t="str">
        <f>IF(ISNA(VLOOKUP($B98&amp;":"&amp;W$3,'x - authors'!$B$3:$E$10000,4,FALSE)),"",VLOOKUP($B98&amp;":"&amp;W$3,'x - authors'!$B$3:$E$10000,4,FALSE))</f>
        <v/>
      </c>
      <c r="X98" s="80" t="str">
        <f>IF(ISNA(VLOOKUP($B98&amp;":"&amp;X$3,'x - authors'!$B$3:$E$10000,4,FALSE)),"",VLOOKUP($B98&amp;":"&amp;X$3,'x - authors'!$B$3:$E$10000,4,FALSE))</f>
        <v/>
      </c>
      <c r="Y98" s="80" t="str">
        <f>IF(ISNA(VLOOKUP($B98&amp;":"&amp;Y$3,'x - authors'!$B$3:$E$10000,4,FALSE)),"",VLOOKUP($B98&amp;":"&amp;Y$3,'x - authors'!$B$3:$E$10000,4,FALSE))</f>
        <v/>
      </c>
      <c r="Z98" s="80" t="str">
        <f>IF(ISNA(VLOOKUP($B98&amp;":"&amp;Z$3,'x - authors'!$B$3:$E$10000,4,FALSE)),"",VLOOKUP($B98&amp;":"&amp;Z$3,'x - authors'!$B$3:$E$10000,4,FALSE))</f>
        <v/>
      </c>
      <c r="AA98" s="80" t="str">
        <f>IF(ISNA(VLOOKUP($B98&amp;":"&amp;AA$3,'x - authors'!$B$3:$E$10000,4,FALSE)),"",VLOOKUP($B98&amp;":"&amp;AA$3,'x - authors'!$B$3:$E$10000,4,FALSE))</f>
        <v/>
      </c>
      <c r="AB98" s="80" t="str">
        <f>IF(ISNA(VLOOKUP($B98&amp;":"&amp;AB$3,'x - authors'!$B$3:$E$10000,4,FALSE)),"",VLOOKUP($B98&amp;":"&amp;AB$3,'x - authors'!$B$3:$E$10000,4,FALSE))</f>
        <v/>
      </c>
      <c r="AC98" s="80" t="str">
        <f>IF(ISNA(VLOOKUP($B98&amp;":"&amp;AC$3,'x - authors'!$B$3:$E$10000,4,FALSE)),"",VLOOKUP($B98&amp;":"&amp;AC$3,'x - authors'!$B$3:$E$10000,4,FALSE))</f>
        <v/>
      </c>
      <c r="AD98" s="80" t="str">
        <f>IF(ISNA(VLOOKUP($B98&amp;":"&amp;AD$3,'x - authors'!$B$3:$E$10000,4,FALSE)),"",VLOOKUP($B98&amp;":"&amp;AD$3,'x - authors'!$B$3:$E$10000,4,FALSE))</f>
        <v/>
      </c>
      <c r="AE98" s="80" t="str">
        <f>IF(ISNA(VLOOKUP($B98&amp;":"&amp;AE$3,'x - authors'!$B$3:$E$10000,4,FALSE)),"",VLOOKUP($B98&amp;":"&amp;AE$3,'x - authors'!$B$3:$E$10000,4,FALSE))</f>
        <v/>
      </c>
      <c r="AF98" s="80" t="str">
        <f>IF(ISNA(VLOOKUP($B98&amp;":"&amp;AF$3,'x - authors'!$B$3:$E$10000,4,FALSE)),"",VLOOKUP($B98&amp;":"&amp;AF$3,'x - authors'!$B$3:$E$10000,4,FALSE))</f>
        <v/>
      </c>
      <c r="AG98" s="80" t="str">
        <f>IF(ISNA(VLOOKUP($B98&amp;":"&amp;AG$3,'x - authors'!$B$3:$E$10000,4,FALSE)),"",VLOOKUP($B98&amp;":"&amp;AG$3,'x - authors'!$B$3:$E$10000,4,FALSE))</f>
        <v/>
      </c>
      <c r="AH98" s="80" t="str">
        <f>IF(ISNA(VLOOKUP($B98&amp;":"&amp;AH$3,'x - authors'!$B$3:$E$10000,4,FALSE)),"",VLOOKUP($B98&amp;":"&amp;AH$3,'x - authors'!$B$3:$E$10000,4,FALSE))</f>
        <v/>
      </c>
      <c r="AI98" s="80" t="str">
        <f>IF(ISNA(VLOOKUP($B98&amp;":"&amp;AI$3,'x - authors'!$B$3:$E$10000,4,FALSE)),"",VLOOKUP($B98&amp;":"&amp;AI$3,'x - authors'!$B$3:$E$10000,4,FALSE))</f>
        <v/>
      </c>
    </row>
    <row r="99" spans="2:35">
      <c r="B99" s="65" t="s">
        <v>6098</v>
      </c>
      <c r="C99" s="65" t="s">
        <v>129</v>
      </c>
      <c r="D99" s="65" t="s">
        <v>6099</v>
      </c>
      <c r="E99" s="83" t="s">
        <v>1013</v>
      </c>
      <c r="F99" s="65" t="s">
        <v>5455</v>
      </c>
      <c r="G99" s="65"/>
      <c r="H99" s="65" t="s">
        <v>6100</v>
      </c>
      <c r="I99" s="65"/>
      <c r="J99" s="65" t="s">
        <v>6102</v>
      </c>
      <c r="K99" s="65"/>
      <c r="L99" s="65" t="s">
        <v>6103</v>
      </c>
      <c r="M99" s="65"/>
      <c r="N99" s="65"/>
      <c r="O99" s="15" t="str">
        <f t="shared" si="1"/>
        <v>citation:doc-2357-01</v>
      </c>
      <c r="Q99" s="15" t="str">
        <f>VLOOKUP($O99,'x - paper citations'!$B$3:$E$2000,2,FALSE)</f>
        <v>https://scholar.google.co.uk/scholar?q="An Efficient Heuristic Approach to Detecting Graph Isomorphism Based on Combinations of Highly Discriminating Invariants"&amp;btnG=&amp;hl=en&amp;as_sdt=0,5</v>
      </c>
      <c r="R99" s="15">
        <f>VLOOKUP($O99,'x - paper citations'!$B$3:$E$2000,3,FALSE)</f>
        <v>16</v>
      </c>
      <c r="S99" s="15" t="str">
        <f>VLOOKUP($O99,'x - paper citations'!$B$3:$E$2000,4,FALSE)</f>
        <v>10/01/2016</v>
      </c>
      <c r="U99" s="80" t="str">
        <f>IF(ISNA(VLOOKUP($B99&amp;":"&amp;U$3,'x - authors'!$B$3:$E$10000,4,FALSE)),"",VLOOKUP($B99&amp;":"&amp;U$3,'x - authors'!$B$3:$E$10000,4,FALSE))</f>
        <v>matthias_dehmer</v>
      </c>
      <c r="V99" s="80" t="str">
        <f>IF(ISNA(VLOOKUP($B99&amp;":"&amp;V$3,'x - authors'!$B$3:$E$10000,4,FALSE)),"",VLOOKUP($B99&amp;":"&amp;V$3,'x - authors'!$B$3:$E$10000,4,FALSE))</f>
        <v>martin_grabner</v>
      </c>
      <c r="W99" s="80" t="str">
        <f>IF(ISNA(VLOOKUP($B99&amp;":"&amp;W$3,'x - authors'!$B$3:$E$10000,4,FALSE)),"",VLOOKUP($B99&amp;":"&amp;W$3,'x - authors'!$B$3:$E$10000,4,FALSE))</f>
        <v>abbe_mowshowitz</v>
      </c>
      <c r="X99" s="80" t="str">
        <f>IF(ISNA(VLOOKUP($B99&amp;":"&amp;X$3,'x - authors'!$B$3:$E$10000,4,FALSE)),"",VLOOKUP($B99&amp;":"&amp;X$3,'x - authors'!$B$3:$E$10000,4,FALSE))</f>
        <v>frank_emmert-streib</v>
      </c>
      <c r="Y99" s="80" t="str">
        <f>IF(ISNA(VLOOKUP($B99&amp;":"&amp;Y$3,'x - authors'!$B$3:$E$10000,4,FALSE)),"",VLOOKUP($B99&amp;":"&amp;Y$3,'x - authors'!$B$3:$E$10000,4,FALSE))</f>
        <v/>
      </c>
      <c r="Z99" s="80" t="str">
        <f>IF(ISNA(VLOOKUP($B99&amp;":"&amp;Z$3,'x - authors'!$B$3:$E$10000,4,FALSE)),"",VLOOKUP($B99&amp;":"&amp;Z$3,'x - authors'!$B$3:$E$10000,4,FALSE))</f>
        <v/>
      </c>
      <c r="AA99" s="80" t="str">
        <f>IF(ISNA(VLOOKUP($B99&amp;":"&amp;AA$3,'x - authors'!$B$3:$E$10000,4,FALSE)),"",VLOOKUP($B99&amp;":"&amp;AA$3,'x - authors'!$B$3:$E$10000,4,FALSE))</f>
        <v/>
      </c>
      <c r="AB99" s="80" t="str">
        <f>IF(ISNA(VLOOKUP($B99&amp;":"&amp;AB$3,'x - authors'!$B$3:$E$10000,4,FALSE)),"",VLOOKUP($B99&amp;":"&amp;AB$3,'x - authors'!$B$3:$E$10000,4,FALSE))</f>
        <v/>
      </c>
      <c r="AC99" s="80" t="str">
        <f>IF(ISNA(VLOOKUP($B99&amp;":"&amp;AC$3,'x - authors'!$B$3:$E$10000,4,FALSE)),"",VLOOKUP($B99&amp;":"&amp;AC$3,'x - authors'!$B$3:$E$10000,4,FALSE))</f>
        <v/>
      </c>
      <c r="AD99" s="80" t="str">
        <f>IF(ISNA(VLOOKUP($B99&amp;":"&amp;AD$3,'x - authors'!$B$3:$E$10000,4,FALSE)),"",VLOOKUP($B99&amp;":"&amp;AD$3,'x - authors'!$B$3:$E$10000,4,FALSE))</f>
        <v/>
      </c>
      <c r="AE99" s="80" t="str">
        <f>IF(ISNA(VLOOKUP($B99&amp;":"&amp;AE$3,'x - authors'!$B$3:$E$10000,4,FALSE)),"",VLOOKUP($B99&amp;":"&amp;AE$3,'x - authors'!$B$3:$E$10000,4,FALSE))</f>
        <v/>
      </c>
      <c r="AF99" s="80" t="str">
        <f>IF(ISNA(VLOOKUP($B99&amp;":"&amp;AF$3,'x - authors'!$B$3:$E$10000,4,FALSE)),"",VLOOKUP($B99&amp;":"&amp;AF$3,'x - authors'!$B$3:$E$10000,4,FALSE))</f>
        <v/>
      </c>
      <c r="AG99" s="80" t="str">
        <f>IF(ISNA(VLOOKUP($B99&amp;":"&amp;AG$3,'x - authors'!$B$3:$E$10000,4,FALSE)),"",VLOOKUP($B99&amp;":"&amp;AG$3,'x - authors'!$B$3:$E$10000,4,FALSE))</f>
        <v/>
      </c>
      <c r="AH99" s="80" t="str">
        <f>IF(ISNA(VLOOKUP($B99&amp;":"&amp;AH$3,'x - authors'!$B$3:$E$10000,4,FALSE)),"",VLOOKUP($B99&amp;":"&amp;AH$3,'x - authors'!$B$3:$E$10000,4,FALSE))</f>
        <v/>
      </c>
      <c r="AI99" s="80" t="str">
        <f>IF(ISNA(VLOOKUP($B99&amp;":"&amp;AI$3,'x - authors'!$B$3:$E$10000,4,FALSE)),"",VLOOKUP($B99&amp;":"&amp;AI$3,'x - authors'!$B$3:$E$10000,4,FALSE))</f>
        <v/>
      </c>
    </row>
    <row r="100" spans="2:35">
      <c r="B100" s="65" t="s">
        <v>6104</v>
      </c>
      <c r="C100" s="65" t="s">
        <v>129</v>
      </c>
      <c r="D100" s="65" t="s">
        <v>6105</v>
      </c>
      <c r="E100" s="83" t="s">
        <v>1011</v>
      </c>
      <c r="F100" s="65" t="s">
        <v>5455</v>
      </c>
      <c r="G100" s="65"/>
      <c r="H100" s="65" t="s">
        <v>6106</v>
      </c>
      <c r="I100" s="65"/>
      <c r="J100" s="65" t="s">
        <v>6108</v>
      </c>
      <c r="K100" s="65"/>
      <c r="L100" s="65" t="s">
        <v>6109</v>
      </c>
      <c r="M100" s="65"/>
      <c r="N100" s="65"/>
      <c r="O100" s="15" t="str">
        <f t="shared" si="1"/>
        <v>citation:doc-2358-01</v>
      </c>
      <c r="Q100" s="15" t="str">
        <f>VLOOKUP($O100,'x - paper citations'!$B$3:$E$2000,2,FALSE)</f>
        <v>https://scholar.google.co.uk/scholar?q="Is Information-Centric Multi-Tree Routing Feasible?"&amp;btnG=&amp;hl=en&amp;as_sdt=0,5</v>
      </c>
      <c r="R100" s="15">
        <f>VLOOKUP($O100,'x - paper citations'!$B$3:$E$2000,3,FALSE)</f>
        <v>6</v>
      </c>
      <c r="S100" s="15" t="str">
        <f>VLOOKUP($O100,'x - paper citations'!$B$3:$E$2000,4,FALSE)</f>
        <v>11/01/2016</v>
      </c>
      <c r="U100" s="80" t="str">
        <f>IF(ISNA(VLOOKUP($B100&amp;":"&amp;U$3,'x - authors'!$B$3:$E$10000,4,FALSE)),"",VLOOKUP($B100&amp;":"&amp;U$3,'x - authors'!$B$3:$E$10000,4,FALSE))</f>
        <v>antonio_carzaniga</v>
      </c>
      <c r="V100" s="80" t="str">
        <f>IF(ISNA(VLOOKUP($B100&amp;":"&amp;V$3,'x - authors'!$B$3:$E$10000,4,FALSE)),"",VLOOKUP($B100&amp;":"&amp;V$3,'x - authors'!$B$3:$E$10000,4,FALSE))</f>
        <v>koorosh_khazaei</v>
      </c>
      <c r="W100" s="80" t="str">
        <f>IF(ISNA(VLOOKUP($B100&amp;":"&amp;W$3,'x - authors'!$B$3:$E$10000,4,FALSE)),"",VLOOKUP($B100&amp;":"&amp;W$3,'x - authors'!$B$3:$E$10000,4,FALSE))</f>
        <v>michele_paplini</v>
      </c>
      <c r="X100" s="80" t="str">
        <f>IF(ISNA(VLOOKUP($B100&amp;":"&amp;X$3,'x - authors'!$B$3:$E$10000,4,FALSE)),"",VLOOKUP($B100&amp;":"&amp;X$3,'x - authors'!$B$3:$E$10000,4,FALSE))</f>
        <v>alexander_wolf</v>
      </c>
      <c r="Y100" s="80" t="str">
        <f>IF(ISNA(VLOOKUP($B100&amp;":"&amp;Y$3,'x - authors'!$B$3:$E$10000,4,FALSE)),"",VLOOKUP($B100&amp;":"&amp;Y$3,'x - authors'!$B$3:$E$10000,4,FALSE))</f>
        <v/>
      </c>
      <c r="Z100" s="80" t="str">
        <f>IF(ISNA(VLOOKUP($B100&amp;":"&amp;Z$3,'x - authors'!$B$3:$E$10000,4,FALSE)),"",VLOOKUP($B100&amp;":"&amp;Z$3,'x - authors'!$B$3:$E$10000,4,FALSE))</f>
        <v/>
      </c>
      <c r="AA100" s="80" t="str">
        <f>IF(ISNA(VLOOKUP($B100&amp;":"&amp;AA$3,'x - authors'!$B$3:$E$10000,4,FALSE)),"",VLOOKUP($B100&amp;":"&amp;AA$3,'x - authors'!$B$3:$E$10000,4,FALSE))</f>
        <v/>
      </c>
      <c r="AB100" s="80" t="str">
        <f>IF(ISNA(VLOOKUP($B100&amp;":"&amp;AB$3,'x - authors'!$B$3:$E$10000,4,FALSE)),"",VLOOKUP($B100&amp;":"&amp;AB$3,'x - authors'!$B$3:$E$10000,4,FALSE))</f>
        <v/>
      </c>
      <c r="AC100" s="80" t="str">
        <f>IF(ISNA(VLOOKUP($B100&amp;":"&amp;AC$3,'x - authors'!$B$3:$E$10000,4,FALSE)),"",VLOOKUP($B100&amp;":"&amp;AC$3,'x - authors'!$B$3:$E$10000,4,FALSE))</f>
        <v/>
      </c>
      <c r="AD100" s="80" t="str">
        <f>IF(ISNA(VLOOKUP($B100&amp;":"&amp;AD$3,'x - authors'!$B$3:$E$10000,4,FALSE)),"",VLOOKUP($B100&amp;":"&amp;AD$3,'x - authors'!$B$3:$E$10000,4,FALSE))</f>
        <v/>
      </c>
      <c r="AE100" s="80" t="str">
        <f>IF(ISNA(VLOOKUP($B100&amp;":"&amp;AE$3,'x - authors'!$B$3:$E$10000,4,FALSE)),"",VLOOKUP($B100&amp;":"&amp;AE$3,'x - authors'!$B$3:$E$10000,4,FALSE))</f>
        <v/>
      </c>
      <c r="AF100" s="80" t="str">
        <f>IF(ISNA(VLOOKUP($B100&amp;":"&amp;AF$3,'x - authors'!$B$3:$E$10000,4,FALSE)),"",VLOOKUP($B100&amp;":"&amp;AF$3,'x - authors'!$B$3:$E$10000,4,FALSE))</f>
        <v/>
      </c>
      <c r="AG100" s="80" t="str">
        <f>IF(ISNA(VLOOKUP($B100&amp;":"&amp;AG$3,'x - authors'!$B$3:$E$10000,4,FALSE)),"",VLOOKUP($B100&amp;":"&amp;AG$3,'x - authors'!$B$3:$E$10000,4,FALSE))</f>
        <v/>
      </c>
      <c r="AH100" s="80" t="str">
        <f>IF(ISNA(VLOOKUP($B100&amp;":"&amp;AH$3,'x - authors'!$B$3:$E$10000,4,FALSE)),"",VLOOKUP($B100&amp;":"&amp;AH$3,'x - authors'!$B$3:$E$10000,4,FALSE))</f>
        <v/>
      </c>
      <c r="AI100" s="80" t="str">
        <f>IF(ISNA(VLOOKUP($B100&amp;":"&amp;AI$3,'x - authors'!$B$3:$E$10000,4,FALSE)),"",VLOOKUP($B100&amp;":"&amp;AI$3,'x - authors'!$B$3:$E$10000,4,FALSE))</f>
        <v/>
      </c>
    </row>
    <row r="101" spans="2:35">
      <c r="B101" s="65" t="s">
        <v>6110</v>
      </c>
      <c r="C101" s="65" t="s">
        <v>129</v>
      </c>
      <c r="D101" s="65" t="s">
        <v>6111</v>
      </c>
      <c r="E101" s="83" t="s">
        <v>1016</v>
      </c>
      <c r="F101" s="65" t="s">
        <v>5452</v>
      </c>
      <c r="G101" s="65"/>
      <c r="H101" s="65" t="s">
        <v>6112</v>
      </c>
      <c r="I101" s="65"/>
      <c r="J101" s="65" t="s">
        <v>6114</v>
      </c>
      <c r="K101" s="65"/>
      <c r="L101" s="65" t="s">
        <v>6115</v>
      </c>
      <c r="M101" s="65"/>
      <c r="N101" s="65"/>
      <c r="O101" s="15" t="str">
        <f t="shared" si="1"/>
        <v>citation:doc-2367-01</v>
      </c>
      <c r="Q101" s="15" t="str">
        <f>VLOOKUP($O101,'x - paper citations'!$B$3:$E$2000,2,FALSE)</f>
        <v>https://scholar.google.co.uk/scholar?q="A Declarative Approach to Distributed Computing: Specification, Execution and Analysis"&amp;btnG=&amp;hl=en&amp;as_sdt=0,5</v>
      </c>
      <c r="R101" s="15">
        <f>VLOOKUP($O101,'x - paper citations'!$B$3:$E$2000,3,FALSE)</f>
        <v>2</v>
      </c>
      <c r="S101" s="15" t="str">
        <f>VLOOKUP($O101,'x - paper citations'!$B$3:$E$2000,4,FALSE)</f>
        <v>11/01/2016</v>
      </c>
      <c r="U101" s="80" t="str">
        <f>IF(ISNA(VLOOKUP($B101&amp;":"&amp;U$3,'x - authors'!$B$3:$E$10000,4,FALSE)),"",VLOOKUP($B101&amp;":"&amp;U$3,'x - authors'!$B$3:$E$10000,4,FALSE))</f>
        <v>jiefei_ma</v>
      </c>
      <c r="V101" s="80" t="str">
        <f>IF(ISNA(VLOOKUP($B101&amp;":"&amp;V$3,'x - authors'!$B$3:$E$10000,4,FALSE)),"",VLOOKUP($B101&amp;":"&amp;V$3,'x - authors'!$B$3:$E$10000,4,FALSE))</f>
        <v>franck_le</v>
      </c>
      <c r="W101" s="80" t="str">
        <f>IF(ISNA(VLOOKUP($B101&amp;":"&amp;W$3,'x - authors'!$B$3:$E$10000,4,FALSE)),"",VLOOKUP($B101&amp;":"&amp;W$3,'x - authors'!$B$3:$E$10000,4,FALSE))</f>
        <v>david_wood</v>
      </c>
      <c r="X101" s="80" t="str">
        <f>IF(ISNA(VLOOKUP($B101&amp;":"&amp;X$3,'x - authors'!$B$3:$E$10000,4,FALSE)),"",VLOOKUP($B101&amp;":"&amp;X$3,'x - authors'!$B$3:$E$10000,4,FALSE))</f>
        <v>alessandra_russo</v>
      </c>
      <c r="Y101" s="80" t="str">
        <f>IF(ISNA(VLOOKUP($B101&amp;":"&amp;Y$3,'x - authors'!$B$3:$E$10000,4,FALSE)),"",VLOOKUP($B101&amp;":"&amp;Y$3,'x - authors'!$B$3:$E$10000,4,FALSE))</f>
        <v>jorge_lobo</v>
      </c>
      <c r="Z101" s="80" t="str">
        <f>IF(ISNA(VLOOKUP($B101&amp;":"&amp;Z$3,'x - authors'!$B$3:$E$10000,4,FALSE)),"",VLOOKUP($B101&amp;":"&amp;Z$3,'x - authors'!$B$3:$E$10000,4,FALSE))</f>
        <v/>
      </c>
      <c r="AA101" s="80" t="str">
        <f>IF(ISNA(VLOOKUP($B101&amp;":"&amp;AA$3,'x - authors'!$B$3:$E$10000,4,FALSE)),"",VLOOKUP($B101&amp;":"&amp;AA$3,'x - authors'!$B$3:$E$10000,4,FALSE))</f>
        <v/>
      </c>
      <c r="AB101" s="80" t="str">
        <f>IF(ISNA(VLOOKUP($B101&amp;":"&amp;AB$3,'x - authors'!$B$3:$E$10000,4,FALSE)),"",VLOOKUP($B101&amp;":"&amp;AB$3,'x - authors'!$B$3:$E$10000,4,FALSE))</f>
        <v/>
      </c>
      <c r="AC101" s="80" t="str">
        <f>IF(ISNA(VLOOKUP($B101&amp;":"&amp;AC$3,'x - authors'!$B$3:$E$10000,4,FALSE)),"",VLOOKUP($B101&amp;":"&amp;AC$3,'x - authors'!$B$3:$E$10000,4,FALSE))</f>
        <v/>
      </c>
      <c r="AD101" s="80" t="str">
        <f>IF(ISNA(VLOOKUP($B101&amp;":"&amp;AD$3,'x - authors'!$B$3:$E$10000,4,FALSE)),"",VLOOKUP($B101&amp;":"&amp;AD$3,'x - authors'!$B$3:$E$10000,4,FALSE))</f>
        <v/>
      </c>
      <c r="AE101" s="80" t="str">
        <f>IF(ISNA(VLOOKUP($B101&amp;":"&amp;AE$3,'x - authors'!$B$3:$E$10000,4,FALSE)),"",VLOOKUP($B101&amp;":"&amp;AE$3,'x - authors'!$B$3:$E$10000,4,FALSE))</f>
        <v/>
      </c>
      <c r="AF101" s="80" t="str">
        <f>IF(ISNA(VLOOKUP($B101&amp;":"&amp;AF$3,'x - authors'!$B$3:$E$10000,4,FALSE)),"",VLOOKUP($B101&amp;":"&amp;AF$3,'x - authors'!$B$3:$E$10000,4,FALSE))</f>
        <v/>
      </c>
      <c r="AG101" s="80" t="str">
        <f>IF(ISNA(VLOOKUP($B101&amp;":"&amp;AG$3,'x - authors'!$B$3:$E$10000,4,FALSE)),"",VLOOKUP($B101&amp;":"&amp;AG$3,'x - authors'!$B$3:$E$10000,4,FALSE))</f>
        <v/>
      </c>
      <c r="AH101" s="80" t="str">
        <f>IF(ISNA(VLOOKUP($B101&amp;":"&amp;AH$3,'x - authors'!$B$3:$E$10000,4,FALSE)),"",VLOOKUP($B101&amp;":"&amp;AH$3,'x - authors'!$B$3:$E$10000,4,FALSE))</f>
        <v/>
      </c>
      <c r="AI101" s="80" t="str">
        <f>IF(ISNA(VLOOKUP($B101&amp;":"&amp;AI$3,'x - authors'!$B$3:$E$10000,4,FALSE)),"",VLOOKUP($B101&amp;":"&amp;AI$3,'x - authors'!$B$3:$E$10000,4,FALSE))</f>
        <v/>
      </c>
    </row>
    <row r="102" spans="2:35">
      <c r="B102" s="65" t="s">
        <v>6116</v>
      </c>
      <c r="C102" s="65" t="s">
        <v>129</v>
      </c>
      <c r="D102" s="65" t="s">
        <v>6117</v>
      </c>
      <c r="E102" s="83" t="s">
        <v>1014</v>
      </c>
      <c r="F102" s="65" t="s">
        <v>5449</v>
      </c>
      <c r="G102" s="65"/>
      <c r="H102" s="65" t="s">
        <v>6118</v>
      </c>
      <c r="I102" s="65"/>
      <c r="J102" s="65" t="s">
        <v>6120</v>
      </c>
      <c r="K102" s="65"/>
      <c r="L102" s="65" t="s">
        <v>6121</v>
      </c>
      <c r="M102" s="65" t="s">
        <v>6122</v>
      </c>
      <c r="N102" s="65"/>
      <c r="O102" s="15" t="str">
        <f t="shared" si="1"/>
        <v>citation:doc-2369-01</v>
      </c>
      <c r="Q102" s="15" t="str">
        <f>VLOOKUP($O102,'x - paper citations'!$B$3:$E$2000,2,FALSE)</f>
        <v>https://scholar.google.co.uk/scholar?q="Rewards, Costs and Flexibility in Dynamic Resource Allocation: A Stochastic Optimal Control Approach"&amp;btnG=&amp;hl=en&amp;as_sdt=0,5</v>
      </c>
      <c r="R102" s="15">
        <f>VLOOKUP($O102,'x - paper citations'!$B$3:$E$2000,3,FALSE)</f>
        <v>0</v>
      </c>
      <c r="S102" s="15" t="str">
        <f>VLOOKUP($O102,'x - paper citations'!$B$3:$E$2000,4,FALSE)</f>
        <v>10/01/2016</v>
      </c>
      <c r="U102" s="80" t="str">
        <f>IF(ISNA(VLOOKUP($B102&amp;":"&amp;U$3,'x - authors'!$B$3:$E$10000,4,FALSE)),"",VLOOKUP($B102&amp;":"&amp;U$3,'x - authors'!$B$3:$E$10000,4,FALSE))</f>
        <v>xuefeng_gao</v>
      </c>
      <c r="V102" s="80" t="str">
        <f>IF(ISNA(VLOOKUP($B102&amp;":"&amp;V$3,'x - authors'!$B$3:$E$10000,4,FALSE)),"",VLOOKUP($B102&amp;":"&amp;V$3,'x - authors'!$B$3:$E$10000,4,FALSE))</f>
        <v>you_lu</v>
      </c>
      <c r="W102" s="80" t="str">
        <f>IF(ISNA(VLOOKUP($B102&amp;":"&amp;W$3,'x - authors'!$B$3:$E$10000,4,FALSE)),"",VLOOKUP($B102&amp;":"&amp;W$3,'x - authors'!$B$3:$E$10000,4,FALSE))</f>
        <v>mayank_sharma</v>
      </c>
      <c r="X102" s="80" t="str">
        <f>IF(ISNA(VLOOKUP($B102&amp;":"&amp;X$3,'x - authors'!$B$3:$E$10000,4,FALSE)),"",VLOOKUP($B102&amp;":"&amp;X$3,'x - authors'!$B$3:$E$10000,4,FALSE))</f>
        <v>mark_squillante</v>
      </c>
      <c r="Y102" s="80" t="str">
        <f>IF(ISNA(VLOOKUP($B102&amp;":"&amp;Y$3,'x - authors'!$B$3:$E$10000,4,FALSE)),"",VLOOKUP($B102&amp;":"&amp;Y$3,'x - authors'!$B$3:$E$10000,4,FALSE))</f>
        <v>joost_bosman</v>
      </c>
      <c r="Z102" s="80" t="str">
        <f>IF(ISNA(VLOOKUP($B102&amp;":"&amp;Z$3,'x - authors'!$B$3:$E$10000,4,FALSE)),"",VLOOKUP($B102&amp;":"&amp;Z$3,'x - authors'!$B$3:$E$10000,4,FALSE))</f>
        <v/>
      </c>
      <c r="AA102" s="80" t="str">
        <f>IF(ISNA(VLOOKUP($B102&amp;":"&amp;AA$3,'x - authors'!$B$3:$E$10000,4,FALSE)),"",VLOOKUP($B102&amp;":"&amp;AA$3,'x - authors'!$B$3:$E$10000,4,FALSE))</f>
        <v/>
      </c>
      <c r="AB102" s="80" t="str">
        <f>IF(ISNA(VLOOKUP($B102&amp;":"&amp;AB$3,'x - authors'!$B$3:$E$10000,4,FALSE)),"",VLOOKUP($B102&amp;":"&amp;AB$3,'x - authors'!$B$3:$E$10000,4,FALSE))</f>
        <v/>
      </c>
      <c r="AC102" s="80" t="str">
        <f>IF(ISNA(VLOOKUP($B102&amp;":"&amp;AC$3,'x - authors'!$B$3:$E$10000,4,FALSE)),"",VLOOKUP($B102&amp;":"&amp;AC$3,'x - authors'!$B$3:$E$10000,4,FALSE))</f>
        <v/>
      </c>
      <c r="AD102" s="80" t="str">
        <f>IF(ISNA(VLOOKUP($B102&amp;":"&amp;AD$3,'x - authors'!$B$3:$E$10000,4,FALSE)),"",VLOOKUP($B102&amp;":"&amp;AD$3,'x - authors'!$B$3:$E$10000,4,FALSE))</f>
        <v/>
      </c>
      <c r="AE102" s="80" t="str">
        <f>IF(ISNA(VLOOKUP($B102&amp;":"&amp;AE$3,'x - authors'!$B$3:$E$10000,4,FALSE)),"",VLOOKUP($B102&amp;":"&amp;AE$3,'x - authors'!$B$3:$E$10000,4,FALSE))</f>
        <v/>
      </c>
      <c r="AF102" s="80" t="str">
        <f>IF(ISNA(VLOOKUP($B102&amp;":"&amp;AF$3,'x - authors'!$B$3:$E$10000,4,FALSE)),"",VLOOKUP($B102&amp;":"&amp;AF$3,'x - authors'!$B$3:$E$10000,4,FALSE))</f>
        <v/>
      </c>
      <c r="AG102" s="80" t="str">
        <f>IF(ISNA(VLOOKUP($B102&amp;":"&amp;AG$3,'x - authors'!$B$3:$E$10000,4,FALSE)),"",VLOOKUP($B102&amp;":"&amp;AG$3,'x - authors'!$B$3:$E$10000,4,FALSE))</f>
        <v/>
      </c>
      <c r="AH102" s="80" t="str">
        <f>IF(ISNA(VLOOKUP($B102&amp;":"&amp;AH$3,'x - authors'!$B$3:$E$10000,4,FALSE)),"",VLOOKUP($B102&amp;":"&amp;AH$3,'x - authors'!$B$3:$E$10000,4,FALSE))</f>
        <v/>
      </c>
      <c r="AI102" s="80" t="str">
        <f>IF(ISNA(VLOOKUP($B102&amp;":"&amp;AI$3,'x - authors'!$B$3:$E$10000,4,FALSE)),"",VLOOKUP($B102&amp;":"&amp;AI$3,'x - authors'!$B$3:$E$10000,4,FALSE))</f>
        <v/>
      </c>
    </row>
    <row r="103" spans="2:35">
      <c r="B103" s="65" t="s">
        <v>6122</v>
      </c>
      <c r="C103" s="65" t="s">
        <v>129</v>
      </c>
      <c r="D103" s="65" t="s">
        <v>6123</v>
      </c>
      <c r="E103" s="83" t="s">
        <v>1013</v>
      </c>
      <c r="F103" s="65" t="s">
        <v>5449</v>
      </c>
      <c r="G103" s="65"/>
      <c r="H103" s="65" t="s">
        <v>6124</v>
      </c>
      <c r="I103" s="65"/>
      <c r="J103" s="65" t="s">
        <v>6126</v>
      </c>
      <c r="K103" s="65"/>
      <c r="L103" s="65" t="s">
        <v>6127</v>
      </c>
      <c r="M103" s="65" t="s">
        <v>6116</v>
      </c>
      <c r="N103" s="65"/>
      <c r="O103" s="15" t="str">
        <f t="shared" si="1"/>
        <v>citation:doc-2370-01</v>
      </c>
      <c r="Q103" s="15" t="str">
        <f>VLOOKUP($O103,'x - paper citations'!$B$3:$E$2000,2,FALSE)</f>
        <v>https://scholar.google.co.uk/scholar?q="Stochastic Optimal Control for a Class of General Dynamic Resource Allocation Problems"&amp;btnG=&amp;hl=en&amp;as_sdt=0,5</v>
      </c>
      <c r="R103" s="15">
        <f>VLOOKUP($O103,'x - paper citations'!$B$3:$E$2000,3,FALSE)</f>
        <v>0</v>
      </c>
      <c r="S103" s="15" t="str">
        <f>VLOOKUP($O103,'x - paper citations'!$B$3:$E$2000,4,FALSE)</f>
        <v>11/01/2016</v>
      </c>
      <c r="U103" s="80" t="str">
        <f>IF(ISNA(VLOOKUP($B103&amp;":"&amp;U$3,'x - authors'!$B$3:$E$10000,4,FALSE)),"",VLOOKUP($B103&amp;":"&amp;U$3,'x - authors'!$B$3:$E$10000,4,FALSE))</f>
        <v>xuefeng_gao</v>
      </c>
      <c r="V103" s="80" t="str">
        <f>IF(ISNA(VLOOKUP($B103&amp;":"&amp;V$3,'x - authors'!$B$3:$E$10000,4,FALSE)),"",VLOOKUP($B103&amp;":"&amp;V$3,'x - authors'!$B$3:$E$10000,4,FALSE))</f>
        <v>you_lu</v>
      </c>
      <c r="W103" s="80" t="str">
        <f>IF(ISNA(VLOOKUP($B103&amp;":"&amp;W$3,'x - authors'!$B$3:$E$10000,4,FALSE)),"",VLOOKUP($B103&amp;":"&amp;W$3,'x - authors'!$B$3:$E$10000,4,FALSE))</f>
        <v>mayank_sharma</v>
      </c>
      <c r="X103" s="80" t="str">
        <f>IF(ISNA(VLOOKUP($B103&amp;":"&amp;X$3,'x - authors'!$B$3:$E$10000,4,FALSE)),"",VLOOKUP($B103&amp;":"&amp;X$3,'x - authors'!$B$3:$E$10000,4,FALSE))</f>
        <v>mark_squillante</v>
      </c>
      <c r="Y103" s="80" t="str">
        <f>IF(ISNA(VLOOKUP($B103&amp;":"&amp;Y$3,'x - authors'!$B$3:$E$10000,4,FALSE)),"",VLOOKUP($B103&amp;":"&amp;Y$3,'x - authors'!$B$3:$E$10000,4,FALSE))</f>
        <v>joost_bosman</v>
      </c>
      <c r="Z103" s="80" t="str">
        <f>IF(ISNA(VLOOKUP($B103&amp;":"&amp;Z$3,'x - authors'!$B$3:$E$10000,4,FALSE)),"",VLOOKUP($B103&amp;":"&amp;Z$3,'x - authors'!$B$3:$E$10000,4,FALSE))</f>
        <v/>
      </c>
      <c r="AA103" s="80" t="str">
        <f>IF(ISNA(VLOOKUP($B103&amp;":"&amp;AA$3,'x - authors'!$B$3:$E$10000,4,FALSE)),"",VLOOKUP($B103&amp;":"&amp;AA$3,'x - authors'!$B$3:$E$10000,4,FALSE))</f>
        <v/>
      </c>
      <c r="AB103" s="80" t="str">
        <f>IF(ISNA(VLOOKUP($B103&amp;":"&amp;AB$3,'x - authors'!$B$3:$E$10000,4,FALSE)),"",VLOOKUP($B103&amp;":"&amp;AB$3,'x - authors'!$B$3:$E$10000,4,FALSE))</f>
        <v/>
      </c>
      <c r="AC103" s="80" t="str">
        <f>IF(ISNA(VLOOKUP($B103&amp;":"&amp;AC$3,'x - authors'!$B$3:$E$10000,4,FALSE)),"",VLOOKUP($B103&amp;":"&amp;AC$3,'x - authors'!$B$3:$E$10000,4,FALSE))</f>
        <v/>
      </c>
      <c r="AD103" s="80" t="str">
        <f>IF(ISNA(VLOOKUP($B103&amp;":"&amp;AD$3,'x - authors'!$B$3:$E$10000,4,FALSE)),"",VLOOKUP($B103&amp;":"&amp;AD$3,'x - authors'!$B$3:$E$10000,4,FALSE))</f>
        <v/>
      </c>
      <c r="AE103" s="80" t="str">
        <f>IF(ISNA(VLOOKUP($B103&amp;":"&amp;AE$3,'x - authors'!$B$3:$E$10000,4,FALSE)),"",VLOOKUP($B103&amp;":"&amp;AE$3,'x - authors'!$B$3:$E$10000,4,FALSE))</f>
        <v/>
      </c>
      <c r="AF103" s="80" t="str">
        <f>IF(ISNA(VLOOKUP($B103&amp;":"&amp;AF$3,'x - authors'!$B$3:$E$10000,4,FALSE)),"",VLOOKUP($B103&amp;":"&amp;AF$3,'x - authors'!$B$3:$E$10000,4,FALSE))</f>
        <v/>
      </c>
      <c r="AG103" s="80" t="str">
        <f>IF(ISNA(VLOOKUP($B103&amp;":"&amp;AG$3,'x - authors'!$B$3:$E$10000,4,FALSE)),"",VLOOKUP($B103&amp;":"&amp;AG$3,'x - authors'!$B$3:$E$10000,4,FALSE))</f>
        <v/>
      </c>
      <c r="AH103" s="80" t="str">
        <f>IF(ISNA(VLOOKUP($B103&amp;":"&amp;AH$3,'x - authors'!$B$3:$E$10000,4,FALSE)),"",VLOOKUP($B103&amp;":"&amp;AH$3,'x - authors'!$B$3:$E$10000,4,FALSE))</f>
        <v/>
      </c>
      <c r="AI103" s="80" t="str">
        <f>IF(ISNA(VLOOKUP($B103&amp;":"&amp;AI$3,'x - authors'!$B$3:$E$10000,4,FALSE)),"",VLOOKUP($B103&amp;":"&amp;AI$3,'x - authors'!$B$3:$E$10000,4,FALSE))</f>
        <v/>
      </c>
    </row>
    <row r="104" spans="2:35">
      <c r="B104" s="65" t="s">
        <v>6128</v>
      </c>
      <c r="C104" s="65" t="s">
        <v>129</v>
      </c>
      <c r="D104" s="65" t="s">
        <v>6129</v>
      </c>
      <c r="E104" s="83" t="s">
        <v>142</v>
      </c>
      <c r="F104" s="65" t="s">
        <v>5464</v>
      </c>
      <c r="G104" s="65"/>
      <c r="H104" s="65" t="s">
        <v>6130</v>
      </c>
      <c r="I104" s="65"/>
      <c r="J104" s="65" t="s">
        <v>6132</v>
      </c>
      <c r="K104" s="65"/>
      <c r="L104" s="65" t="s">
        <v>6133</v>
      </c>
      <c r="M104" s="65"/>
      <c r="N104" s="65"/>
      <c r="O104" s="15" t="str">
        <f t="shared" si="1"/>
        <v>citation:doc-2496-01</v>
      </c>
      <c r="Q104" s="15" t="str">
        <f>VLOOKUP($O104,'x - paper citations'!$B$3:$E$2000,2,FALSE)</f>
        <v>https://scholar.google.co.uk/scholar?q="Inference Management, Trust and Obfuscation Principles for Quality of Information in Emerging Pervasive Environments"&amp;btnG=&amp;hl=en&amp;as_sdt=0,5</v>
      </c>
      <c r="R104" s="15">
        <f>VLOOKUP($O104,'x - paper citations'!$B$3:$E$2000,3,FALSE)</f>
        <v>17</v>
      </c>
      <c r="S104" s="15" t="str">
        <f>VLOOKUP($O104,'x - paper citations'!$B$3:$E$2000,4,FALSE)</f>
        <v>11/01/2016</v>
      </c>
      <c r="U104" s="80" t="str">
        <f>IF(ISNA(VLOOKUP($B104&amp;":"&amp;U$3,'x - authors'!$B$3:$E$10000,4,FALSE)),"",VLOOKUP($B104&amp;":"&amp;U$3,'x - authors'!$B$3:$E$10000,4,FALSE))</f>
        <v>chatschik_bisdikian</v>
      </c>
      <c r="V104" s="80" t="str">
        <f>IF(ISNA(VLOOKUP($B104&amp;":"&amp;V$3,'x - authors'!$B$3:$E$10000,4,FALSE)),"",VLOOKUP($B104&amp;":"&amp;V$3,'x - authors'!$B$3:$E$10000,4,FALSE))</f>
        <v>christopher_gibson</v>
      </c>
      <c r="W104" s="80" t="str">
        <f>IF(ISNA(VLOOKUP($B104&amp;":"&amp;W$3,'x - authors'!$B$3:$E$10000,4,FALSE)),"",VLOOKUP($B104&amp;":"&amp;W$3,'x - authors'!$B$3:$E$10000,4,FALSE))</f>
        <v>supriyo_chakraborty</v>
      </c>
      <c r="X104" s="80" t="str">
        <f>IF(ISNA(VLOOKUP($B104&amp;":"&amp;X$3,'x - authors'!$B$3:$E$10000,4,FALSE)),"",VLOOKUP($B104&amp;":"&amp;X$3,'x - authors'!$B$3:$E$10000,4,FALSE))</f>
        <v>mani_srivastava</v>
      </c>
      <c r="Y104" s="80" t="str">
        <f>IF(ISNA(VLOOKUP($B104&amp;":"&amp;Y$3,'x - authors'!$B$3:$E$10000,4,FALSE)),"",VLOOKUP($B104&amp;":"&amp;Y$3,'x - authors'!$B$3:$E$10000,4,FALSE))</f>
        <v>murat_sensoy</v>
      </c>
      <c r="Z104" s="80" t="str">
        <f>IF(ISNA(VLOOKUP($B104&amp;":"&amp;Z$3,'x - authors'!$B$3:$E$10000,4,FALSE)),"",VLOOKUP($B104&amp;":"&amp;Z$3,'x - authors'!$B$3:$E$10000,4,FALSE))</f>
        <v>timothy_norman</v>
      </c>
      <c r="AA104" s="80" t="str">
        <f>IF(ISNA(VLOOKUP($B104&amp;":"&amp;AA$3,'x - authors'!$B$3:$E$10000,4,FALSE)),"",VLOOKUP($B104&amp;":"&amp;AA$3,'x - authors'!$B$3:$E$10000,4,FALSE))</f>
        <v/>
      </c>
      <c r="AB104" s="80" t="str">
        <f>IF(ISNA(VLOOKUP($B104&amp;":"&amp;AB$3,'x - authors'!$B$3:$E$10000,4,FALSE)),"",VLOOKUP($B104&amp;":"&amp;AB$3,'x - authors'!$B$3:$E$10000,4,FALSE))</f>
        <v/>
      </c>
      <c r="AC104" s="80" t="str">
        <f>IF(ISNA(VLOOKUP($B104&amp;":"&amp;AC$3,'x - authors'!$B$3:$E$10000,4,FALSE)),"",VLOOKUP($B104&amp;":"&amp;AC$3,'x - authors'!$B$3:$E$10000,4,FALSE))</f>
        <v/>
      </c>
      <c r="AD104" s="80" t="str">
        <f>IF(ISNA(VLOOKUP($B104&amp;":"&amp;AD$3,'x - authors'!$B$3:$E$10000,4,FALSE)),"",VLOOKUP($B104&amp;":"&amp;AD$3,'x - authors'!$B$3:$E$10000,4,FALSE))</f>
        <v/>
      </c>
      <c r="AE104" s="80" t="str">
        <f>IF(ISNA(VLOOKUP($B104&amp;":"&amp;AE$3,'x - authors'!$B$3:$E$10000,4,FALSE)),"",VLOOKUP($B104&amp;":"&amp;AE$3,'x - authors'!$B$3:$E$10000,4,FALSE))</f>
        <v/>
      </c>
      <c r="AF104" s="80" t="str">
        <f>IF(ISNA(VLOOKUP($B104&amp;":"&amp;AF$3,'x - authors'!$B$3:$E$10000,4,FALSE)),"",VLOOKUP($B104&amp;":"&amp;AF$3,'x - authors'!$B$3:$E$10000,4,FALSE))</f>
        <v/>
      </c>
      <c r="AG104" s="80" t="str">
        <f>IF(ISNA(VLOOKUP($B104&amp;":"&amp;AG$3,'x - authors'!$B$3:$E$10000,4,FALSE)),"",VLOOKUP($B104&amp;":"&amp;AG$3,'x - authors'!$B$3:$E$10000,4,FALSE))</f>
        <v/>
      </c>
      <c r="AH104" s="80" t="str">
        <f>IF(ISNA(VLOOKUP($B104&amp;":"&amp;AH$3,'x - authors'!$B$3:$E$10000,4,FALSE)),"",VLOOKUP($B104&amp;":"&amp;AH$3,'x - authors'!$B$3:$E$10000,4,FALSE))</f>
        <v/>
      </c>
      <c r="AI104" s="80" t="str">
        <f>IF(ISNA(VLOOKUP($B104&amp;":"&amp;AI$3,'x - authors'!$B$3:$E$10000,4,FALSE)),"",VLOOKUP($B104&amp;":"&amp;AI$3,'x - authors'!$B$3:$E$10000,4,FALSE))</f>
        <v/>
      </c>
    </row>
    <row r="105" spans="2:35">
      <c r="B105" s="65" t="s">
        <v>6134</v>
      </c>
      <c r="C105" s="65" t="s">
        <v>129</v>
      </c>
      <c r="D105" s="65" t="s">
        <v>6135</v>
      </c>
      <c r="E105" s="83" t="s">
        <v>1015</v>
      </c>
      <c r="F105" s="65" t="s">
        <v>5461</v>
      </c>
      <c r="G105" s="65"/>
      <c r="H105" s="65" t="s">
        <v>6136</v>
      </c>
      <c r="I105" s="65"/>
      <c r="J105" s="65" t="s">
        <v>6138</v>
      </c>
      <c r="K105" s="65"/>
      <c r="L105" s="65" t="s">
        <v>6139</v>
      </c>
      <c r="M105" s="65" t="s">
        <v>6140</v>
      </c>
      <c r="N105" s="65"/>
      <c r="O105" s="15" t="str">
        <f t="shared" si="1"/>
        <v>citation:doc-2502a-01</v>
      </c>
      <c r="Q105" s="15" t="str">
        <f>VLOOKUP($O105,'x - paper citations'!$B$3:$E$2000,2,FALSE)</f>
        <v>https://scholar.google.co.uk/scholar?q="Authenticated Data Structures, Generically"&amp;btnG=&amp;hl=en&amp;as_sdt=0,5</v>
      </c>
      <c r="R105" s="15">
        <f>VLOOKUP($O105,'x - paper citations'!$B$3:$E$2000,3,FALSE)</f>
        <v>16</v>
      </c>
      <c r="S105" s="15" t="str">
        <f>VLOOKUP($O105,'x - paper citations'!$B$3:$E$2000,4,FALSE)</f>
        <v>18/02/2016</v>
      </c>
      <c r="U105" s="80" t="str">
        <f>IF(ISNA(VLOOKUP($B105&amp;":"&amp;U$3,'x - authors'!$B$3:$E$10000,4,FALSE)),"",VLOOKUP($B105&amp;":"&amp;U$3,'x - authors'!$B$3:$E$10000,4,FALSE))</f>
        <v>andrew_miller</v>
      </c>
      <c r="V105" s="80" t="str">
        <f>IF(ISNA(VLOOKUP($B105&amp;":"&amp;V$3,'x - authors'!$B$3:$E$10000,4,FALSE)),"",VLOOKUP($B105&amp;":"&amp;V$3,'x - authors'!$B$3:$E$10000,4,FALSE))</f>
        <v>mike_hicks</v>
      </c>
      <c r="W105" s="80" t="str">
        <f>IF(ISNA(VLOOKUP($B105&amp;":"&amp;W$3,'x - authors'!$B$3:$E$10000,4,FALSE)),"",VLOOKUP($B105&amp;":"&amp;W$3,'x - authors'!$B$3:$E$10000,4,FALSE))</f>
        <v>jon_katz</v>
      </c>
      <c r="X105" s="80" t="str">
        <f>IF(ISNA(VLOOKUP($B105&amp;":"&amp;X$3,'x - authors'!$B$3:$E$10000,4,FALSE)),"",VLOOKUP($B105&amp;":"&amp;X$3,'x - authors'!$B$3:$E$10000,4,FALSE))</f>
        <v>elaine_shi</v>
      </c>
      <c r="Y105" s="80" t="str">
        <f>IF(ISNA(VLOOKUP($B105&amp;":"&amp;Y$3,'x - authors'!$B$3:$E$10000,4,FALSE)),"",VLOOKUP($B105&amp;":"&amp;Y$3,'x - authors'!$B$3:$E$10000,4,FALSE))</f>
        <v/>
      </c>
      <c r="Z105" s="80" t="str">
        <f>IF(ISNA(VLOOKUP($B105&amp;":"&amp;Z$3,'x - authors'!$B$3:$E$10000,4,FALSE)),"",VLOOKUP($B105&amp;":"&amp;Z$3,'x - authors'!$B$3:$E$10000,4,FALSE))</f>
        <v/>
      </c>
      <c r="AA105" s="80" t="str">
        <f>IF(ISNA(VLOOKUP($B105&amp;":"&amp;AA$3,'x - authors'!$B$3:$E$10000,4,FALSE)),"",VLOOKUP($B105&amp;":"&amp;AA$3,'x - authors'!$B$3:$E$10000,4,FALSE))</f>
        <v/>
      </c>
      <c r="AB105" s="80" t="str">
        <f>IF(ISNA(VLOOKUP($B105&amp;":"&amp;AB$3,'x - authors'!$B$3:$E$10000,4,FALSE)),"",VLOOKUP($B105&amp;":"&amp;AB$3,'x - authors'!$B$3:$E$10000,4,FALSE))</f>
        <v/>
      </c>
      <c r="AC105" s="80" t="str">
        <f>IF(ISNA(VLOOKUP($B105&amp;":"&amp;AC$3,'x - authors'!$B$3:$E$10000,4,FALSE)),"",VLOOKUP($B105&amp;":"&amp;AC$3,'x - authors'!$B$3:$E$10000,4,FALSE))</f>
        <v/>
      </c>
      <c r="AD105" s="80" t="str">
        <f>IF(ISNA(VLOOKUP($B105&amp;":"&amp;AD$3,'x - authors'!$B$3:$E$10000,4,FALSE)),"",VLOOKUP($B105&amp;":"&amp;AD$3,'x - authors'!$B$3:$E$10000,4,FALSE))</f>
        <v/>
      </c>
      <c r="AE105" s="80" t="str">
        <f>IF(ISNA(VLOOKUP($B105&amp;":"&amp;AE$3,'x - authors'!$B$3:$E$10000,4,FALSE)),"",VLOOKUP($B105&amp;":"&amp;AE$3,'x - authors'!$B$3:$E$10000,4,FALSE))</f>
        <v/>
      </c>
      <c r="AF105" s="80" t="str">
        <f>IF(ISNA(VLOOKUP($B105&amp;":"&amp;AF$3,'x - authors'!$B$3:$E$10000,4,FALSE)),"",VLOOKUP($B105&amp;":"&amp;AF$3,'x - authors'!$B$3:$E$10000,4,FALSE))</f>
        <v/>
      </c>
      <c r="AG105" s="80" t="str">
        <f>IF(ISNA(VLOOKUP($B105&amp;":"&amp;AG$3,'x - authors'!$B$3:$E$10000,4,FALSE)),"",VLOOKUP($B105&amp;":"&amp;AG$3,'x - authors'!$B$3:$E$10000,4,FALSE))</f>
        <v/>
      </c>
      <c r="AH105" s="80" t="str">
        <f>IF(ISNA(VLOOKUP($B105&amp;":"&amp;AH$3,'x - authors'!$B$3:$E$10000,4,FALSE)),"",VLOOKUP($B105&amp;":"&amp;AH$3,'x - authors'!$B$3:$E$10000,4,FALSE))</f>
        <v/>
      </c>
      <c r="AI105" s="80" t="str">
        <f>IF(ISNA(VLOOKUP($B105&amp;":"&amp;AI$3,'x - authors'!$B$3:$E$10000,4,FALSE)),"",VLOOKUP($B105&amp;":"&amp;AI$3,'x - authors'!$B$3:$E$10000,4,FALSE))</f>
        <v/>
      </c>
    </row>
    <row r="106" spans="2:35">
      <c r="B106" s="65" t="s">
        <v>6141</v>
      </c>
      <c r="C106" s="65" t="s">
        <v>129</v>
      </c>
      <c r="D106" s="65" t="s">
        <v>6142</v>
      </c>
      <c r="E106" s="41" t="s">
        <v>1023</v>
      </c>
      <c r="F106" s="65" t="s">
        <v>5464</v>
      </c>
      <c r="G106" s="65"/>
      <c r="H106" s="65" t="s">
        <v>6143</v>
      </c>
      <c r="I106" s="65"/>
      <c r="J106" s="65" t="s">
        <v>6146</v>
      </c>
      <c r="K106" s="65"/>
      <c r="L106" s="65" t="s">
        <v>6147</v>
      </c>
      <c r="M106" s="65"/>
      <c r="N106" s="65"/>
      <c r="O106" s="15" t="str">
        <f t="shared" si="1"/>
        <v>citation:doc-2559-01</v>
      </c>
      <c r="Q106" s="15" t="str">
        <f>VLOOKUP($O106,'x - paper citations'!$B$3:$E$2000,2,FALSE)</f>
        <v>https://scholar.google.co.uk/scholar?q="Subjective Logic Operators in Trust Assessment: an Empirical Study"&amp;btnG=&amp;hl=en&amp;as_sdt=0,5</v>
      </c>
      <c r="R106" s="15">
        <f>VLOOKUP($O106,'x - paper citations'!$B$3:$E$2000,3,FALSE)</f>
        <v>4</v>
      </c>
      <c r="S106" s="15" t="str">
        <f>VLOOKUP($O106,'x - paper citations'!$B$3:$E$2000,4,FALSE)</f>
        <v>19/01/2016</v>
      </c>
      <c r="U106" s="80" t="str">
        <f>IF(ISNA(VLOOKUP($B106&amp;":"&amp;U$3,'x - authors'!$B$3:$E$10000,4,FALSE)),"",VLOOKUP($B106&amp;":"&amp;U$3,'x - authors'!$B$3:$E$10000,4,FALSE))</f>
        <v>federico_cerutti</v>
      </c>
      <c r="V106" s="80" t="str">
        <f>IF(ISNA(VLOOKUP($B106&amp;":"&amp;V$3,'x - authors'!$B$3:$E$10000,4,FALSE)),"",VLOOKUP($B106&amp;":"&amp;V$3,'x - authors'!$B$3:$E$10000,4,FALSE))</f>
        <v>lance_kaplan</v>
      </c>
      <c r="W106" s="80" t="str">
        <f>IF(ISNA(VLOOKUP($B106&amp;":"&amp;W$3,'x - authors'!$B$3:$E$10000,4,FALSE)),"",VLOOKUP($B106&amp;":"&amp;W$3,'x - authors'!$B$3:$E$10000,4,FALSE))</f>
        <v>timothy_norman</v>
      </c>
      <c r="X106" s="80" t="str">
        <f>IF(ISNA(VLOOKUP($B106&amp;":"&amp;X$3,'x - authors'!$B$3:$E$10000,4,FALSE)),"",VLOOKUP($B106&amp;":"&amp;X$3,'x - authors'!$B$3:$E$10000,4,FALSE))</f>
        <v>nir_oren</v>
      </c>
      <c r="Y106" s="80" t="str">
        <f>IF(ISNA(VLOOKUP($B106&amp;":"&amp;Y$3,'x - authors'!$B$3:$E$10000,4,FALSE)),"",VLOOKUP($B106&amp;":"&amp;Y$3,'x - authors'!$B$3:$E$10000,4,FALSE))</f>
        <v>alice_toniolo</v>
      </c>
      <c r="Z106" s="80" t="str">
        <f>IF(ISNA(VLOOKUP($B106&amp;":"&amp;Z$3,'x - authors'!$B$3:$E$10000,4,FALSE)),"",VLOOKUP($B106&amp;":"&amp;Z$3,'x - authors'!$B$3:$E$10000,4,FALSE))</f>
        <v/>
      </c>
      <c r="AA106" s="80" t="str">
        <f>IF(ISNA(VLOOKUP($B106&amp;":"&amp;AA$3,'x - authors'!$B$3:$E$10000,4,FALSE)),"",VLOOKUP($B106&amp;":"&amp;AA$3,'x - authors'!$B$3:$E$10000,4,FALSE))</f>
        <v/>
      </c>
      <c r="AB106" s="80" t="str">
        <f>IF(ISNA(VLOOKUP($B106&amp;":"&amp;AB$3,'x - authors'!$B$3:$E$10000,4,FALSE)),"",VLOOKUP($B106&amp;":"&amp;AB$3,'x - authors'!$B$3:$E$10000,4,FALSE))</f>
        <v/>
      </c>
      <c r="AC106" s="80" t="str">
        <f>IF(ISNA(VLOOKUP($B106&amp;":"&amp;AC$3,'x - authors'!$B$3:$E$10000,4,FALSE)),"",VLOOKUP($B106&amp;":"&amp;AC$3,'x - authors'!$B$3:$E$10000,4,FALSE))</f>
        <v/>
      </c>
      <c r="AD106" s="80" t="str">
        <f>IF(ISNA(VLOOKUP($B106&amp;":"&amp;AD$3,'x - authors'!$B$3:$E$10000,4,FALSE)),"",VLOOKUP($B106&amp;":"&amp;AD$3,'x - authors'!$B$3:$E$10000,4,FALSE))</f>
        <v/>
      </c>
      <c r="AE106" s="80" t="str">
        <f>IF(ISNA(VLOOKUP($B106&amp;":"&amp;AE$3,'x - authors'!$B$3:$E$10000,4,FALSE)),"",VLOOKUP($B106&amp;":"&amp;AE$3,'x - authors'!$B$3:$E$10000,4,FALSE))</f>
        <v/>
      </c>
      <c r="AF106" s="80" t="str">
        <f>IF(ISNA(VLOOKUP($B106&amp;":"&amp;AF$3,'x - authors'!$B$3:$E$10000,4,FALSE)),"",VLOOKUP($B106&amp;":"&amp;AF$3,'x - authors'!$B$3:$E$10000,4,FALSE))</f>
        <v/>
      </c>
      <c r="AG106" s="80" t="str">
        <f>IF(ISNA(VLOOKUP($B106&amp;":"&amp;AG$3,'x - authors'!$B$3:$E$10000,4,FALSE)),"",VLOOKUP($B106&amp;":"&amp;AG$3,'x - authors'!$B$3:$E$10000,4,FALSE))</f>
        <v/>
      </c>
      <c r="AH106" s="80" t="str">
        <f>IF(ISNA(VLOOKUP($B106&amp;":"&amp;AH$3,'x - authors'!$B$3:$E$10000,4,FALSE)),"",VLOOKUP($B106&amp;":"&amp;AH$3,'x - authors'!$B$3:$E$10000,4,FALSE))</f>
        <v/>
      </c>
      <c r="AI106" s="80" t="str">
        <f>IF(ISNA(VLOOKUP($B106&amp;":"&amp;AI$3,'x - authors'!$B$3:$E$10000,4,FALSE)),"",VLOOKUP($B106&amp;":"&amp;AI$3,'x - authors'!$B$3:$E$10000,4,FALSE))</f>
        <v/>
      </c>
    </row>
    <row r="107" spans="2:35">
      <c r="B107" s="65" t="s">
        <v>6148</v>
      </c>
      <c r="C107" s="65" t="s">
        <v>129</v>
      </c>
      <c r="D107" s="65" t="s">
        <v>6149</v>
      </c>
      <c r="E107" s="41" t="s">
        <v>1023</v>
      </c>
      <c r="F107" s="65" t="s">
        <v>5464</v>
      </c>
      <c r="G107" s="65"/>
      <c r="H107" s="65" t="s">
        <v>6150</v>
      </c>
      <c r="I107" s="65"/>
      <c r="J107" s="65" t="s">
        <v>6152</v>
      </c>
      <c r="K107" s="65"/>
      <c r="L107" s="65" t="s">
        <v>6153</v>
      </c>
      <c r="M107" s="65"/>
      <c r="N107" s="65"/>
      <c r="O107" s="15" t="str">
        <f t="shared" si="1"/>
        <v>citation:doc-2560a-01</v>
      </c>
      <c r="Q107" s="15" t="str">
        <f>VLOOKUP($O107,'x - paper citations'!$B$3:$E$2000,2,FALSE)</f>
        <v>https://scholar.google.co.uk/scholar?q="Reasoning about the Impacts of Information Sharing"&amp;btnG=&amp;hl=en&amp;as_sdt=0,5</v>
      </c>
      <c r="R107" s="15">
        <f>VLOOKUP($O107,'x - paper citations'!$B$3:$E$2000,3,FALSE)</f>
        <v>4</v>
      </c>
      <c r="S107" s="15" t="str">
        <f>VLOOKUP($O107,'x - paper citations'!$B$3:$E$2000,4,FALSE)</f>
        <v>12/02/2016</v>
      </c>
      <c r="U107" s="80" t="str">
        <f>IF(ISNA(VLOOKUP($B107&amp;":"&amp;U$3,'x - authors'!$B$3:$E$10000,4,FALSE)),"",VLOOKUP($B107&amp;":"&amp;U$3,'x - authors'!$B$3:$E$10000,4,FALSE))</f>
        <v>yuqing_tang</v>
      </c>
      <c r="V107" s="80" t="str">
        <f>IF(ISNA(VLOOKUP($B107&amp;":"&amp;V$3,'x - authors'!$B$3:$E$10000,4,FALSE)),"",VLOOKUP($B107&amp;":"&amp;V$3,'x - authors'!$B$3:$E$10000,4,FALSE))</f>
        <v>federico_cerutti</v>
      </c>
      <c r="W107" s="80" t="str">
        <f>IF(ISNA(VLOOKUP($B107&amp;":"&amp;W$3,'x - authors'!$B$3:$E$10000,4,FALSE)),"",VLOOKUP($B107&amp;":"&amp;W$3,'x - authors'!$B$3:$E$10000,4,FALSE))</f>
        <v>nir_oren</v>
      </c>
      <c r="X107" s="80" t="str">
        <f>IF(ISNA(VLOOKUP($B107&amp;":"&amp;X$3,'x - authors'!$B$3:$E$10000,4,FALSE)),"",VLOOKUP($B107&amp;":"&amp;X$3,'x - authors'!$B$3:$E$10000,4,FALSE))</f>
        <v>chatschik_bisdikian</v>
      </c>
      <c r="Y107" s="80" t="str">
        <f>IF(ISNA(VLOOKUP($B107&amp;":"&amp;Y$3,'x - authors'!$B$3:$E$10000,4,FALSE)),"",VLOOKUP($B107&amp;":"&amp;Y$3,'x - authors'!$B$3:$E$10000,4,FALSE))</f>
        <v/>
      </c>
      <c r="Z107" s="80" t="str">
        <f>IF(ISNA(VLOOKUP($B107&amp;":"&amp;Z$3,'x - authors'!$B$3:$E$10000,4,FALSE)),"",VLOOKUP($B107&amp;":"&amp;Z$3,'x - authors'!$B$3:$E$10000,4,FALSE))</f>
        <v/>
      </c>
      <c r="AA107" s="80" t="str">
        <f>IF(ISNA(VLOOKUP($B107&amp;":"&amp;AA$3,'x - authors'!$B$3:$E$10000,4,FALSE)),"",VLOOKUP($B107&amp;":"&amp;AA$3,'x - authors'!$B$3:$E$10000,4,FALSE))</f>
        <v/>
      </c>
      <c r="AB107" s="80" t="str">
        <f>IF(ISNA(VLOOKUP($B107&amp;":"&amp;AB$3,'x - authors'!$B$3:$E$10000,4,FALSE)),"",VLOOKUP($B107&amp;":"&amp;AB$3,'x - authors'!$B$3:$E$10000,4,FALSE))</f>
        <v/>
      </c>
      <c r="AC107" s="80" t="str">
        <f>IF(ISNA(VLOOKUP($B107&amp;":"&amp;AC$3,'x - authors'!$B$3:$E$10000,4,FALSE)),"",VLOOKUP($B107&amp;":"&amp;AC$3,'x - authors'!$B$3:$E$10000,4,FALSE))</f>
        <v/>
      </c>
      <c r="AD107" s="80" t="str">
        <f>IF(ISNA(VLOOKUP($B107&amp;":"&amp;AD$3,'x - authors'!$B$3:$E$10000,4,FALSE)),"",VLOOKUP($B107&amp;":"&amp;AD$3,'x - authors'!$B$3:$E$10000,4,FALSE))</f>
        <v/>
      </c>
      <c r="AE107" s="80" t="str">
        <f>IF(ISNA(VLOOKUP($B107&amp;":"&amp;AE$3,'x - authors'!$B$3:$E$10000,4,FALSE)),"",VLOOKUP($B107&amp;":"&amp;AE$3,'x - authors'!$B$3:$E$10000,4,FALSE))</f>
        <v/>
      </c>
      <c r="AF107" s="80" t="str">
        <f>IF(ISNA(VLOOKUP($B107&amp;":"&amp;AF$3,'x - authors'!$B$3:$E$10000,4,FALSE)),"",VLOOKUP($B107&amp;":"&amp;AF$3,'x - authors'!$B$3:$E$10000,4,FALSE))</f>
        <v/>
      </c>
      <c r="AG107" s="80" t="str">
        <f>IF(ISNA(VLOOKUP($B107&amp;":"&amp;AG$3,'x - authors'!$B$3:$E$10000,4,FALSE)),"",VLOOKUP($B107&amp;":"&amp;AG$3,'x - authors'!$B$3:$E$10000,4,FALSE))</f>
        <v/>
      </c>
      <c r="AH107" s="80" t="str">
        <f>IF(ISNA(VLOOKUP($B107&amp;":"&amp;AH$3,'x - authors'!$B$3:$E$10000,4,FALSE)),"",VLOOKUP($B107&amp;":"&amp;AH$3,'x - authors'!$B$3:$E$10000,4,FALSE))</f>
        <v/>
      </c>
      <c r="AI107" s="80" t="str">
        <f>IF(ISNA(VLOOKUP($B107&amp;":"&amp;AI$3,'x - authors'!$B$3:$E$10000,4,FALSE)),"",VLOOKUP($B107&amp;":"&amp;AI$3,'x - authors'!$B$3:$E$10000,4,FALSE))</f>
        <v/>
      </c>
    </row>
    <row r="108" spans="2:35">
      <c r="B108" s="65" t="s">
        <v>6154</v>
      </c>
      <c r="C108" s="65" t="s">
        <v>129</v>
      </c>
      <c r="D108" s="65" t="s">
        <v>6155</v>
      </c>
      <c r="E108" s="41" t="s">
        <v>1020</v>
      </c>
      <c r="F108" s="65" t="s">
        <v>5461</v>
      </c>
      <c r="G108" s="65"/>
      <c r="H108" s="65" t="s">
        <v>6156</v>
      </c>
      <c r="I108" s="65"/>
      <c r="J108" s="65" t="s">
        <v>6159</v>
      </c>
      <c r="K108" s="65"/>
      <c r="L108" s="65" t="s">
        <v>6160</v>
      </c>
      <c r="M108" s="65"/>
      <c r="N108" s="65"/>
      <c r="O108" s="15" t="str">
        <f t="shared" si="1"/>
        <v>citation:doc-2625-01</v>
      </c>
      <c r="Q108" s="15" t="str">
        <f>VLOOKUP($O108,'x - paper citations'!$B$3:$E$2000,2,FALSE)</f>
        <v>https://scholar.google.co.uk/scholar?q="Cross-cloud MapReduce: A Result Integrity Check Framework on Hybrid Clouds"&amp;btnG=&amp;hl=en&amp;as_sdt=0,5</v>
      </c>
      <c r="R108" s="15">
        <f>VLOOKUP($O108,'x - paper citations'!$B$3:$E$2000,3,FALSE)</f>
        <v>3</v>
      </c>
      <c r="S108" s="15" t="str">
        <f>VLOOKUP($O108,'x - paper citations'!$B$3:$E$2000,4,FALSE)</f>
        <v>12/01/2016</v>
      </c>
      <c r="U108" s="80" t="str">
        <f>IF(ISNA(VLOOKUP($B108&amp;":"&amp;U$3,'x - authors'!$B$3:$E$10000,4,FALSE)),"",VLOOKUP($B108&amp;":"&amp;U$3,'x - authors'!$B$3:$E$10000,4,FALSE))</f>
        <v>yi_wang</v>
      </c>
      <c r="V108" s="80" t="str">
        <f>IF(ISNA(VLOOKUP($B108&amp;":"&amp;V$3,'x - authors'!$B$3:$E$10000,4,FALSE)),"",VLOOKUP($B108&amp;":"&amp;V$3,'x - authors'!$B$3:$E$10000,4,FALSE))</f>
        <v>jinpeng_wei</v>
      </c>
      <c r="W108" s="80" t="str">
        <f>IF(ISNA(VLOOKUP($B108&amp;":"&amp;W$3,'x - authors'!$B$3:$E$10000,4,FALSE)),"",VLOOKUP($B108&amp;":"&amp;W$3,'x - authors'!$B$3:$E$10000,4,FALSE))</f>
        <v>mudhakar_srivatsa</v>
      </c>
      <c r="X108" s="80" t="str">
        <f>IF(ISNA(VLOOKUP($B108&amp;":"&amp;X$3,'x - authors'!$B$3:$E$10000,4,FALSE)),"",VLOOKUP($B108&amp;":"&amp;X$3,'x - authors'!$B$3:$E$10000,4,FALSE))</f>
        <v/>
      </c>
      <c r="Y108" s="80" t="str">
        <f>IF(ISNA(VLOOKUP($B108&amp;":"&amp;Y$3,'x - authors'!$B$3:$E$10000,4,FALSE)),"",VLOOKUP($B108&amp;":"&amp;Y$3,'x - authors'!$B$3:$E$10000,4,FALSE))</f>
        <v/>
      </c>
      <c r="Z108" s="80" t="str">
        <f>IF(ISNA(VLOOKUP($B108&amp;":"&amp;Z$3,'x - authors'!$B$3:$E$10000,4,FALSE)),"",VLOOKUP($B108&amp;":"&amp;Z$3,'x - authors'!$B$3:$E$10000,4,FALSE))</f>
        <v/>
      </c>
      <c r="AA108" s="80" t="str">
        <f>IF(ISNA(VLOOKUP($B108&amp;":"&amp;AA$3,'x - authors'!$B$3:$E$10000,4,FALSE)),"",VLOOKUP($B108&amp;":"&amp;AA$3,'x - authors'!$B$3:$E$10000,4,FALSE))</f>
        <v/>
      </c>
      <c r="AB108" s="80" t="str">
        <f>IF(ISNA(VLOOKUP($B108&amp;":"&amp;AB$3,'x - authors'!$B$3:$E$10000,4,FALSE)),"",VLOOKUP($B108&amp;":"&amp;AB$3,'x - authors'!$B$3:$E$10000,4,FALSE))</f>
        <v/>
      </c>
      <c r="AC108" s="80" t="str">
        <f>IF(ISNA(VLOOKUP($B108&amp;":"&amp;AC$3,'x - authors'!$B$3:$E$10000,4,FALSE)),"",VLOOKUP($B108&amp;":"&amp;AC$3,'x - authors'!$B$3:$E$10000,4,FALSE))</f>
        <v/>
      </c>
      <c r="AD108" s="80" t="str">
        <f>IF(ISNA(VLOOKUP($B108&amp;":"&amp;AD$3,'x - authors'!$B$3:$E$10000,4,FALSE)),"",VLOOKUP($B108&amp;":"&amp;AD$3,'x - authors'!$B$3:$E$10000,4,FALSE))</f>
        <v/>
      </c>
      <c r="AE108" s="80" t="str">
        <f>IF(ISNA(VLOOKUP($B108&amp;":"&amp;AE$3,'x - authors'!$B$3:$E$10000,4,FALSE)),"",VLOOKUP($B108&amp;":"&amp;AE$3,'x - authors'!$B$3:$E$10000,4,FALSE))</f>
        <v/>
      </c>
      <c r="AF108" s="80" t="str">
        <f>IF(ISNA(VLOOKUP($B108&amp;":"&amp;AF$3,'x - authors'!$B$3:$E$10000,4,FALSE)),"",VLOOKUP($B108&amp;":"&amp;AF$3,'x - authors'!$B$3:$E$10000,4,FALSE))</f>
        <v/>
      </c>
      <c r="AG108" s="80" t="str">
        <f>IF(ISNA(VLOOKUP($B108&amp;":"&amp;AG$3,'x - authors'!$B$3:$E$10000,4,FALSE)),"",VLOOKUP($B108&amp;":"&amp;AG$3,'x - authors'!$B$3:$E$10000,4,FALSE))</f>
        <v/>
      </c>
      <c r="AH108" s="80" t="str">
        <f>IF(ISNA(VLOOKUP($B108&amp;":"&amp;AH$3,'x - authors'!$B$3:$E$10000,4,FALSE)),"",VLOOKUP($B108&amp;":"&amp;AH$3,'x - authors'!$B$3:$E$10000,4,FALSE))</f>
        <v/>
      </c>
      <c r="AI108" s="80" t="str">
        <f>IF(ISNA(VLOOKUP($B108&amp;":"&amp;AI$3,'x - authors'!$B$3:$E$10000,4,FALSE)),"",VLOOKUP($B108&amp;":"&amp;AI$3,'x - authors'!$B$3:$E$10000,4,FALSE))</f>
        <v/>
      </c>
    </row>
    <row r="109" spans="2:35">
      <c r="B109" s="65" t="s">
        <v>128</v>
      </c>
      <c r="C109" s="65" t="s">
        <v>129</v>
      </c>
      <c r="D109" s="65" t="s">
        <v>130</v>
      </c>
      <c r="E109" s="83" t="s">
        <v>132</v>
      </c>
      <c r="F109" s="65" t="s">
        <v>57</v>
      </c>
      <c r="G109" s="65"/>
      <c r="H109" s="65" t="s">
        <v>133</v>
      </c>
      <c r="I109" s="65"/>
      <c r="J109" s="65" t="s">
        <v>6162</v>
      </c>
      <c r="K109" s="65"/>
      <c r="L109" s="65" t="s">
        <v>6163</v>
      </c>
      <c r="M109" s="65"/>
      <c r="N109" s="65"/>
      <c r="O109" s="15" t="str">
        <f t="shared" si="1"/>
        <v>citation:doc-2630-01</v>
      </c>
      <c r="Q109" s="15" t="str">
        <f>VLOOKUP($O109,'x - paper citations'!$B$3:$E$2000,2,FALSE)</f>
        <v>https://scholar.google.co.uk/scholar?q="Human-Machine Conversations to Support Multi-Agency Missions"&amp;btnG=&amp;hl=en&amp;as_sdt=0,5</v>
      </c>
      <c r="R109" s="15">
        <f>VLOOKUP($O109,'x - paper citations'!$B$3:$E$2000,3,FALSE)</f>
        <v>10</v>
      </c>
      <c r="S109" s="15" t="str">
        <f>VLOOKUP($O109,'x - paper citations'!$B$3:$E$2000,4,FALSE)</f>
        <v>11/01/2016</v>
      </c>
      <c r="U109" s="80" t="str">
        <f>IF(ISNA(VLOOKUP($B109&amp;":"&amp;U$3,'x - authors'!$B$3:$E$10000,4,FALSE)),"",VLOOKUP($B109&amp;":"&amp;U$3,'x - authors'!$B$3:$E$10000,4,FALSE))</f>
        <v>alun_preece</v>
      </c>
      <c r="V109" s="80" t="str">
        <f>IF(ISNA(VLOOKUP($B109&amp;":"&amp;V$3,'x - authors'!$B$3:$E$10000,4,FALSE)),"",VLOOKUP($B109&amp;":"&amp;V$3,'x - authors'!$B$3:$E$10000,4,FALSE))</f>
        <v>dave_braines</v>
      </c>
      <c r="W109" s="80" t="str">
        <f>IF(ISNA(VLOOKUP($B109&amp;":"&amp;W$3,'x - authors'!$B$3:$E$10000,4,FALSE)),"",VLOOKUP($B109&amp;":"&amp;W$3,'x - authors'!$B$3:$E$10000,4,FALSE))</f>
        <v>diego_pizzocaro</v>
      </c>
      <c r="X109" s="80" t="str">
        <f>IF(ISNA(VLOOKUP($B109&amp;":"&amp;X$3,'x - authors'!$B$3:$E$10000,4,FALSE)),"",VLOOKUP($B109&amp;":"&amp;X$3,'x - authors'!$B$3:$E$10000,4,FALSE))</f>
        <v>christos_parizas</v>
      </c>
      <c r="Y109" s="80" t="str">
        <f>IF(ISNA(VLOOKUP($B109&amp;":"&amp;Y$3,'x - authors'!$B$3:$E$10000,4,FALSE)),"",VLOOKUP($B109&amp;":"&amp;Y$3,'x - authors'!$B$3:$E$10000,4,FALSE))</f>
        <v/>
      </c>
      <c r="Z109" s="80" t="str">
        <f>IF(ISNA(VLOOKUP($B109&amp;":"&amp;Z$3,'x - authors'!$B$3:$E$10000,4,FALSE)),"",VLOOKUP($B109&amp;":"&amp;Z$3,'x - authors'!$B$3:$E$10000,4,FALSE))</f>
        <v/>
      </c>
      <c r="AA109" s="80" t="str">
        <f>IF(ISNA(VLOOKUP($B109&amp;":"&amp;AA$3,'x - authors'!$B$3:$E$10000,4,FALSE)),"",VLOOKUP($B109&amp;":"&amp;AA$3,'x - authors'!$B$3:$E$10000,4,FALSE))</f>
        <v/>
      </c>
      <c r="AB109" s="80" t="str">
        <f>IF(ISNA(VLOOKUP($B109&amp;":"&amp;AB$3,'x - authors'!$B$3:$E$10000,4,FALSE)),"",VLOOKUP($B109&amp;":"&amp;AB$3,'x - authors'!$B$3:$E$10000,4,FALSE))</f>
        <v/>
      </c>
      <c r="AC109" s="80" t="str">
        <f>IF(ISNA(VLOOKUP($B109&amp;":"&amp;AC$3,'x - authors'!$B$3:$E$10000,4,FALSE)),"",VLOOKUP($B109&amp;":"&amp;AC$3,'x - authors'!$B$3:$E$10000,4,FALSE))</f>
        <v/>
      </c>
      <c r="AD109" s="80" t="str">
        <f>IF(ISNA(VLOOKUP($B109&amp;":"&amp;AD$3,'x - authors'!$B$3:$E$10000,4,FALSE)),"",VLOOKUP($B109&amp;":"&amp;AD$3,'x - authors'!$B$3:$E$10000,4,FALSE))</f>
        <v/>
      </c>
      <c r="AE109" s="80" t="str">
        <f>IF(ISNA(VLOOKUP($B109&amp;":"&amp;AE$3,'x - authors'!$B$3:$E$10000,4,FALSE)),"",VLOOKUP($B109&amp;":"&amp;AE$3,'x - authors'!$B$3:$E$10000,4,FALSE))</f>
        <v/>
      </c>
      <c r="AF109" s="80" t="str">
        <f>IF(ISNA(VLOOKUP($B109&amp;":"&amp;AF$3,'x - authors'!$B$3:$E$10000,4,FALSE)),"",VLOOKUP($B109&amp;":"&amp;AF$3,'x - authors'!$B$3:$E$10000,4,FALSE))</f>
        <v/>
      </c>
      <c r="AG109" s="80" t="str">
        <f>IF(ISNA(VLOOKUP($B109&amp;":"&amp;AG$3,'x - authors'!$B$3:$E$10000,4,FALSE)),"",VLOOKUP($B109&amp;":"&amp;AG$3,'x - authors'!$B$3:$E$10000,4,FALSE))</f>
        <v/>
      </c>
      <c r="AH109" s="80" t="str">
        <f>IF(ISNA(VLOOKUP($B109&amp;":"&amp;AH$3,'x - authors'!$B$3:$E$10000,4,FALSE)),"",VLOOKUP($B109&amp;":"&amp;AH$3,'x - authors'!$B$3:$E$10000,4,FALSE))</f>
        <v/>
      </c>
      <c r="AI109" s="80" t="str">
        <f>IF(ISNA(VLOOKUP($B109&amp;":"&amp;AI$3,'x - authors'!$B$3:$E$10000,4,FALSE)),"",VLOOKUP($B109&amp;":"&amp;AI$3,'x - authors'!$B$3:$E$10000,4,FALSE))</f>
        <v/>
      </c>
    </row>
    <row r="110" spans="2:35">
      <c r="B110" s="65" t="s">
        <v>6164</v>
      </c>
      <c r="C110" s="65" t="s">
        <v>129</v>
      </c>
      <c r="D110" s="65" t="s">
        <v>6165</v>
      </c>
      <c r="E110" s="83" t="s">
        <v>1020</v>
      </c>
      <c r="F110" s="65" t="s">
        <v>5462</v>
      </c>
      <c r="G110" s="65"/>
      <c r="H110" s="65" t="s">
        <v>6166</v>
      </c>
      <c r="I110" s="65"/>
      <c r="J110" s="65" t="s">
        <v>6168</v>
      </c>
      <c r="K110" s="65"/>
      <c r="L110" s="65" t="s">
        <v>6169</v>
      </c>
      <c r="M110" s="65" t="s">
        <v>6170</v>
      </c>
      <c r="N110" s="65"/>
      <c r="O110" s="15" t="str">
        <f t="shared" si="1"/>
        <v>citation:doc-2639-01</v>
      </c>
      <c r="Q110" s="15" t="str">
        <f>VLOOKUP($O110,'x - paper citations'!$B$3:$E$2000,2,FALSE)</f>
        <v>https://scholar.google.co.uk/scholar?q="Adaptive Algorithms for Diagnosing Large-Scale Failures in Computer Networks"&amp;btnG=&amp;hl=en&amp;as_sdt=0,5</v>
      </c>
      <c r="R110" s="15">
        <f>VLOOKUP($O110,'x - paper citations'!$B$3:$E$2000,3,FALSE)</f>
        <v>9</v>
      </c>
      <c r="S110" s="15" t="str">
        <f>VLOOKUP($O110,'x - paper citations'!$B$3:$E$2000,4,FALSE)</f>
        <v>11/01/2016</v>
      </c>
      <c r="U110" s="80" t="str">
        <f>IF(ISNA(VLOOKUP($B110&amp;":"&amp;U$3,'x - authors'!$B$3:$E$10000,4,FALSE)),"",VLOOKUP($B110&amp;":"&amp;U$3,'x - authors'!$B$3:$E$10000,4,FALSE))</f>
        <v>srikar_tati</v>
      </c>
      <c r="V110" s="80" t="str">
        <f>IF(ISNA(VLOOKUP($B110&amp;":"&amp;V$3,'x - authors'!$B$3:$E$10000,4,FALSE)),"",VLOOKUP($B110&amp;":"&amp;V$3,'x - authors'!$B$3:$E$10000,4,FALSE))</f>
        <v>bong_jun_ko</v>
      </c>
      <c r="W110" s="80" t="str">
        <f>IF(ISNA(VLOOKUP($B110&amp;":"&amp;W$3,'x - authors'!$B$3:$E$10000,4,FALSE)),"",VLOOKUP($B110&amp;":"&amp;W$3,'x - authors'!$B$3:$E$10000,4,FALSE))</f>
        <v>guohong_cao</v>
      </c>
      <c r="X110" s="80" t="str">
        <f>IF(ISNA(VLOOKUP($B110&amp;":"&amp;X$3,'x - authors'!$B$3:$E$10000,4,FALSE)),"",VLOOKUP($B110&amp;":"&amp;X$3,'x - authors'!$B$3:$E$10000,4,FALSE))</f>
        <v>ananthram_swami</v>
      </c>
      <c r="Y110" s="80" t="str">
        <f>IF(ISNA(VLOOKUP($B110&amp;":"&amp;Y$3,'x - authors'!$B$3:$E$10000,4,FALSE)),"",VLOOKUP($B110&amp;":"&amp;Y$3,'x - authors'!$B$3:$E$10000,4,FALSE))</f>
        <v>thomas_laporta</v>
      </c>
      <c r="Z110" s="80" t="str">
        <f>IF(ISNA(VLOOKUP($B110&amp;":"&amp;Z$3,'x - authors'!$B$3:$E$10000,4,FALSE)),"",VLOOKUP($B110&amp;":"&amp;Z$3,'x - authors'!$B$3:$E$10000,4,FALSE))</f>
        <v/>
      </c>
      <c r="AA110" s="80" t="str">
        <f>IF(ISNA(VLOOKUP($B110&amp;":"&amp;AA$3,'x - authors'!$B$3:$E$10000,4,FALSE)),"",VLOOKUP($B110&amp;":"&amp;AA$3,'x - authors'!$B$3:$E$10000,4,FALSE))</f>
        <v/>
      </c>
      <c r="AB110" s="80" t="str">
        <f>IF(ISNA(VLOOKUP($B110&amp;":"&amp;AB$3,'x - authors'!$B$3:$E$10000,4,FALSE)),"",VLOOKUP($B110&amp;":"&amp;AB$3,'x - authors'!$B$3:$E$10000,4,FALSE))</f>
        <v/>
      </c>
      <c r="AC110" s="80" t="str">
        <f>IF(ISNA(VLOOKUP($B110&amp;":"&amp;AC$3,'x - authors'!$B$3:$E$10000,4,FALSE)),"",VLOOKUP($B110&amp;":"&amp;AC$3,'x - authors'!$B$3:$E$10000,4,FALSE))</f>
        <v/>
      </c>
      <c r="AD110" s="80" t="str">
        <f>IF(ISNA(VLOOKUP($B110&amp;":"&amp;AD$3,'x - authors'!$B$3:$E$10000,4,FALSE)),"",VLOOKUP($B110&amp;":"&amp;AD$3,'x - authors'!$B$3:$E$10000,4,FALSE))</f>
        <v/>
      </c>
      <c r="AE110" s="80" t="str">
        <f>IF(ISNA(VLOOKUP($B110&amp;":"&amp;AE$3,'x - authors'!$B$3:$E$10000,4,FALSE)),"",VLOOKUP($B110&amp;":"&amp;AE$3,'x - authors'!$B$3:$E$10000,4,FALSE))</f>
        <v/>
      </c>
      <c r="AF110" s="80" t="str">
        <f>IF(ISNA(VLOOKUP($B110&amp;":"&amp;AF$3,'x - authors'!$B$3:$E$10000,4,FALSE)),"",VLOOKUP($B110&amp;":"&amp;AF$3,'x - authors'!$B$3:$E$10000,4,FALSE))</f>
        <v/>
      </c>
      <c r="AG110" s="80" t="str">
        <f>IF(ISNA(VLOOKUP($B110&amp;":"&amp;AG$3,'x - authors'!$B$3:$E$10000,4,FALSE)),"",VLOOKUP($B110&amp;":"&amp;AG$3,'x - authors'!$B$3:$E$10000,4,FALSE))</f>
        <v/>
      </c>
      <c r="AH110" s="80" t="str">
        <f>IF(ISNA(VLOOKUP($B110&amp;":"&amp;AH$3,'x - authors'!$B$3:$E$10000,4,FALSE)),"",VLOOKUP($B110&amp;":"&amp;AH$3,'x - authors'!$B$3:$E$10000,4,FALSE))</f>
        <v/>
      </c>
      <c r="AI110" s="80" t="str">
        <f>IF(ISNA(VLOOKUP($B110&amp;":"&amp;AI$3,'x - authors'!$B$3:$E$10000,4,FALSE)),"",VLOOKUP($B110&amp;":"&amp;AI$3,'x - authors'!$B$3:$E$10000,4,FALSE))</f>
        <v/>
      </c>
    </row>
    <row r="111" spans="2:35">
      <c r="B111" s="65" t="s">
        <v>6171</v>
      </c>
      <c r="C111" s="65" t="s">
        <v>129</v>
      </c>
      <c r="D111" s="65" t="s">
        <v>6172</v>
      </c>
      <c r="E111" s="83" t="s">
        <v>1023</v>
      </c>
      <c r="F111" s="65" t="s">
        <v>5459</v>
      </c>
      <c r="G111" s="65"/>
      <c r="H111" s="65" t="s">
        <v>6173</v>
      </c>
      <c r="I111" s="65"/>
      <c r="J111" s="65" t="s">
        <v>6175</v>
      </c>
      <c r="K111" s="65"/>
      <c r="L111" s="65" t="s">
        <v>6176</v>
      </c>
      <c r="M111" s="65"/>
      <c r="N111" s="65"/>
      <c r="O111" s="15" t="str">
        <f t="shared" si="1"/>
        <v>citation:doc-2717-01</v>
      </c>
      <c r="Q111" s="15" t="str">
        <f>VLOOKUP($O111,'x - paper citations'!$B$3:$E$2000,2,FALSE)</f>
        <v>https://scholar.google.co.uk/scholar?q="Multi-source Multipath HTTP (mHTTP): A Proposal"&amp;btnG=&amp;hl=en&amp;as_sdt=0,5</v>
      </c>
      <c r="R111" s="15">
        <f>VLOOKUP($O111,'x - paper citations'!$B$3:$E$2000,3,FALSE)</f>
        <v>7</v>
      </c>
      <c r="S111" s="15" t="str">
        <f>VLOOKUP($O111,'x - paper citations'!$B$3:$E$2000,4,FALSE)</f>
        <v>19/01/2016</v>
      </c>
      <c r="U111" s="80" t="str">
        <f>IF(ISNA(VLOOKUP($B111&amp;":"&amp;U$3,'x - authors'!$B$3:$E$10000,4,FALSE)),"",VLOOKUP($B111&amp;":"&amp;U$3,'x - authors'!$B$3:$E$10000,4,FALSE))</f>
        <v>jae_kim</v>
      </c>
      <c r="V111" s="80" t="str">
        <f>IF(ISNA(VLOOKUP($B111&amp;":"&amp;V$3,'x - authors'!$B$3:$E$10000,4,FALSE)),"",VLOOKUP($B111&amp;":"&amp;V$3,'x - authors'!$B$3:$E$10000,4,FALSE))</f>
        <v>yung-chih_chen</v>
      </c>
      <c r="W111" s="80" t="str">
        <f>IF(ISNA(VLOOKUP($B111&amp;":"&amp;W$3,'x - authors'!$B$3:$E$10000,4,FALSE)),"",VLOOKUP($B111&amp;":"&amp;W$3,'x - authors'!$B$3:$E$10000,4,FALSE))</f>
        <v>ramin_khalili</v>
      </c>
      <c r="X111" s="80" t="str">
        <f>IF(ISNA(VLOOKUP($B111&amp;":"&amp;X$3,'x - authors'!$B$3:$E$10000,4,FALSE)),"",VLOOKUP($B111&amp;":"&amp;X$3,'x - authors'!$B$3:$E$10000,4,FALSE))</f>
        <v>don_towsley</v>
      </c>
      <c r="Y111" s="80" t="str">
        <f>IF(ISNA(VLOOKUP($B111&amp;":"&amp;Y$3,'x - authors'!$B$3:$E$10000,4,FALSE)),"",VLOOKUP($B111&amp;":"&amp;Y$3,'x - authors'!$B$3:$E$10000,4,FALSE))</f>
        <v>anja_feldmann</v>
      </c>
      <c r="Z111" s="80" t="str">
        <f>IF(ISNA(VLOOKUP($B111&amp;":"&amp;Z$3,'x - authors'!$B$3:$E$10000,4,FALSE)),"",VLOOKUP($B111&amp;":"&amp;Z$3,'x - authors'!$B$3:$E$10000,4,FALSE))</f>
        <v/>
      </c>
      <c r="AA111" s="80" t="str">
        <f>IF(ISNA(VLOOKUP($B111&amp;":"&amp;AA$3,'x - authors'!$B$3:$E$10000,4,FALSE)),"",VLOOKUP($B111&amp;":"&amp;AA$3,'x - authors'!$B$3:$E$10000,4,FALSE))</f>
        <v/>
      </c>
      <c r="AB111" s="80" t="str">
        <f>IF(ISNA(VLOOKUP($B111&amp;":"&amp;AB$3,'x - authors'!$B$3:$E$10000,4,FALSE)),"",VLOOKUP($B111&amp;":"&amp;AB$3,'x - authors'!$B$3:$E$10000,4,FALSE))</f>
        <v/>
      </c>
      <c r="AC111" s="80" t="str">
        <f>IF(ISNA(VLOOKUP($B111&amp;":"&amp;AC$3,'x - authors'!$B$3:$E$10000,4,FALSE)),"",VLOOKUP($B111&amp;":"&amp;AC$3,'x - authors'!$B$3:$E$10000,4,FALSE))</f>
        <v/>
      </c>
      <c r="AD111" s="80" t="str">
        <f>IF(ISNA(VLOOKUP($B111&amp;":"&amp;AD$3,'x - authors'!$B$3:$E$10000,4,FALSE)),"",VLOOKUP($B111&amp;":"&amp;AD$3,'x - authors'!$B$3:$E$10000,4,FALSE))</f>
        <v/>
      </c>
      <c r="AE111" s="80" t="str">
        <f>IF(ISNA(VLOOKUP($B111&amp;":"&amp;AE$3,'x - authors'!$B$3:$E$10000,4,FALSE)),"",VLOOKUP($B111&amp;":"&amp;AE$3,'x - authors'!$B$3:$E$10000,4,FALSE))</f>
        <v/>
      </c>
      <c r="AF111" s="80" t="str">
        <f>IF(ISNA(VLOOKUP($B111&amp;":"&amp;AF$3,'x - authors'!$B$3:$E$10000,4,FALSE)),"",VLOOKUP($B111&amp;":"&amp;AF$3,'x - authors'!$B$3:$E$10000,4,FALSE))</f>
        <v/>
      </c>
      <c r="AG111" s="80" t="str">
        <f>IF(ISNA(VLOOKUP($B111&amp;":"&amp;AG$3,'x - authors'!$B$3:$E$10000,4,FALSE)),"",VLOOKUP($B111&amp;":"&amp;AG$3,'x - authors'!$B$3:$E$10000,4,FALSE))</f>
        <v/>
      </c>
      <c r="AH111" s="80" t="str">
        <f>IF(ISNA(VLOOKUP($B111&amp;":"&amp;AH$3,'x - authors'!$B$3:$E$10000,4,FALSE)),"",VLOOKUP($B111&amp;":"&amp;AH$3,'x - authors'!$B$3:$E$10000,4,FALSE))</f>
        <v/>
      </c>
      <c r="AI111" s="80" t="str">
        <f>IF(ISNA(VLOOKUP($B111&amp;":"&amp;AI$3,'x - authors'!$B$3:$E$10000,4,FALSE)),"",VLOOKUP($B111&amp;":"&amp;AI$3,'x - authors'!$B$3:$E$10000,4,FALSE))</f>
        <v/>
      </c>
    </row>
    <row r="112" spans="2:35">
      <c r="B112" s="65" t="s">
        <v>6177</v>
      </c>
      <c r="C112" s="65" t="s">
        <v>129</v>
      </c>
      <c r="D112" s="65" t="s">
        <v>6178</v>
      </c>
      <c r="E112" s="83" t="s">
        <v>226</v>
      </c>
      <c r="F112" s="65" t="s">
        <v>5462</v>
      </c>
      <c r="G112" s="65"/>
      <c r="H112" s="65" t="s">
        <v>6179</v>
      </c>
      <c r="I112" s="65"/>
      <c r="J112" s="65" t="s">
        <v>6182</v>
      </c>
      <c r="K112" s="65"/>
      <c r="L112" s="65" t="s">
        <v>6183</v>
      </c>
      <c r="M112" s="65"/>
      <c r="N112" s="65"/>
      <c r="O112" s="15" t="str">
        <f t="shared" si="1"/>
        <v>citation:doc-2723-01</v>
      </c>
      <c r="Q112" s="15" t="str">
        <f>VLOOKUP($O112,'x - paper citations'!$B$3:$E$2000,2,FALSE)</f>
        <v>https://scholar.google.co.uk/scholar?q="Towards Relevancy Aware Service Oriented Systems in WSNs"&amp;btnG=&amp;hl=en&amp;as_sdt=0,5</v>
      </c>
      <c r="R112" s="15">
        <f>VLOOKUP($O112,'x - paper citations'!$B$3:$E$2000,3,FALSE)</f>
        <v>1</v>
      </c>
      <c r="S112" s="15" t="str">
        <f>VLOOKUP($O112,'x - paper citations'!$B$3:$E$2000,4,FALSE)</f>
        <v>12/01/2016</v>
      </c>
      <c r="U112" s="80" t="str">
        <f>IF(ISNA(VLOOKUP($B112&amp;":"&amp;U$3,'x - authors'!$B$3:$E$10000,4,FALSE)),"",VLOOKUP($B112&amp;":"&amp;U$3,'x - authors'!$B$3:$E$10000,4,FALSE))</f>
        <v>syed_yousaf_shah</v>
      </c>
      <c r="V112" s="80" t="str">
        <f>IF(ISNA(VLOOKUP($B112&amp;":"&amp;V$3,'x - authors'!$B$3:$E$10000,4,FALSE)),"",VLOOKUP($B112&amp;":"&amp;V$3,'x - authors'!$B$3:$E$10000,4,FALSE))</f>
        <v>boleslaw_szymanski</v>
      </c>
      <c r="W112" s="80" t="str">
        <f>IF(ISNA(VLOOKUP($B112&amp;":"&amp;W$3,'x - authors'!$B$3:$E$10000,4,FALSE)),"",VLOOKUP($B112&amp;":"&amp;W$3,'x - authors'!$B$3:$E$10000,4,FALSE))</f>
        <v>petros_zerfos</v>
      </c>
      <c r="X112" s="80" t="str">
        <f>IF(ISNA(VLOOKUP($B112&amp;":"&amp;X$3,'x - authors'!$B$3:$E$10000,4,FALSE)),"",VLOOKUP($B112&amp;":"&amp;X$3,'x - authors'!$B$3:$E$10000,4,FALSE))</f>
        <v>christopher_gibson</v>
      </c>
      <c r="Y112" s="80" t="str">
        <f>IF(ISNA(VLOOKUP($B112&amp;":"&amp;Y$3,'x - authors'!$B$3:$E$10000,4,FALSE)),"",VLOOKUP($B112&amp;":"&amp;Y$3,'x - authors'!$B$3:$E$10000,4,FALSE))</f>
        <v/>
      </c>
      <c r="Z112" s="80" t="str">
        <f>IF(ISNA(VLOOKUP($B112&amp;":"&amp;Z$3,'x - authors'!$B$3:$E$10000,4,FALSE)),"",VLOOKUP($B112&amp;":"&amp;Z$3,'x - authors'!$B$3:$E$10000,4,FALSE))</f>
        <v/>
      </c>
      <c r="AA112" s="80" t="str">
        <f>IF(ISNA(VLOOKUP($B112&amp;":"&amp;AA$3,'x - authors'!$B$3:$E$10000,4,FALSE)),"",VLOOKUP($B112&amp;":"&amp;AA$3,'x - authors'!$B$3:$E$10000,4,FALSE))</f>
        <v/>
      </c>
      <c r="AB112" s="80" t="str">
        <f>IF(ISNA(VLOOKUP($B112&amp;":"&amp;AB$3,'x - authors'!$B$3:$E$10000,4,FALSE)),"",VLOOKUP($B112&amp;":"&amp;AB$3,'x - authors'!$B$3:$E$10000,4,FALSE))</f>
        <v/>
      </c>
      <c r="AC112" s="80" t="str">
        <f>IF(ISNA(VLOOKUP($B112&amp;":"&amp;AC$3,'x - authors'!$B$3:$E$10000,4,FALSE)),"",VLOOKUP($B112&amp;":"&amp;AC$3,'x - authors'!$B$3:$E$10000,4,FALSE))</f>
        <v/>
      </c>
      <c r="AD112" s="80" t="str">
        <f>IF(ISNA(VLOOKUP($B112&amp;":"&amp;AD$3,'x - authors'!$B$3:$E$10000,4,FALSE)),"",VLOOKUP($B112&amp;":"&amp;AD$3,'x - authors'!$B$3:$E$10000,4,FALSE))</f>
        <v/>
      </c>
      <c r="AE112" s="80" t="str">
        <f>IF(ISNA(VLOOKUP($B112&amp;":"&amp;AE$3,'x - authors'!$B$3:$E$10000,4,FALSE)),"",VLOOKUP($B112&amp;":"&amp;AE$3,'x - authors'!$B$3:$E$10000,4,FALSE))</f>
        <v/>
      </c>
      <c r="AF112" s="80" t="str">
        <f>IF(ISNA(VLOOKUP($B112&amp;":"&amp;AF$3,'x - authors'!$B$3:$E$10000,4,FALSE)),"",VLOOKUP($B112&amp;":"&amp;AF$3,'x - authors'!$B$3:$E$10000,4,FALSE))</f>
        <v/>
      </c>
      <c r="AG112" s="80" t="str">
        <f>IF(ISNA(VLOOKUP($B112&amp;":"&amp;AG$3,'x - authors'!$B$3:$E$10000,4,FALSE)),"",VLOOKUP($B112&amp;":"&amp;AG$3,'x - authors'!$B$3:$E$10000,4,FALSE))</f>
        <v/>
      </c>
      <c r="AH112" s="80" t="str">
        <f>IF(ISNA(VLOOKUP($B112&amp;":"&amp;AH$3,'x - authors'!$B$3:$E$10000,4,FALSE)),"",VLOOKUP($B112&amp;":"&amp;AH$3,'x - authors'!$B$3:$E$10000,4,FALSE))</f>
        <v/>
      </c>
      <c r="AI112" s="80" t="str">
        <f>IF(ISNA(VLOOKUP($B112&amp;":"&amp;AI$3,'x - authors'!$B$3:$E$10000,4,FALSE)),"",VLOOKUP($B112&amp;":"&amp;AI$3,'x - authors'!$B$3:$E$10000,4,FALSE))</f>
        <v/>
      </c>
    </row>
    <row r="113" spans="2:35">
      <c r="B113" s="65" t="s">
        <v>6184</v>
      </c>
      <c r="C113" s="65" t="s">
        <v>129</v>
      </c>
      <c r="D113" s="65" t="s">
        <v>6185</v>
      </c>
      <c r="E113" s="41" t="s">
        <v>1028</v>
      </c>
      <c r="F113" s="65" t="s">
        <v>5461</v>
      </c>
      <c r="G113" s="65"/>
      <c r="H113" s="65" t="s">
        <v>6186</v>
      </c>
      <c r="I113" s="65"/>
      <c r="J113" s="65" t="s">
        <v>6189</v>
      </c>
      <c r="K113" s="65"/>
      <c r="L113" s="65" t="s">
        <v>6190</v>
      </c>
      <c r="M113" s="65"/>
      <c r="N113" s="65"/>
      <c r="O113" s="15" t="str">
        <f t="shared" si="1"/>
        <v>citation:doc-2764b-01</v>
      </c>
      <c r="Q113" s="15" t="str">
        <f>VLOOKUP($O113,'x - paper citations'!$B$3:$E$2000,2,FALSE)</f>
        <v>https://scholar.google.co.uk/scholar?q="Reasoning with Streamed Uncertain Information from Unreliale Resources"&amp;btnG=&amp;hl=en&amp;as_sdt=0,5</v>
      </c>
      <c r="R113" s="15">
        <f>VLOOKUP($O113,'x - paper citations'!$B$3:$E$2000,3,FALSE)</f>
        <v>0</v>
      </c>
      <c r="S113" s="15" t="str">
        <f>VLOOKUP($O113,'x - paper citations'!$B$3:$E$2000,4,FALSE)</f>
        <v>19/01/2016</v>
      </c>
      <c r="U113" s="80" t="str">
        <f>IF(ISNA(VLOOKUP($B113&amp;":"&amp;U$3,'x - authors'!$B$3:$E$10000,4,FALSE)),"",VLOOKUP($B113&amp;":"&amp;U$3,'x - authors'!$B$3:$E$10000,4,FALSE))</f>
        <v>saritha_arunkumar</v>
      </c>
      <c r="V113" s="80" t="str">
        <f>IF(ISNA(VLOOKUP($B113&amp;":"&amp;V$3,'x - authors'!$B$3:$E$10000,4,FALSE)),"",VLOOKUP($B113&amp;":"&amp;V$3,'x - authors'!$B$3:$E$10000,4,FALSE))</f>
        <v>murat_sensoy</v>
      </c>
      <c r="W113" s="80" t="str">
        <f>IF(ISNA(VLOOKUP($B113&amp;":"&amp;W$3,'x - authors'!$B$3:$E$10000,4,FALSE)),"",VLOOKUP($B113&amp;":"&amp;W$3,'x - authors'!$B$3:$E$10000,4,FALSE))</f>
        <v>mudhakar_srivatsa</v>
      </c>
      <c r="X113" s="80" t="str">
        <f>IF(ISNA(VLOOKUP($B113&amp;":"&amp;X$3,'x - authors'!$B$3:$E$10000,4,FALSE)),"",VLOOKUP($B113&amp;":"&amp;X$3,'x - authors'!$B$3:$E$10000,4,FALSE))</f>
        <v>muttukrishnan_rajarajan</v>
      </c>
      <c r="Y113" s="80" t="str">
        <f>IF(ISNA(VLOOKUP($B113&amp;":"&amp;Y$3,'x - authors'!$B$3:$E$10000,4,FALSE)),"",VLOOKUP($B113&amp;":"&amp;Y$3,'x - authors'!$B$3:$E$10000,4,FALSE))</f>
        <v/>
      </c>
      <c r="Z113" s="80" t="str">
        <f>IF(ISNA(VLOOKUP($B113&amp;":"&amp;Z$3,'x - authors'!$B$3:$E$10000,4,FALSE)),"",VLOOKUP($B113&amp;":"&amp;Z$3,'x - authors'!$B$3:$E$10000,4,FALSE))</f>
        <v/>
      </c>
      <c r="AA113" s="80" t="str">
        <f>IF(ISNA(VLOOKUP($B113&amp;":"&amp;AA$3,'x - authors'!$B$3:$E$10000,4,FALSE)),"",VLOOKUP($B113&amp;":"&amp;AA$3,'x - authors'!$B$3:$E$10000,4,FALSE))</f>
        <v/>
      </c>
      <c r="AB113" s="80" t="str">
        <f>IF(ISNA(VLOOKUP($B113&amp;":"&amp;AB$3,'x - authors'!$B$3:$E$10000,4,FALSE)),"",VLOOKUP($B113&amp;":"&amp;AB$3,'x - authors'!$B$3:$E$10000,4,FALSE))</f>
        <v/>
      </c>
      <c r="AC113" s="80" t="str">
        <f>IF(ISNA(VLOOKUP($B113&amp;":"&amp;AC$3,'x - authors'!$B$3:$E$10000,4,FALSE)),"",VLOOKUP($B113&amp;":"&amp;AC$3,'x - authors'!$B$3:$E$10000,4,FALSE))</f>
        <v/>
      </c>
      <c r="AD113" s="80" t="str">
        <f>IF(ISNA(VLOOKUP($B113&amp;":"&amp;AD$3,'x - authors'!$B$3:$E$10000,4,FALSE)),"",VLOOKUP($B113&amp;":"&amp;AD$3,'x - authors'!$B$3:$E$10000,4,FALSE))</f>
        <v/>
      </c>
      <c r="AE113" s="80" t="str">
        <f>IF(ISNA(VLOOKUP($B113&amp;":"&amp;AE$3,'x - authors'!$B$3:$E$10000,4,FALSE)),"",VLOOKUP($B113&amp;":"&amp;AE$3,'x - authors'!$B$3:$E$10000,4,FALSE))</f>
        <v/>
      </c>
      <c r="AF113" s="80" t="str">
        <f>IF(ISNA(VLOOKUP($B113&amp;":"&amp;AF$3,'x - authors'!$B$3:$E$10000,4,FALSE)),"",VLOOKUP($B113&amp;":"&amp;AF$3,'x - authors'!$B$3:$E$10000,4,FALSE))</f>
        <v/>
      </c>
      <c r="AG113" s="80" t="str">
        <f>IF(ISNA(VLOOKUP($B113&amp;":"&amp;AG$3,'x - authors'!$B$3:$E$10000,4,FALSE)),"",VLOOKUP($B113&amp;":"&amp;AG$3,'x - authors'!$B$3:$E$10000,4,FALSE))</f>
        <v/>
      </c>
      <c r="AH113" s="80" t="str">
        <f>IF(ISNA(VLOOKUP($B113&amp;":"&amp;AH$3,'x - authors'!$B$3:$E$10000,4,FALSE)),"",VLOOKUP($B113&amp;":"&amp;AH$3,'x - authors'!$B$3:$E$10000,4,FALSE))</f>
        <v/>
      </c>
      <c r="AI113" s="80" t="str">
        <f>IF(ISNA(VLOOKUP($B113&amp;":"&amp;AI$3,'x - authors'!$B$3:$E$10000,4,FALSE)),"",VLOOKUP($B113&amp;":"&amp;AI$3,'x - authors'!$B$3:$E$10000,4,FALSE))</f>
        <v/>
      </c>
    </row>
    <row r="114" spans="2:35">
      <c r="B114" s="65" t="s">
        <v>6191</v>
      </c>
      <c r="C114" s="65" t="s">
        <v>129</v>
      </c>
      <c r="D114" s="65" t="s">
        <v>6192</v>
      </c>
      <c r="E114" s="41" t="s">
        <v>1028</v>
      </c>
      <c r="F114" s="65" t="s">
        <v>5461</v>
      </c>
      <c r="G114" s="65"/>
      <c r="H114" s="65" t="s">
        <v>6193</v>
      </c>
      <c r="I114" s="65"/>
      <c r="J114" s="65" t="s">
        <v>6195</v>
      </c>
      <c r="K114" s="65"/>
      <c r="L114" s="65" t="s">
        <v>6196</v>
      </c>
      <c r="M114" s="65"/>
      <c r="N114" s="65"/>
      <c r="O114" s="15" t="str">
        <f t="shared" si="1"/>
        <v>citation:doc-2765b-01</v>
      </c>
      <c r="Q114" s="15" t="str">
        <f>VLOOKUP($O114,'x - paper citations'!$B$3:$E$2000,2,FALSE)</f>
        <v>https://scholar.google.co.uk/scholar?q="Review paper on Preserving Privacy in Mobile Environments"&amp;btnG=&amp;hl=en&amp;as_sdt=0,5</v>
      </c>
      <c r="R114" s="15">
        <f>VLOOKUP($O114,'x - paper citations'!$B$3:$E$2000,3,FALSE)</f>
        <v>1</v>
      </c>
      <c r="S114" s="15" t="str">
        <f>VLOOKUP($O114,'x - paper citations'!$B$3:$E$2000,4,FALSE)</f>
        <v>12/01/2016</v>
      </c>
      <c r="U114" s="80" t="str">
        <f>IF(ISNA(VLOOKUP($B114&amp;":"&amp;U$3,'x - authors'!$B$3:$E$10000,4,FALSE)),"",VLOOKUP($B114&amp;":"&amp;U$3,'x - authors'!$B$3:$E$10000,4,FALSE))</f>
        <v>saritha_arunkumar</v>
      </c>
      <c r="V114" s="80" t="str">
        <f>IF(ISNA(VLOOKUP($B114&amp;":"&amp;V$3,'x - authors'!$B$3:$E$10000,4,FALSE)),"",VLOOKUP($B114&amp;":"&amp;V$3,'x - authors'!$B$3:$E$10000,4,FALSE))</f>
        <v>muttukrishnan_rajarajan</v>
      </c>
      <c r="W114" s="80" t="str">
        <f>IF(ISNA(VLOOKUP($B114&amp;":"&amp;W$3,'x - authors'!$B$3:$E$10000,4,FALSE)),"",VLOOKUP($B114&amp;":"&amp;W$3,'x - authors'!$B$3:$E$10000,4,FALSE))</f>
        <v>mudhakar_srivatsa</v>
      </c>
      <c r="X114" s="80" t="str">
        <f>IF(ISNA(VLOOKUP($B114&amp;":"&amp;X$3,'x - authors'!$B$3:$E$10000,4,FALSE)),"",VLOOKUP($B114&amp;":"&amp;X$3,'x - authors'!$B$3:$E$10000,4,FALSE))</f>
        <v/>
      </c>
      <c r="Y114" s="80" t="str">
        <f>IF(ISNA(VLOOKUP($B114&amp;":"&amp;Y$3,'x - authors'!$B$3:$E$10000,4,FALSE)),"",VLOOKUP($B114&amp;":"&amp;Y$3,'x - authors'!$B$3:$E$10000,4,FALSE))</f>
        <v/>
      </c>
      <c r="Z114" s="80" t="str">
        <f>IF(ISNA(VLOOKUP($B114&amp;":"&amp;Z$3,'x - authors'!$B$3:$E$10000,4,FALSE)),"",VLOOKUP($B114&amp;":"&amp;Z$3,'x - authors'!$B$3:$E$10000,4,FALSE))</f>
        <v/>
      </c>
      <c r="AA114" s="80" t="str">
        <f>IF(ISNA(VLOOKUP($B114&amp;":"&amp;AA$3,'x - authors'!$B$3:$E$10000,4,FALSE)),"",VLOOKUP($B114&amp;":"&amp;AA$3,'x - authors'!$B$3:$E$10000,4,FALSE))</f>
        <v/>
      </c>
      <c r="AB114" s="80" t="str">
        <f>IF(ISNA(VLOOKUP($B114&amp;":"&amp;AB$3,'x - authors'!$B$3:$E$10000,4,FALSE)),"",VLOOKUP($B114&amp;":"&amp;AB$3,'x - authors'!$B$3:$E$10000,4,FALSE))</f>
        <v/>
      </c>
      <c r="AC114" s="80" t="str">
        <f>IF(ISNA(VLOOKUP($B114&amp;":"&amp;AC$3,'x - authors'!$B$3:$E$10000,4,FALSE)),"",VLOOKUP($B114&amp;":"&amp;AC$3,'x - authors'!$B$3:$E$10000,4,FALSE))</f>
        <v/>
      </c>
      <c r="AD114" s="80" t="str">
        <f>IF(ISNA(VLOOKUP($B114&amp;":"&amp;AD$3,'x - authors'!$B$3:$E$10000,4,FALSE)),"",VLOOKUP($B114&amp;":"&amp;AD$3,'x - authors'!$B$3:$E$10000,4,FALSE))</f>
        <v/>
      </c>
      <c r="AE114" s="80" t="str">
        <f>IF(ISNA(VLOOKUP($B114&amp;":"&amp;AE$3,'x - authors'!$B$3:$E$10000,4,FALSE)),"",VLOOKUP($B114&amp;":"&amp;AE$3,'x - authors'!$B$3:$E$10000,4,FALSE))</f>
        <v/>
      </c>
      <c r="AF114" s="80" t="str">
        <f>IF(ISNA(VLOOKUP($B114&amp;":"&amp;AF$3,'x - authors'!$B$3:$E$10000,4,FALSE)),"",VLOOKUP($B114&amp;":"&amp;AF$3,'x - authors'!$B$3:$E$10000,4,FALSE))</f>
        <v/>
      </c>
      <c r="AG114" s="80" t="str">
        <f>IF(ISNA(VLOOKUP($B114&amp;":"&amp;AG$3,'x - authors'!$B$3:$E$10000,4,FALSE)),"",VLOOKUP($B114&amp;":"&amp;AG$3,'x - authors'!$B$3:$E$10000,4,FALSE))</f>
        <v/>
      </c>
      <c r="AH114" s="80" t="str">
        <f>IF(ISNA(VLOOKUP($B114&amp;":"&amp;AH$3,'x - authors'!$B$3:$E$10000,4,FALSE)),"",VLOOKUP($B114&amp;":"&amp;AH$3,'x - authors'!$B$3:$E$10000,4,FALSE))</f>
        <v/>
      </c>
      <c r="AI114" s="80" t="str">
        <f>IF(ISNA(VLOOKUP($B114&amp;":"&amp;AI$3,'x - authors'!$B$3:$E$10000,4,FALSE)),"",VLOOKUP($B114&amp;":"&amp;AI$3,'x - authors'!$B$3:$E$10000,4,FALSE))</f>
        <v/>
      </c>
    </row>
    <row r="115" spans="2:35">
      <c r="B115" s="65" t="s">
        <v>6197</v>
      </c>
      <c r="C115" s="65" t="s">
        <v>129</v>
      </c>
      <c r="D115" s="65" t="s">
        <v>6198</v>
      </c>
      <c r="E115" s="41" t="s">
        <v>1028</v>
      </c>
      <c r="F115" s="65" t="s">
        <v>5460</v>
      </c>
      <c r="G115" s="65"/>
      <c r="H115" s="65" t="s">
        <v>6199</v>
      </c>
      <c r="I115" s="65"/>
      <c r="J115" s="65" t="s">
        <v>6201</v>
      </c>
      <c r="K115" s="65"/>
      <c r="L115" s="65" t="s">
        <v>6202</v>
      </c>
      <c r="M115" s="65"/>
      <c r="N115" s="65"/>
      <c r="O115" s="15" t="str">
        <f t="shared" si="1"/>
        <v>citation:doc-2843-01</v>
      </c>
      <c r="Q115" s="15" t="str">
        <f>VLOOKUP($O115,'x - paper citations'!$B$3:$E$2000,2,FALSE)</f>
        <v>https://scholar.google.co.uk/scholar?q="Enforcement of Autonomous Authorizations in Collaborative Distributed Query Evaluation"&amp;btnG=&amp;hl=en&amp;as_sdt=0,5</v>
      </c>
      <c r="R115" s="15">
        <f>VLOOKUP($O115,'x - paper citations'!$B$3:$E$2000,3,FALSE)</f>
        <v>1</v>
      </c>
      <c r="S115" s="15" t="str">
        <f>VLOOKUP($O115,'x - paper citations'!$B$3:$E$2000,4,FALSE)</f>
        <v>11/01/2016</v>
      </c>
      <c r="U115" s="80" t="str">
        <f>IF(ISNA(VLOOKUP($B115&amp;":"&amp;U$3,'x - authors'!$B$3:$E$10000,4,FALSE)),"",VLOOKUP($B115&amp;":"&amp;U$3,'x - authors'!$B$3:$E$10000,4,FALSE))</f>
        <v>qiang_zeng</v>
      </c>
      <c r="V115" s="80" t="str">
        <f>IF(ISNA(VLOOKUP($B115&amp;":"&amp;V$3,'x - authors'!$B$3:$E$10000,4,FALSE)),"",VLOOKUP($B115&amp;":"&amp;V$3,'x - authors'!$B$3:$E$10000,4,FALSE))</f>
        <v>mingyi_zhao</v>
      </c>
      <c r="W115" s="80" t="str">
        <f>IF(ISNA(VLOOKUP($B115&amp;":"&amp;W$3,'x - authors'!$B$3:$E$10000,4,FALSE)),"",VLOOKUP($B115&amp;":"&amp;W$3,'x - authors'!$B$3:$E$10000,4,FALSE))</f>
        <v>peng_liu</v>
      </c>
      <c r="X115" s="80" t="str">
        <f>IF(ISNA(VLOOKUP($B115&amp;":"&amp;X$3,'x - authors'!$B$3:$E$10000,4,FALSE)),"",VLOOKUP($B115&amp;":"&amp;X$3,'x - authors'!$B$3:$E$10000,4,FALSE))</f>
        <v>poonam_yadav</v>
      </c>
      <c r="Y115" s="80" t="str">
        <f>IF(ISNA(VLOOKUP($B115&amp;":"&amp;Y$3,'x - authors'!$B$3:$E$10000,4,FALSE)),"",VLOOKUP($B115&amp;":"&amp;Y$3,'x - authors'!$B$3:$E$10000,4,FALSE))</f>
        <v>seraphin_calo</v>
      </c>
      <c r="Z115" s="80" t="str">
        <f>IF(ISNA(VLOOKUP($B115&amp;":"&amp;Z$3,'x - authors'!$B$3:$E$10000,4,FALSE)),"",VLOOKUP($B115&amp;":"&amp;Z$3,'x - authors'!$B$3:$E$10000,4,FALSE))</f>
        <v>jorge_lobo</v>
      </c>
      <c r="AA115" s="80" t="str">
        <f>IF(ISNA(VLOOKUP($B115&amp;":"&amp;AA$3,'x - authors'!$B$3:$E$10000,4,FALSE)),"",VLOOKUP($B115&amp;":"&amp;AA$3,'x - authors'!$B$3:$E$10000,4,FALSE))</f>
        <v/>
      </c>
      <c r="AB115" s="80" t="str">
        <f>IF(ISNA(VLOOKUP($B115&amp;":"&amp;AB$3,'x - authors'!$B$3:$E$10000,4,FALSE)),"",VLOOKUP($B115&amp;":"&amp;AB$3,'x - authors'!$B$3:$E$10000,4,FALSE))</f>
        <v/>
      </c>
      <c r="AC115" s="80" t="str">
        <f>IF(ISNA(VLOOKUP($B115&amp;":"&amp;AC$3,'x - authors'!$B$3:$E$10000,4,FALSE)),"",VLOOKUP($B115&amp;":"&amp;AC$3,'x - authors'!$B$3:$E$10000,4,FALSE))</f>
        <v/>
      </c>
      <c r="AD115" s="80" t="str">
        <f>IF(ISNA(VLOOKUP($B115&amp;":"&amp;AD$3,'x - authors'!$B$3:$E$10000,4,FALSE)),"",VLOOKUP($B115&amp;":"&amp;AD$3,'x - authors'!$B$3:$E$10000,4,FALSE))</f>
        <v/>
      </c>
      <c r="AE115" s="80" t="str">
        <f>IF(ISNA(VLOOKUP($B115&amp;":"&amp;AE$3,'x - authors'!$B$3:$E$10000,4,FALSE)),"",VLOOKUP($B115&amp;":"&amp;AE$3,'x - authors'!$B$3:$E$10000,4,FALSE))</f>
        <v/>
      </c>
      <c r="AF115" s="80" t="str">
        <f>IF(ISNA(VLOOKUP($B115&amp;":"&amp;AF$3,'x - authors'!$B$3:$E$10000,4,FALSE)),"",VLOOKUP($B115&amp;":"&amp;AF$3,'x - authors'!$B$3:$E$10000,4,FALSE))</f>
        <v/>
      </c>
      <c r="AG115" s="80" t="str">
        <f>IF(ISNA(VLOOKUP($B115&amp;":"&amp;AG$3,'x - authors'!$B$3:$E$10000,4,FALSE)),"",VLOOKUP($B115&amp;":"&amp;AG$3,'x - authors'!$B$3:$E$10000,4,FALSE))</f>
        <v/>
      </c>
      <c r="AH115" s="80" t="str">
        <f>IF(ISNA(VLOOKUP($B115&amp;":"&amp;AH$3,'x - authors'!$B$3:$E$10000,4,FALSE)),"",VLOOKUP($B115&amp;":"&amp;AH$3,'x - authors'!$B$3:$E$10000,4,FALSE))</f>
        <v/>
      </c>
      <c r="AI115" s="80" t="str">
        <f>IF(ISNA(VLOOKUP($B115&amp;":"&amp;AI$3,'x - authors'!$B$3:$E$10000,4,FALSE)),"",VLOOKUP($B115&amp;":"&amp;AI$3,'x - authors'!$B$3:$E$10000,4,FALSE))</f>
        <v/>
      </c>
    </row>
    <row r="116" spans="2:35">
      <c r="B116" s="65" t="s">
        <v>6203</v>
      </c>
      <c r="C116" s="65" t="s">
        <v>129</v>
      </c>
      <c r="D116" s="65" t="s">
        <v>6204</v>
      </c>
      <c r="E116" s="41" t="s">
        <v>1031</v>
      </c>
      <c r="F116" s="65" t="s">
        <v>5460</v>
      </c>
      <c r="G116" s="65"/>
      <c r="H116" s="65" t="s">
        <v>6166</v>
      </c>
      <c r="I116" s="65"/>
      <c r="J116" s="65"/>
      <c r="K116" s="65"/>
      <c r="L116" s="65"/>
      <c r="M116" s="65"/>
      <c r="N116" s="65"/>
      <c r="O116" s="15" t="str">
        <f t="shared" si="1"/>
        <v>citation:doc-2905-01</v>
      </c>
      <c r="Q116" s="15" t="str">
        <f>VLOOKUP($O116,'x - paper citations'!$B$3:$E$2000,2,FALSE)</f>
        <v>https://scholar.google.co.uk/scholar?q=%22Online Workload Placement with Provable Performance Guarantees in Cloud Environments%22&amp;btnG=&amp;hl=en&amp;as_sdt=0%2C5</v>
      </c>
      <c r="R116" s="15">
        <f>VLOOKUP($O116,'x - paper citations'!$B$3:$E$2000,3,FALSE)</f>
        <v>0</v>
      </c>
      <c r="S116" s="15" t="str">
        <f>VLOOKUP($O116,'x - paper citations'!$B$3:$E$2000,4,FALSE)</f>
        <v>14/03/2016</v>
      </c>
      <c r="U116" s="80" t="str">
        <f>IF(ISNA(VLOOKUP($B116&amp;":"&amp;U$3,'x - authors'!$B$3:$E$10000,4,FALSE)),"",VLOOKUP($B116&amp;":"&amp;U$3,'x - authors'!$B$3:$E$10000,4,FALSE))</f>
        <v>shiqiang_wang</v>
      </c>
      <c r="V116" s="80" t="str">
        <f>IF(ISNA(VLOOKUP($B116&amp;":"&amp;V$3,'x - authors'!$B$3:$E$10000,4,FALSE)),"",VLOOKUP($B116&amp;":"&amp;V$3,'x - authors'!$B$3:$E$10000,4,FALSE))</f>
        <v>murtaza_zafer</v>
      </c>
      <c r="W116" s="80" t="str">
        <f>IF(ISNA(VLOOKUP($B116&amp;":"&amp;W$3,'x - authors'!$B$3:$E$10000,4,FALSE)),"",VLOOKUP($B116&amp;":"&amp;W$3,'x - authors'!$B$3:$E$10000,4,FALSE))</f>
        <v>kin_leung</v>
      </c>
      <c r="X116" s="80" t="str">
        <f>IF(ISNA(VLOOKUP($B116&amp;":"&amp;X$3,'x - authors'!$B$3:$E$10000,4,FALSE)),"",VLOOKUP($B116&amp;":"&amp;X$3,'x - authors'!$B$3:$E$10000,4,FALSE))</f>
        <v/>
      </c>
      <c r="Y116" s="80" t="str">
        <f>IF(ISNA(VLOOKUP($B116&amp;":"&amp;Y$3,'x - authors'!$B$3:$E$10000,4,FALSE)),"",VLOOKUP($B116&amp;":"&amp;Y$3,'x - authors'!$B$3:$E$10000,4,FALSE))</f>
        <v/>
      </c>
      <c r="Z116" s="80" t="str">
        <f>IF(ISNA(VLOOKUP($B116&amp;":"&amp;Z$3,'x - authors'!$B$3:$E$10000,4,FALSE)),"",VLOOKUP($B116&amp;":"&amp;Z$3,'x - authors'!$B$3:$E$10000,4,FALSE))</f>
        <v/>
      </c>
      <c r="AA116" s="80" t="str">
        <f>IF(ISNA(VLOOKUP($B116&amp;":"&amp;AA$3,'x - authors'!$B$3:$E$10000,4,FALSE)),"",VLOOKUP($B116&amp;":"&amp;AA$3,'x - authors'!$B$3:$E$10000,4,FALSE))</f>
        <v/>
      </c>
      <c r="AB116" s="80" t="str">
        <f>IF(ISNA(VLOOKUP($B116&amp;":"&amp;AB$3,'x - authors'!$B$3:$E$10000,4,FALSE)),"",VLOOKUP($B116&amp;":"&amp;AB$3,'x - authors'!$B$3:$E$10000,4,FALSE))</f>
        <v/>
      </c>
      <c r="AC116" s="80" t="str">
        <f>IF(ISNA(VLOOKUP($B116&amp;":"&amp;AC$3,'x - authors'!$B$3:$E$10000,4,FALSE)),"",VLOOKUP($B116&amp;":"&amp;AC$3,'x - authors'!$B$3:$E$10000,4,FALSE))</f>
        <v/>
      </c>
      <c r="AD116" s="80" t="str">
        <f>IF(ISNA(VLOOKUP($B116&amp;":"&amp;AD$3,'x - authors'!$B$3:$E$10000,4,FALSE)),"",VLOOKUP($B116&amp;":"&amp;AD$3,'x - authors'!$B$3:$E$10000,4,FALSE))</f>
        <v/>
      </c>
      <c r="AE116" s="80" t="str">
        <f>IF(ISNA(VLOOKUP($B116&amp;":"&amp;AE$3,'x - authors'!$B$3:$E$10000,4,FALSE)),"",VLOOKUP($B116&amp;":"&amp;AE$3,'x - authors'!$B$3:$E$10000,4,FALSE))</f>
        <v/>
      </c>
      <c r="AF116" s="80" t="str">
        <f>IF(ISNA(VLOOKUP($B116&amp;":"&amp;AF$3,'x - authors'!$B$3:$E$10000,4,FALSE)),"",VLOOKUP($B116&amp;":"&amp;AF$3,'x - authors'!$B$3:$E$10000,4,FALSE))</f>
        <v/>
      </c>
      <c r="AG116" s="80" t="str">
        <f>IF(ISNA(VLOOKUP($B116&amp;":"&amp;AG$3,'x - authors'!$B$3:$E$10000,4,FALSE)),"",VLOOKUP($B116&amp;":"&amp;AG$3,'x - authors'!$B$3:$E$10000,4,FALSE))</f>
        <v/>
      </c>
      <c r="AH116" s="80" t="str">
        <f>IF(ISNA(VLOOKUP($B116&amp;":"&amp;AH$3,'x - authors'!$B$3:$E$10000,4,FALSE)),"",VLOOKUP($B116&amp;":"&amp;AH$3,'x - authors'!$B$3:$E$10000,4,FALSE))</f>
        <v/>
      </c>
      <c r="AI116" s="80" t="str">
        <f>IF(ISNA(VLOOKUP($B116&amp;":"&amp;AI$3,'x - authors'!$B$3:$E$10000,4,FALSE)),"",VLOOKUP($B116&amp;":"&amp;AI$3,'x - authors'!$B$3:$E$10000,4,FALSE))</f>
        <v/>
      </c>
    </row>
    <row r="117" spans="2:35">
      <c r="B117" s="65" t="s">
        <v>6207</v>
      </c>
      <c r="C117" s="65" t="s">
        <v>129</v>
      </c>
      <c r="D117" s="65" t="s">
        <v>6208</v>
      </c>
      <c r="E117" s="83" t="s">
        <v>1029</v>
      </c>
      <c r="F117" s="65" t="s">
        <v>5460</v>
      </c>
      <c r="G117" s="65"/>
      <c r="H117" s="65" t="s">
        <v>6209</v>
      </c>
      <c r="I117" s="65"/>
      <c r="J117" s="65" t="s">
        <v>6211</v>
      </c>
      <c r="K117" s="65"/>
      <c r="L117" s="65" t="s">
        <v>6212</v>
      </c>
      <c r="M117" s="65"/>
      <c r="N117" s="65"/>
      <c r="O117" s="15" t="str">
        <f t="shared" si="1"/>
        <v>citation:doc-2914-01</v>
      </c>
      <c r="Q117" s="15" t="str">
        <f>VLOOKUP($O117,'x - paper citations'!$B$3:$E$2000,2,FALSE)</f>
        <v>https://scholar.google.co.uk/scholar?q="Declarative Framework for Specification, Simulation and Analysis of Distributed Applications"&amp;btnG=&amp;hl=en&amp;as_sdt=0,5</v>
      </c>
      <c r="R117" s="15">
        <f>VLOOKUP($O117,'x - paper citations'!$B$3:$E$2000,3,FALSE)</f>
        <v>0</v>
      </c>
      <c r="S117" s="15" t="str">
        <f>VLOOKUP($O117,'x - paper citations'!$B$3:$E$2000,4,FALSE)</f>
        <v>19/01/2016</v>
      </c>
      <c r="U117" s="80" t="str">
        <f>IF(ISNA(VLOOKUP($B117&amp;":"&amp;U$3,'x - authors'!$B$3:$E$10000,4,FALSE)),"",VLOOKUP($B117&amp;":"&amp;U$3,'x - authors'!$B$3:$E$10000,4,FALSE))</f>
        <v>jiefei_ma</v>
      </c>
      <c r="V117" s="80" t="str">
        <f>IF(ISNA(VLOOKUP($B117&amp;":"&amp;V$3,'x - authors'!$B$3:$E$10000,4,FALSE)),"",VLOOKUP($B117&amp;":"&amp;V$3,'x - authors'!$B$3:$E$10000,4,FALSE))</f>
        <v>franck_le</v>
      </c>
      <c r="W117" s="80" t="str">
        <f>IF(ISNA(VLOOKUP($B117&amp;":"&amp;W$3,'x - authors'!$B$3:$E$10000,4,FALSE)),"",VLOOKUP($B117&amp;":"&amp;W$3,'x - authors'!$B$3:$E$10000,4,FALSE))</f>
        <v>alessandra_russo</v>
      </c>
      <c r="X117" s="80" t="str">
        <f>IF(ISNA(VLOOKUP($B117&amp;":"&amp;X$3,'x - authors'!$B$3:$E$10000,4,FALSE)),"",VLOOKUP($B117&amp;":"&amp;X$3,'x - authors'!$B$3:$E$10000,4,FALSE))</f>
        <v>jorge_lobo</v>
      </c>
      <c r="Y117" s="80" t="str">
        <f>IF(ISNA(VLOOKUP($B117&amp;":"&amp;Y$3,'x - authors'!$B$3:$E$10000,4,FALSE)),"",VLOOKUP($B117&amp;":"&amp;Y$3,'x - authors'!$B$3:$E$10000,4,FALSE))</f>
        <v/>
      </c>
      <c r="Z117" s="80" t="str">
        <f>IF(ISNA(VLOOKUP($B117&amp;":"&amp;Z$3,'x - authors'!$B$3:$E$10000,4,FALSE)),"",VLOOKUP($B117&amp;":"&amp;Z$3,'x - authors'!$B$3:$E$10000,4,FALSE))</f>
        <v/>
      </c>
      <c r="AA117" s="80" t="str">
        <f>IF(ISNA(VLOOKUP($B117&amp;":"&amp;AA$3,'x - authors'!$B$3:$E$10000,4,FALSE)),"",VLOOKUP($B117&amp;":"&amp;AA$3,'x - authors'!$B$3:$E$10000,4,FALSE))</f>
        <v/>
      </c>
      <c r="AB117" s="80" t="str">
        <f>IF(ISNA(VLOOKUP($B117&amp;":"&amp;AB$3,'x - authors'!$B$3:$E$10000,4,FALSE)),"",VLOOKUP($B117&amp;":"&amp;AB$3,'x - authors'!$B$3:$E$10000,4,FALSE))</f>
        <v/>
      </c>
      <c r="AC117" s="80" t="str">
        <f>IF(ISNA(VLOOKUP($B117&amp;":"&amp;AC$3,'x - authors'!$B$3:$E$10000,4,FALSE)),"",VLOOKUP($B117&amp;":"&amp;AC$3,'x - authors'!$B$3:$E$10000,4,FALSE))</f>
        <v/>
      </c>
      <c r="AD117" s="80" t="str">
        <f>IF(ISNA(VLOOKUP($B117&amp;":"&amp;AD$3,'x - authors'!$B$3:$E$10000,4,FALSE)),"",VLOOKUP($B117&amp;":"&amp;AD$3,'x - authors'!$B$3:$E$10000,4,FALSE))</f>
        <v/>
      </c>
      <c r="AE117" s="80" t="str">
        <f>IF(ISNA(VLOOKUP($B117&amp;":"&amp;AE$3,'x - authors'!$B$3:$E$10000,4,FALSE)),"",VLOOKUP($B117&amp;":"&amp;AE$3,'x - authors'!$B$3:$E$10000,4,FALSE))</f>
        <v/>
      </c>
      <c r="AF117" s="80" t="str">
        <f>IF(ISNA(VLOOKUP($B117&amp;":"&amp;AF$3,'x - authors'!$B$3:$E$10000,4,FALSE)),"",VLOOKUP($B117&amp;":"&amp;AF$3,'x - authors'!$B$3:$E$10000,4,FALSE))</f>
        <v/>
      </c>
      <c r="AG117" s="80" t="str">
        <f>IF(ISNA(VLOOKUP($B117&amp;":"&amp;AG$3,'x - authors'!$B$3:$E$10000,4,FALSE)),"",VLOOKUP($B117&amp;":"&amp;AG$3,'x - authors'!$B$3:$E$10000,4,FALSE))</f>
        <v/>
      </c>
      <c r="AH117" s="80" t="str">
        <f>IF(ISNA(VLOOKUP($B117&amp;":"&amp;AH$3,'x - authors'!$B$3:$E$10000,4,FALSE)),"",VLOOKUP($B117&amp;":"&amp;AH$3,'x - authors'!$B$3:$E$10000,4,FALSE))</f>
        <v/>
      </c>
      <c r="AI117" s="80" t="str">
        <f>IF(ISNA(VLOOKUP($B117&amp;":"&amp;AI$3,'x - authors'!$B$3:$E$10000,4,FALSE)),"",VLOOKUP($B117&amp;":"&amp;AI$3,'x - authors'!$B$3:$E$10000,4,FALSE))</f>
        <v/>
      </c>
    </row>
    <row r="118" spans="2:35">
      <c r="B118" s="65" t="s">
        <v>6213</v>
      </c>
      <c r="C118" s="65" t="s">
        <v>129</v>
      </c>
      <c r="D118" s="65" t="s">
        <v>6214</v>
      </c>
      <c r="E118" s="83" t="s">
        <v>1031</v>
      </c>
      <c r="F118" s="65" t="s">
        <v>5464</v>
      </c>
      <c r="G118" s="65"/>
      <c r="H118" s="65" t="s">
        <v>6215</v>
      </c>
      <c r="I118" s="65"/>
      <c r="J118" s="65" t="s">
        <v>6217</v>
      </c>
      <c r="K118" s="65"/>
      <c r="L118" s="65" t="s">
        <v>6218</v>
      </c>
      <c r="M118" s="65"/>
      <c r="N118" s="65"/>
      <c r="O118" s="15" t="str">
        <f t="shared" si="1"/>
        <v>citation:doc-2916-01</v>
      </c>
      <c r="Q118" s="15" t="str">
        <f>VLOOKUP($O118,'x - paper citations'!$B$3:$E$2000,2,FALSE)</f>
        <v>https://scholar.google.co.uk/scholar?q="Partial Observable Update for Subjective Logic and Its Application for Trust Estimation"&amp;btnG=&amp;hl=en&amp;as_sdt=0,5</v>
      </c>
      <c r="R118" s="15">
        <f>VLOOKUP($O118,'x - paper citations'!$B$3:$E$2000,3,FALSE)</f>
        <v>3</v>
      </c>
      <c r="S118" s="15" t="str">
        <f>VLOOKUP($O118,'x - paper citations'!$B$3:$E$2000,4,FALSE)</f>
        <v>19/01/2016</v>
      </c>
      <c r="U118" s="80" t="str">
        <f>IF(ISNA(VLOOKUP($B118&amp;":"&amp;U$3,'x - authors'!$B$3:$E$10000,4,FALSE)),"",VLOOKUP($B118&amp;":"&amp;U$3,'x - authors'!$B$3:$E$10000,4,FALSE))</f>
        <v>lance_kaplan</v>
      </c>
      <c r="V118" s="80" t="str">
        <f>IF(ISNA(VLOOKUP($B118&amp;":"&amp;V$3,'x - authors'!$B$3:$E$10000,4,FALSE)),"",VLOOKUP($B118&amp;":"&amp;V$3,'x - authors'!$B$3:$E$10000,4,FALSE))</f>
        <v>murat_sensoy</v>
      </c>
      <c r="W118" s="80" t="str">
        <f>IF(ISNA(VLOOKUP($B118&amp;":"&amp;W$3,'x - authors'!$B$3:$E$10000,4,FALSE)),"",VLOOKUP($B118&amp;":"&amp;W$3,'x - authors'!$B$3:$E$10000,4,FALSE))</f>
        <v>supriyo_chakraborty</v>
      </c>
      <c r="X118" s="80" t="str">
        <f>IF(ISNA(VLOOKUP($B118&amp;":"&amp;X$3,'x - authors'!$B$3:$E$10000,4,FALSE)),"",VLOOKUP($B118&amp;":"&amp;X$3,'x - authors'!$B$3:$E$10000,4,FALSE))</f>
        <v>geeth_de_mel</v>
      </c>
      <c r="Y118" s="80" t="str">
        <f>IF(ISNA(VLOOKUP($B118&amp;":"&amp;Y$3,'x - authors'!$B$3:$E$10000,4,FALSE)),"",VLOOKUP($B118&amp;":"&amp;Y$3,'x - authors'!$B$3:$E$10000,4,FALSE))</f>
        <v/>
      </c>
      <c r="Z118" s="80" t="str">
        <f>IF(ISNA(VLOOKUP($B118&amp;":"&amp;Z$3,'x - authors'!$B$3:$E$10000,4,FALSE)),"",VLOOKUP($B118&amp;":"&amp;Z$3,'x - authors'!$B$3:$E$10000,4,FALSE))</f>
        <v/>
      </c>
      <c r="AA118" s="80" t="str">
        <f>IF(ISNA(VLOOKUP($B118&amp;":"&amp;AA$3,'x - authors'!$B$3:$E$10000,4,FALSE)),"",VLOOKUP($B118&amp;":"&amp;AA$3,'x - authors'!$B$3:$E$10000,4,FALSE))</f>
        <v/>
      </c>
      <c r="AB118" s="80" t="str">
        <f>IF(ISNA(VLOOKUP($B118&amp;":"&amp;AB$3,'x - authors'!$B$3:$E$10000,4,FALSE)),"",VLOOKUP($B118&amp;":"&amp;AB$3,'x - authors'!$B$3:$E$10000,4,FALSE))</f>
        <v/>
      </c>
      <c r="AC118" s="80" t="str">
        <f>IF(ISNA(VLOOKUP($B118&amp;":"&amp;AC$3,'x - authors'!$B$3:$E$10000,4,FALSE)),"",VLOOKUP($B118&amp;":"&amp;AC$3,'x - authors'!$B$3:$E$10000,4,FALSE))</f>
        <v/>
      </c>
      <c r="AD118" s="80" t="str">
        <f>IF(ISNA(VLOOKUP($B118&amp;":"&amp;AD$3,'x - authors'!$B$3:$E$10000,4,FALSE)),"",VLOOKUP($B118&amp;":"&amp;AD$3,'x - authors'!$B$3:$E$10000,4,FALSE))</f>
        <v/>
      </c>
      <c r="AE118" s="80" t="str">
        <f>IF(ISNA(VLOOKUP($B118&amp;":"&amp;AE$3,'x - authors'!$B$3:$E$10000,4,FALSE)),"",VLOOKUP($B118&amp;":"&amp;AE$3,'x - authors'!$B$3:$E$10000,4,FALSE))</f>
        <v/>
      </c>
      <c r="AF118" s="80" t="str">
        <f>IF(ISNA(VLOOKUP($B118&amp;":"&amp;AF$3,'x - authors'!$B$3:$E$10000,4,FALSE)),"",VLOOKUP($B118&amp;":"&amp;AF$3,'x - authors'!$B$3:$E$10000,4,FALSE))</f>
        <v/>
      </c>
      <c r="AG118" s="80" t="str">
        <f>IF(ISNA(VLOOKUP($B118&amp;":"&amp;AG$3,'x - authors'!$B$3:$E$10000,4,FALSE)),"",VLOOKUP($B118&amp;":"&amp;AG$3,'x - authors'!$B$3:$E$10000,4,FALSE))</f>
        <v/>
      </c>
      <c r="AH118" s="80" t="str">
        <f>IF(ISNA(VLOOKUP($B118&amp;":"&amp;AH$3,'x - authors'!$B$3:$E$10000,4,FALSE)),"",VLOOKUP($B118&amp;":"&amp;AH$3,'x - authors'!$B$3:$E$10000,4,FALSE))</f>
        <v/>
      </c>
      <c r="AI118" s="80" t="str">
        <f>IF(ISNA(VLOOKUP($B118&amp;":"&amp;AI$3,'x - authors'!$B$3:$E$10000,4,FALSE)),"",VLOOKUP($B118&amp;":"&amp;AI$3,'x - authors'!$B$3:$E$10000,4,FALSE))</f>
        <v/>
      </c>
    </row>
    <row r="119" spans="2:35">
      <c r="B119" s="65" t="s">
        <v>6219</v>
      </c>
      <c r="C119" s="65" t="s">
        <v>129</v>
      </c>
      <c r="D119" s="65" t="s">
        <v>6220</v>
      </c>
      <c r="E119" s="83" t="s">
        <v>225</v>
      </c>
      <c r="F119" s="65" t="s">
        <v>5467</v>
      </c>
      <c r="G119" s="65"/>
      <c r="H119" s="65" t="s">
        <v>6221</v>
      </c>
      <c r="I119" s="65"/>
      <c r="J119" s="65" t="s">
        <v>6223</v>
      </c>
      <c r="K119" s="65"/>
      <c r="L119" s="65" t="s">
        <v>6224</v>
      </c>
      <c r="M119" s="65"/>
      <c r="N119" s="65"/>
      <c r="O119" s="15" t="str">
        <f t="shared" si="1"/>
        <v>citation:doc-x0006-01</v>
      </c>
      <c r="Q119" s="15" t="str">
        <f>VLOOKUP($O119,'x - paper citations'!$B$3:$E$2000,2,FALSE)</f>
        <v>https://scholar.google.co.uk/scholar?q=%22Dynamic Service Migration and Workload Scheduling in Edge-Clouds%22&amp;btnG=&amp;hl=en&amp;as_sdt=0%2C5</v>
      </c>
      <c r="R119" s="15">
        <f>VLOOKUP($O119,'x - paper citations'!$B$3:$E$2000,3,FALSE)</f>
        <v>5</v>
      </c>
      <c r="S119" s="15" t="str">
        <f>VLOOKUP($O119,'x - paper citations'!$B$3:$E$2000,4,FALSE)</f>
        <v>05/02/2016</v>
      </c>
      <c r="U119" s="80" t="str">
        <f>IF(ISNA(VLOOKUP($B119&amp;":"&amp;U$3,'x - authors'!$B$3:$E$10000,4,FALSE)),"",VLOOKUP($B119&amp;":"&amp;U$3,'x - authors'!$B$3:$E$10000,4,FALSE))</f>
        <v>rahul_urgaonkar</v>
      </c>
      <c r="V119" s="80" t="str">
        <f>IF(ISNA(VLOOKUP($B119&amp;":"&amp;V$3,'x - authors'!$B$3:$E$10000,4,FALSE)),"",VLOOKUP($B119&amp;":"&amp;V$3,'x - authors'!$B$3:$E$10000,4,FALSE))</f>
        <v>shiqiang_wang</v>
      </c>
      <c r="W119" s="80" t="str">
        <f>IF(ISNA(VLOOKUP($B119&amp;":"&amp;W$3,'x - authors'!$B$3:$E$10000,4,FALSE)),"",VLOOKUP($B119&amp;":"&amp;W$3,'x - authors'!$B$3:$E$10000,4,FALSE))</f>
        <v>ting_he</v>
      </c>
      <c r="X119" s="80" t="str">
        <f>IF(ISNA(VLOOKUP($B119&amp;":"&amp;X$3,'x - authors'!$B$3:$E$10000,4,FALSE)),"",VLOOKUP($B119&amp;":"&amp;X$3,'x - authors'!$B$3:$E$10000,4,FALSE))</f>
        <v>murtaza_zafer</v>
      </c>
      <c r="Y119" s="80" t="str">
        <f>IF(ISNA(VLOOKUP($B119&amp;":"&amp;Y$3,'x - authors'!$B$3:$E$10000,4,FALSE)),"",VLOOKUP($B119&amp;":"&amp;Y$3,'x - authors'!$B$3:$E$10000,4,FALSE))</f>
        <v>kevin_chan</v>
      </c>
      <c r="Z119" s="80" t="str">
        <f>IF(ISNA(VLOOKUP($B119&amp;":"&amp;Z$3,'x - authors'!$B$3:$E$10000,4,FALSE)),"",VLOOKUP($B119&amp;":"&amp;Z$3,'x - authors'!$B$3:$E$10000,4,FALSE))</f>
        <v>kin_leung</v>
      </c>
      <c r="AA119" s="80" t="str">
        <f>IF(ISNA(VLOOKUP($B119&amp;":"&amp;AA$3,'x - authors'!$B$3:$E$10000,4,FALSE)),"",VLOOKUP($B119&amp;":"&amp;AA$3,'x - authors'!$B$3:$E$10000,4,FALSE))</f>
        <v/>
      </c>
      <c r="AB119" s="80" t="str">
        <f>IF(ISNA(VLOOKUP($B119&amp;":"&amp;AB$3,'x - authors'!$B$3:$E$10000,4,FALSE)),"",VLOOKUP($B119&amp;":"&amp;AB$3,'x - authors'!$B$3:$E$10000,4,FALSE))</f>
        <v/>
      </c>
      <c r="AC119" s="80" t="str">
        <f>IF(ISNA(VLOOKUP($B119&amp;":"&amp;AC$3,'x - authors'!$B$3:$E$10000,4,FALSE)),"",VLOOKUP($B119&amp;":"&amp;AC$3,'x - authors'!$B$3:$E$10000,4,FALSE))</f>
        <v/>
      </c>
      <c r="AD119" s="80" t="str">
        <f>IF(ISNA(VLOOKUP($B119&amp;":"&amp;AD$3,'x - authors'!$B$3:$E$10000,4,FALSE)),"",VLOOKUP($B119&amp;":"&amp;AD$3,'x - authors'!$B$3:$E$10000,4,FALSE))</f>
        <v/>
      </c>
      <c r="AE119" s="80" t="str">
        <f>IF(ISNA(VLOOKUP($B119&amp;":"&amp;AE$3,'x - authors'!$B$3:$E$10000,4,FALSE)),"",VLOOKUP($B119&amp;":"&amp;AE$3,'x - authors'!$B$3:$E$10000,4,FALSE))</f>
        <v/>
      </c>
      <c r="AF119" s="80" t="str">
        <f>IF(ISNA(VLOOKUP($B119&amp;":"&amp;AF$3,'x - authors'!$B$3:$E$10000,4,FALSE)),"",VLOOKUP($B119&amp;":"&amp;AF$3,'x - authors'!$B$3:$E$10000,4,FALSE))</f>
        <v/>
      </c>
      <c r="AG119" s="80" t="str">
        <f>IF(ISNA(VLOOKUP($B119&amp;":"&amp;AG$3,'x - authors'!$B$3:$E$10000,4,FALSE)),"",VLOOKUP($B119&amp;":"&amp;AG$3,'x - authors'!$B$3:$E$10000,4,FALSE))</f>
        <v/>
      </c>
      <c r="AH119" s="80" t="str">
        <f>IF(ISNA(VLOOKUP($B119&amp;":"&amp;AH$3,'x - authors'!$B$3:$E$10000,4,FALSE)),"",VLOOKUP($B119&amp;":"&amp;AH$3,'x - authors'!$B$3:$E$10000,4,FALSE))</f>
        <v/>
      </c>
      <c r="AI119" s="80" t="str">
        <f>IF(ISNA(VLOOKUP($B119&amp;":"&amp;AI$3,'x - authors'!$B$3:$E$10000,4,FALSE)),"",VLOOKUP($B119&amp;":"&amp;AI$3,'x - authors'!$B$3:$E$10000,4,FALSE))</f>
        <v/>
      </c>
    </row>
    <row r="120" spans="2:35">
      <c r="B120" s="65" t="s">
        <v>6225</v>
      </c>
      <c r="C120" s="65" t="s">
        <v>129</v>
      </c>
      <c r="D120" s="65" t="s">
        <v>6226</v>
      </c>
      <c r="E120" s="83" t="s">
        <v>1034</v>
      </c>
      <c r="F120" s="65"/>
      <c r="G120" s="65"/>
      <c r="H120" s="65" t="s">
        <v>6227</v>
      </c>
      <c r="I120" s="65" t="s">
        <v>6231</v>
      </c>
      <c r="J120" s="65" t="s">
        <v>6229</v>
      </c>
      <c r="K120" s="65"/>
      <c r="L120" s="65" t="s">
        <v>6230</v>
      </c>
      <c r="M120" s="65"/>
      <c r="N120" s="65"/>
      <c r="O120" s="15" t="str">
        <f t="shared" si="1"/>
        <v>citation:doc-x0009-01</v>
      </c>
      <c r="Q120" s="15" t="str">
        <f>VLOOKUP($O120,'x - paper citations'!$B$3:$E$2000,2,FALSE)</f>
        <v>https://scholar.google.co.uk/scholar?q=%22Network Capability in Localizing Node Failures via End-to-end Path Measurements%22&amp;btnG=&amp;hl=en&amp;as_sdt=0%2C5</v>
      </c>
      <c r="R120" s="15">
        <f>VLOOKUP($O120,'x - paper citations'!$B$3:$E$2000,3,FALSE)</f>
        <v>0</v>
      </c>
      <c r="S120" s="15" t="str">
        <f>VLOOKUP($O120,'x - paper citations'!$B$3:$E$2000,4,FALSE)</f>
        <v>05/02/2016</v>
      </c>
      <c r="U120" s="80" t="str">
        <f>IF(ISNA(VLOOKUP($B120&amp;":"&amp;U$3,'x - authors'!$B$3:$E$10000,4,FALSE)),"",VLOOKUP($B120&amp;":"&amp;U$3,'x - authors'!$B$3:$E$10000,4,FALSE))</f>
        <v>liang_ma</v>
      </c>
      <c r="V120" s="80" t="str">
        <f>IF(ISNA(VLOOKUP($B120&amp;":"&amp;V$3,'x - authors'!$B$3:$E$10000,4,FALSE)),"",VLOOKUP($B120&amp;":"&amp;V$3,'x - authors'!$B$3:$E$10000,4,FALSE))</f>
        <v>ting_he</v>
      </c>
      <c r="W120" s="80" t="str">
        <f>IF(ISNA(VLOOKUP($B120&amp;":"&amp;W$3,'x - authors'!$B$3:$E$10000,4,FALSE)),"",VLOOKUP($B120&amp;":"&amp;W$3,'x - authors'!$B$3:$E$10000,4,FALSE))</f>
        <v>ananthram_swami</v>
      </c>
      <c r="X120" s="80" t="str">
        <f>IF(ISNA(VLOOKUP($B120&amp;":"&amp;X$3,'x - authors'!$B$3:$E$10000,4,FALSE)),"",VLOOKUP($B120&amp;":"&amp;X$3,'x - authors'!$B$3:$E$10000,4,FALSE))</f>
        <v>don_towsley</v>
      </c>
      <c r="Y120" s="80" t="str">
        <f>IF(ISNA(VLOOKUP($B120&amp;":"&amp;Y$3,'x - authors'!$B$3:$E$10000,4,FALSE)),"",VLOOKUP($B120&amp;":"&amp;Y$3,'x - authors'!$B$3:$E$10000,4,FALSE))</f>
        <v>kin_leung</v>
      </c>
      <c r="Z120" s="80" t="str">
        <f>IF(ISNA(VLOOKUP($B120&amp;":"&amp;Z$3,'x - authors'!$B$3:$E$10000,4,FALSE)),"",VLOOKUP($B120&amp;":"&amp;Z$3,'x - authors'!$B$3:$E$10000,4,FALSE))</f>
        <v/>
      </c>
      <c r="AA120" s="80" t="str">
        <f>IF(ISNA(VLOOKUP($B120&amp;":"&amp;AA$3,'x - authors'!$B$3:$E$10000,4,FALSE)),"",VLOOKUP($B120&amp;":"&amp;AA$3,'x - authors'!$B$3:$E$10000,4,FALSE))</f>
        <v/>
      </c>
      <c r="AB120" s="80" t="str">
        <f>IF(ISNA(VLOOKUP($B120&amp;":"&amp;AB$3,'x - authors'!$B$3:$E$10000,4,FALSE)),"",VLOOKUP($B120&amp;":"&amp;AB$3,'x - authors'!$B$3:$E$10000,4,FALSE))</f>
        <v/>
      </c>
      <c r="AC120" s="80" t="str">
        <f>IF(ISNA(VLOOKUP($B120&amp;":"&amp;AC$3,'x - authors'!$B$3:$E$10000,4,FALSE)),"",VLOOKUP($B120&amp;":"&amp;AC$3,'x - authors'!$B$3:$E$10000,4,FALSE))</f>
        <v/>
      </c>
      <c r="AD120" s="80" t="str">
        <f>IF(ISNA(VLOOKUP($B120&amp;":"&amp;AD$3,'x - authors'!$B$3:$E$10000,4,FALSE)),"",VLOOKUP($B120&amp;":"&amp;AD$3,'x - authors'!$B$3:$E$10000,4,FALSE))</f>
        <v/>
      </c>
      <c r="AE120" s="80" t="str">
        <f>IF(ISNA(VLOOKUP($B120&amp;":"&amp;AE$3,'x - authors'!$B$3:$E$10000,4,FALSE)),"",VLOOKUP($B120&amp;":"&amp;AE$3,'x - authors'!$B$3:$E$10000,4,FALSE))</f>
        <v/>
      </c>
      <c r="AF120" s="80" t="str">
        <f>IF(ISNA(VLOOKUP($B120&amp;":"&amp;AF$3,'x - authors'!$B$3:$E$10000,4,FALSE)),"",VLOOKUP($B120&amp;":"&amp;AF$3,'x - authors'!$B$3:$E$10000,4,FALSE))</f>
        <v/>
      </c>
      <c r="AG120" s="80" t="str">
        <f>IF(ISNA(VLOOKUP($B120&amp;":"&amp;AG$3,'x - authors'!$B$3:$E$10000,4,FALSE)),"",VLOOKUP($B120&amp;":"&amp;AG$3,'x - authors'!$B$3:$E$10000,4,FALSE))</f>
        <v/>
      </c>
      <c r="AH120" s="80" t="str">
        <f>IF(ISNA(VLOOKUP($B120&amp;":"&amp;AH$3,'x - authors'!$B$3:$E$10000,4,FALSE)),"",VLOOKUP($B120&amp;":"&amp;AH$3,'x - authors'!$B$3:$E$10000,4,FALSE))</f>
        <v/>
      </c>
      <c r="AI120" s="80" t="str">
        <f>IF(ISNA(VLOOKUP($B120&amp;":"&amp;AI$3,'x - authors'!$B$3:$E$10000,4,FALSE)),"",VLOOKUP($B120&amp;":"&amp;AI$3,'x - authors'!$B$3:$E$10000,4,FALSE))</f>
        <v/>
      </c>
    </row>
    <row r="121" spans="2:35">
      <c r="B121" s="65" t="s">
        <v>6232</v>
      </c>
      <c r="C121" s="65" t="s">
        <v>129</v>
      </c>
      <c r="D121" s="65" t="s">
        <v>6233</v>
      </c>
      <c r="E121" s="83" t="s">
        <v>1025</v>
      </c>
      <c r="F121" s="65"/>
      <c r="G121" s="65"/>
      <c r="H121" s="65" t="s">
        <v>6234</v>
      </c>
      <c r="I121" s="65"/>
      <c r="J121" s="65" t="s">
        <v>6236</v>
      </c>
      <c r="K121" s="65"/>
      <c r="L121" s="65" t="s">
        <v>6237</v>
      </c>
      <c r="M121" s="65"/>
      <c r="N121" s="65"/>
      <c r="O121" s="15" t="str">
        <f t="shared" si="1"/>
        <v>citation:doc-x0010-01</v>
      </c>
      <c r="Q121" s="15" t="str">
        <f>VLOOKUP($O121,'x - paper citations'!$B$3:$E$2000,2,FALSE)</f>
        <v>https://scholar.google.co.uk/scholar?q=%22Inferring Link Metrics from End-to-End Path Measurements: Identifiability and Monitor Placement%22&amp;btnG=&amp;hl=en&amp;as_sdt=0%2C5</v>
      </c>
      <c r="R121" s="15">
        <f>VLOOKUP($O121,'x - paper citations'!$B$3:$E$2000,3,FALSE)</f>
        <v>2</v>
      </c>
      <c r="S121" s="15" t="str">
        <f>VLOOKUP($O121,'x - paper citations'!$B$3:$E$2000,4,FALSE)</f>
        <v>05/02/2016</v>
      </c>
      <c r="U121" s="80" t="str">
        <f>IF(ISNA(VLOOKUP($B121&amp;":"&amp;U$3,'x - authors'!$B$3:$E$10000,4,FALSE)),"",VLOOKUP($B121&amp;":"&amp;U$3,'x - authors'!$B$3:$E$10000,4,FALSE))</f>
        <v>liang_ma</v>
      </c>
      <c r="V121" s="80" t="str">
        <f>IF(ISNA(VLOOKUP($B121&amp;":"&amp;V$3,'x - authors'!$B$3:$E$10000,4,FALSE)),"",VLOOKUP($B121&amp;":"&amp;V$3,'x - authors'!$B$3:$E$10000,4,FALSE))</f>
        <v>ting_he</v>
      </c>
      <c r="W121" s="80" t="str">
        <f>IF(ISNA(VLOOKUP($B121&amp;":"&amp;W$3,'x - authors'!$B$3:$E$10000,4,FALSE)),"",VLOOKUP($B121&amp;":"&amp;W$3,'x - authors'!$B$3:$E$10000,4,FALSE))</f>
        <v>kin_leung</v>
      </c>
      <c r="X121" s="80" t="str">
        <f>IF(ISNA(VLOOKUP($B121&amp;":"&amp;X$3,'x - authors'!$B$3:$E$10000,4,FALSE)),"",VLOOKUP($B121&amp;":"&amp;X$3,'x - authors'!$B$3:$E$10000,4,FALSE))</f>
        <v>ananthram_swami</v>
      </c>
      <c r="Y121" s="80" t="str">
        <f>IF(ISNA(VLOOKUP($B121&amp;":"&amp;Y$3,'x - authors'!$B$3:$E$10000,4,FALSE)),"",VLOOKUP($B121&amp;":"&amp;Y$3,'x - authors'!$B$3:$E$10000,4,FALSE))</f>
        <v>don_towsley</v>
      </c>
      <c r="Z121" s="80" t="str">
        <f>IF(ISNA(VLOOKUP($B121&amp;":"&amp;Z$3,'x - authors'!$B$3:$E$10000,4,FALSE)),"",VLOOKUP($B121&amp;":"&amp;Z$3,'x - authors'!$B$3:$E$10000,4,FALSE))</f>
        <v/>
      </c>
      <c r="AA121" s="80" t="str">
        <f>IF(ISNA(VLOOKUP($B121&amp;":"&amp;AA$3,'x - authors'!$B$3:$E$10000,4,FALSE)),"",VLOOKUP($B121&amp;":"&amp;AA$3,'x - authors'!$B$3:$E$10000,4,FALSE))</f>
        <v/>
      </c>
      <c r="AB121" s="80" t="str">
        <f>IF(ISNA(VLOOKUP($B121&amp;":"&amp;AB$3,'x - authors'!$B$3:$E$10000,4,FALSE)),"",VLOOKUP($B121&amp;":"&amp;AB$3,'x - authors'!$B$3:$E$10000,4,FALSE))</f>
        <v/>
      </c>
      <c r="AC121" s="80" t="str">
        <f>IF(ISNA(VLOOKUP($B121&amp;":"&amp;AC$3,'x - authors'!$B$3:$E$10000,4,FALSE)),"",VLOOKUP($B121&amp;":"&amp;AC$3,'x - authors'!$B$3:$E$10000,4,FALSE))</f>
        <v/>
      </c>
      <c r="AD121" s="80" t="str">
        <f>IF(ISNA(VLOOKUP($B121&amp;":"&amp;AD$3,'x - authors'!$B$3:$E$10000,4,FALSE)),"",VLOOKUP($B121&amp;":"&amp;AD$3,'x - authors'!$B$3:$E$10000,4,FALSE))</f>
        <v/>
      </c>
      <c r="AE121" s="80" t="str">
        <f>IF(ISNA(VLOOKUP($B121&amp;":"&amp;AE$3,'x - authors'!$B$3:$E$10000,4,FALSE)),"",VLOOKUP($B121&amp;":"&amp;AE$3,'x - authors'!$B$3:$E$10000,4,FALSE))</f>
        <v/>
      </c>
      <c r="AF121" s="80" t="str">
        <f>IF(ISNA(VLOOKUP($B121&amp;":"&amp;AF$3,'x - authors'!$B$3:$E$10000,4,FALSE)),"",VLOOKUP($B121&amp;":"&amp;AF$3,'x - authors'!$B$3:$E$10000,4,FALSE))</f>
        <v/>
      </c>
      <c r="AG121" s="80" t="str">
        <f>IF(ISNA(VLOOKUP($B121&amp;":"&amp;AG$3,'x - authors'!$B$3:$E$10000,4,FALSE)),"",VLOOKUP($B121&amp;":"&amp;AG$3,'x - authors'!$B$3:$E$10000,4,FALSE))</f>
        <v/>
      </c>
      <c r="AH121" s="80" t="str">
        <f>IF(ISNA(VLOOKUP($B121&amp;":"&amp;AH$3,'x - authors'!$B$3:$E$10000,4,FALSE)),"",VLOOKUP($B121&amp;":"&amp;AH$3,'x - authors'!$B$3:$E$10000,4,FALSE))</f>
        <v/>
      </c>
      <c r="AI121" s="80" t="str">
        <f>IF(ISNA(VLOOKUP($B121&amp;":"&amp;AI$3,'x - authors'!$B$3:$E$10000,4,FALSE)),"",VLOOKUP($B121&amp;":"&amp;AI$3,'x - authors'!$B$3:$E$10000,4,FALSE))</f>
        <v/>
      </c>
    </row>
    <row r="122" spans="2:35">
      <c r="B122" s="65" t="s">
        <v>6238</v>
      </c>
      <c r="C122" s="65" t="s">
        <v>129</v>
      </c>
      <c r="D122" s="65" t="s">
        <v>6239</v>
      </c>
      <c r="E122" s="83" t="s">
        <v>1042</v>
      </c>
      <c r="F122" s="65" t="s">
        <v>5470</v>
      </c>
      <c r="G122" s="65"/>
      <c r="H122" s="65" t="s">
        <v>6240</v>
      </c>
      <c r="I122" s="65"/>
      <c r="J122" s="65" t="s">
        <v>6242</v>
      </c>
      <c r="K122" s="65"/>
      <c r="L122" s="65" t="s">
        <v>6243</v>
      </c>
      <c r="M122" s="65"/>
      <c r="N122" s="65"/>
      <c r="O122" s="15" t="str">
        <f t="shared" si="1"/>
        <v>citation:doc-x0022-01</v>
      </c>
      <c r="Q122" s="15" t="str">
        <f>VLOOKUP($O122,'x - paper citations'!$B$3:$E$2000,2,FALSE)</f>
        <v>https://scholar.google.co.uk/scholar?q=%22Aggregating Crowdsourced Quantitative Claims: Additive and Multiplicative Models%22&amp;btnG=&amp;hl=en&amp;as_sdt=0%2C5</v>
      </c>
      <c r="R122" s="15">
        <f>VLOOKUP($O122,'x - paper citations'!$B$3:$E$2000,3,FALSE)</f>
        <v>0</v>
      </c>
      <c r="S122" s="15" t="str">
        <f>VLOOKUP($O122,'x - paper citations'!$B$3:$E$2000,4,FALSE)</f>
        <v>11/02/2016</v>
      </c>
      <c r="U122" s="80" t="str">
        <f>IF(ISNA(VLOOKUP($B122&amp;":"&amp;U$3,'x - authors'!$B$3:$E$10000,4,FALSE)),"",VLOOKUP($B122&amp;":"&amp;U$3,'x - authors'!$B$3:$E$10000,4,FALSE))</f>
        <v>wentao_ouyang</v>
      </c>
      <c r="V122" s="80" t="str">
        <f>IF(ISNA(VLOOKUP($B122&amp;":"&amp;V$3,'x - authors'!$B$3:$E$10000,4,FALSE)),"",VLOOKUP($B122&amp;":"&amp;V$3,'x - authors'!$B$3:$E$10000,4,FALSE))</f>
        <v>lance_kaplan</v>
      </c>
      <c r="W122" s="80" t="str">
        <f>IF(ISNA(VLOOKUP($B122&amp;":"&amp;W$3,'x - authors'!$B$3:$E$10000,4,FALSE)),"",VLOOKUP($B122&amp;":"&amp;W$3,'x - authors'!$B$3:$E$10000,4,FALSE))</f>
        <v>alice_toniolo</v>
      </c>
      <c r="X122" s="80" t="str">
        <f>IF(ISNA(VLOOKUP($B122&amp;":"&amp;X$3,'x - authors'!$B$3:$E$10000,4,FALSE)),"",VLOOKUP($B122&amp;":"&amp;X$3,'x - authors'!$B$3:$E$10000,4,FALSE))</f>
        <v>mani_srivastava</v>
      </c>
      <c r="Y122" s="80" t="str">
        <f>IF(ISNA(VLOOKUP($B122&amp;":"&amp;Y$3,'x - authors'!$B$3:$E$10000,4,FALSE)),"",VLOOKUP($B122&amp;":"&amp;Y$3,'x - authors'!$B$3:$E$10000,4,FALSE))</f>
        <v>timothy_norman</v>
      </c>
      <c r="Z122" s="80" t="str">
        <f>IF(ISNA(VLOOKUP($B122&amp;":"&amp;Z$3,'x - authors'!$B$3:$E$10000,4,FALSE)),"",VLOOKUP($B122&amp;":"&amp;Z$3,'x - authors'!$B$3:$E$10000,4,FALSE))</f>
        <v/>
      </c>
      <c r="AA122" s="80" t="str">
        <f>IF(ISNA(VLOOKUP($B122&amp;":"&amp;AA$3,'x - authors'!$B$3:$E$10000,4,FALSE)),"",VLOOKUP($B122&amp;":"&amp;AA$3,'x - authors'!$B$3:$E$10000,4,FALSE))</f>
        <v/>
      </c>
      <c r="AB122" s="80" t="str">
        <f>IF(ISNA(VLOOKUP($B122&amp;":"&amp;AB$3,'x - authors'!$B$3:$E$10000,4,FALSE)),"",VLOOKUP($B122&amp;":"&amp;AB$3,'x - authors'!$B$3:$E$10000,4,FALSE))</f>
        <v/>
      </c>
      <c r="AC122" s="80" t="str">
        <f>IF(ISNA(VLOOKUP($B122&amp;":"&amp;AC$3,'x - authors'!$B$3:$E$10000,4,FALSE)),"",VLOOKUP($B122&amp;":"&amp;AC$3,'x - authors'!$B$3:$E$10000,4,FALSE))</f>
        <v/>
      </c>
      <c r="AD122" s="80" t="str">
        <f>IF(ISNA(VLOOKUP($B122&amp;":"&amp;AD$3,'x - authors'!$B$3:$E$10000,4,FALSE)),"",VLOOKUP($B122&amp;":"&amp;AD$3,'x - authors'!$B$3:$E$10000,4,FALSE))</f>
        <v/>
      </c>
      <c r="AE122" s="80" t="str">
        <f>IF(ISNA(VLOOKUP($B122&amp;":"&amp;AE$3,'x - authors'!$B$3:$E$10000,4,FALSE)),"",VLOOKUP($B122&amp;":"&amp;AE$3,'x - authors'!$B$3:$E$10000,4,FALSE))</f>
        <v/>
      </c>
      <c r="AF122" s="80" t="str">
        <f>IF(ISNA(VLOOKUP($B122&amp;":"&amp;AF$3,'x - authors'!$B$3:$E$10000,4,FALSE)),"",VLOOKUP($B122&amp;":"&amp;AF$3,'x - authors'!$B$3:$E$10000,4,FALSE))</f>
        <v/>
      </c>
      <c r="AG122" s="80" t="str">
        <f>IF(ISNA(VLOOKUP($B122&amp;":"&amp;AG$3,'x - authors'!$B$3:$E$10000,4,FALSE)),"",VLOOKUP($B122&amp;":"&amp;AG$3,'x - authors'!$B$3:$E$10000,4,FALSE))</f>
        <v/>
      </c>
      <c r="AH122" s="80" t="str">
        <f>IF(ISNA(VLOOKUP($B122&amp;":"&amp;AH$3,'x - authors'!$B$3:$E$10000,4,FALSE)),"",VLOOKUP($B122&amp;":"&amp;AH$3,'x - authors'!$B$3:$E$10000,4,FALSE))</f>
        <v/>
      </c>
      <c r="AI122" s="80" t="str">
        <f>IF(ISNA(VLOOKUP($B122&amp;":"&amp;AI$3,'x - authors'!$B$3:$E$10000,4,FALSE)),"",VLOOKUP($B122&amp;":"&amp;AI$3,'x - authors'!$B$3:$E$10000,4,FALSE))</f>
        <v/>
      </c>
    </row>
    <row r="123" spans="2:35">
      <c r="B123" s="65" t="s">
        <v>6244</v>
      </c>
      <c r="C123" s="65" t="s">
        <v>129</v>
      </c>
      <c r="D123" s="65" t="s">
        <v>6245</v>
      </c>
      <c r="E123" s="83" t="s">
        <v>944</v>
      </c>
      <c r="F123" s="65"/>
      <c r="G123" s="65"/>
      <c r="H123" s="65" t="s">
        <v>6246</v>
      </c>
      <c r="I123" s="65"/>
      <c r="J123" s="65" t="s">
        <v>6248</v>
      </c>
      <c r="K123" s="65"/>
      <c r="L123" s="65" t="s">
        <v>6249</v>
      </c>
      <c r="M123" s="65"/>
      <c r="N123" s="65"/>
      <c r="O123" s="15" t="str">
        <f t="shared" si="1"/>
        <v>citation:doc-x0023-01</v>
      </c>
      <c r="Q123" s="15" t="str">
        <f>VLOOKUP($O123,'x - paper citations'!$B$3:$E$2000,2,FALSE)</f>
        <v>https://scholar.google.co.uk/scholar?q=%22A+new+paradigm+in+International+Collaboration%3A+The+US-UK+International+Technology+Alliance+in+Network+and+Information+Sciences%22&amp;btnG=&amp;hl=en&amp;as_sdt=0%2C5</v>
      </c>
      <c r="R123" s="15">
        <f>VLOOKUP($O123,'x - paper citations'!$B$3:$E$2000,3,FALSE)</f>
        <v>3</v>
      </c>
      <c r="S123" s="15" t="str">
        <f>VLOOKUP($O123,'x - paper citations'!$B$3:$E$2000,4,FALSE)</f>
        <v>09/02/2016</v>
      </c>
      <c r="U123" s="80" t="str">
        <f>IF(ISNA(VLOOKUP($B123&amp;":"&amp;U$3,'x - authors'!$B$3:$E$10000,4,FALSE)),"",VLOOKUP($B123&amp;":"&amp;U$3,'x - authors'!$B$3:$E$10000,4,FALSE))</f>
        <v>thomas_killion</v>
      </c>
      <c r="V123" s="80" t="str">
        <f>IF(ISNA(VLOOKUP($B123&amp;":"&amp;V$3,'x - authors'!$B$3:$E$10000,4,FALSE)),"",VLOOKUP($B123&amp;":"&amp;V$3,'x - authors'!$B$3:$E$10000,4,FALSE))</f>
        <v>phil_sutton</v>
      </c>
      <c r="W123" s="80" t="str">
        <f>IF(ISNA(VLOOKUP($B123&amp;":"&amp;W$3,'x - authors'!$B$3:$E$10000,4,FALSE)),"",VLOOKUP($B123&amp;":"&amp;W$3,'x - authors'!$B$3:$E$10000,4,FALSE))</f>
        <v>michael_frame</v>
      </c>
      <c r="X123" s="80" t="str">
        <f>IF(ISNA(VLOOKUP($B123&amp;":"&amp;X$3,'x - authors'!$B$3:$E$10000,4,FALSE)),"",VLOOKUP($B123&amp;":"&amp;X$3,'x - authors'!$B$3:$E$10000,4,FALSE))</f>
        <v>pearl_gendason</v>
      </c>
      <c r="Y123" s="80" t="str">
        <f>IF(ISNA(VLOOKUP($B123&amp;":"&amp;Y$3,'x - authors'!$B$3:$E$10000,4,FALSE)),"",VLOOKUP($B123&amp;":"&amp;Y$3,'x - authors'!$B$3:$E$10000,4,FALSE))</f>
        <v/>
      </c>
      <c r="Z123" s="80" t="str">
        <f>IF(ISNA(VLOOKUP($B123&amp;":"&amp;Z$3,'x - authors'!$B$3:$E$10000,4,FALSE)),"",VLOOKUP($B123&amp;":"&amp;Z$3,'x - authors'!$B$3:$E$10000,4,FALSE))</f>
        <v/>
      </c>
      <c r="AA123" s="80" t="str">
        <f>IF(ISNA(VLOOKUP($B123&amp;":"&amp;AA$3,'x - authors'!$B$3:$E$10000,4,FALSE)),"",VLOOKUP($B123&amp;":"&amp;AA$3,'x - authors'!$B$3:$E$10000,4,FALSE))</f>
        <v/>
      </c>
      <c r="AB123" s="80" t="str">
        <f>IF(ISNA(VLOOKUP($B123&amp;":"&amp;AB$3,'x - authors'!$B$3:$E$10000,4,FALSE)),"",VLOOKUP($B123&amp;":"&amp;AB$3,'x - authors'!$B$3:$E$10000,4,FALSE))</f>
        <v/>
      </c>
      <c r="AC123" s="80" t="str">
        <f>IF(ISNA(VLOOKUP($B123&amp;":"&amp;AC$3,'x - authors'!$B$3:$E$10000,4,FALSE)),"",VLOOKUP($B123&amp;":"&amp;AC$3,'x - authors'!$B$3:$E$10000,4,FALSE))</f>
        <v/>
      </c>
      <c r="AD123" s="80" t="str">
        <f>IF(ISNA(VLOOKUP($B123&amp;":"&amp;AD$3,'x - authors'!$B$3:$E$10000,4,FALSE)),"",VLOOKUP($B123&amp;":"&amp;AD$3,'x - authors'!$B$3:$E$10000,4,FALSE))</f>
        <v/>
      </c>
      <c r="AE123" s="80" t="str">
        <f>IF(ISNA(VLOOKUP($B123&amp;":"&amp;AE$3,'x - authors'!$B$3:$E$10000,4,FALSE)),"",VLOOKUP($B123&amp;":"&amp;AE$3,'x - authors'!$B$3:$E$10000,4,FALSE))</f>
        <v/>
      </c>
      <c r="AF123" s="80" t="str">
        <f>IF(ISNA(VLOOKUP($B123&amp;":"&amp;AF$3,'x - authors'!$B$3:$E$10000,4,FALSE)),"",VLOOKUP($B123&amp;":"&amp;AF$3,'x - authors'!$B$3:$E$10000,4,FALSE))</f>
        <v/>
      </c>
      <c r="AG123" s="80" t="str">
        <f>IF(ISNA(VLOOKUP($B123&amp;":"&amp;AG$3,'x - authors'!$B$3:$E$10000,4,FALSE)),"",VLOOKUP($B123&amp;":"&amp;AG$3,'x - authors'!$B$3:$E$10000,4,FALSE))</f>
        <v/>
      </c>
      <c r="AH123" s="80" t="str">
        <f>IF(ISNA(VLOOKUP($B123&amp;":"&amp;AH$3,'x - authors'!$B$3:$E$10000,4,FALSE)),"",VLOOKUP($B123&amp;":"&amp;AH$3,'x - authors'!$B$3:$E$10000,4,FALSE))</f>
        <v/>
      </c>
      <c r="AI123" s="80" t="str">
        <f>IF(ISNA(VLOOKUP($B123&amp;":"&amp;AI$3,'x - authors'!$B$3:$E$10000,4,FALSE)),"",VLOOKUP($B123&amp;":"&amp;AI$3,'x - authors'!$B$3:$E$10000,4,FALSE))</f>
        <v/>
      </c>
    </row>
    <row r="124" spans="2:35">
      <c r="B124" s="65" t="s">
        <v>6250</v>
      </c>
      <c r="C124" s="65" t="s">
        <v>129</v>
      </c>
      <c r="D124" s="65" t="s">
        <v>6251</v>
      </c>
      <c r="E124" s="83" t="s">
        <v>1036</v>
      </c>
      <c r="F124" s="65"/>
      <c r="G124" s="65"/>
      <c r="H124" s="65" t="s">
        <v>6252</v>
      </c>
      <c r="I124" s="65"/>
      <c r="J124" s="65" t="s">
        <v>6254</v>
      </c>
      <c r="K124" s="65"/>
      <c r="L124" s="65" t="s">
        <v>6255</v>
      </c>
      <c r="M124" s="65" t="s">
        <v>6256</v>
      </c>
      <c r="N124" s="65"/>
      <c r="O124" s="15" t="str">
        <f t="shared" si="1"/>
        <v>citation:doc-x0024-01</v>
      </c>
      <c r="Q124" s="15" t="str">
        <f>VLOOKUP($O124,'x - paper citations'!$B$3:$E$2000,2,FALSE)</f>
        <v>https://scholar.google.co.uk/scholar?hl=en&amp;q=%22You+Can%27t+Get+There+From+Here%3A+Sensor+Scheduling+with+Refocusing+Delays%22&amp;btnG=&amp;as_sdt=1%2C5&amp;as_sdtp=</v>
      </c>
      <c r="R124" s="15">
        <f>VLOOKUP($O124,'x - paper citations'!$B$3:$E$2000,3,FALSE)</f>
        <v>0</v>
      </c>
      <c r="S124" s="15" t="str">
        <f>VLOOKUP($O124,'x - paper citations'!$B$3:$E$2000,4,FALSE)</f>
        <v>09/02/2016</v>
      </c>
      <c r="U124" s="80" t="str">
        <f>IF(ISNA(VLOOKUP($B124&amp;":"&amp;U$3,'x - authors'!$B$3:$E$10000,4,FALSE)),"",VLOOKUP($B124&amp;":"&amp;U$3,'x - authors'!$B$3:$E$10000,4,FALSE))</f>
        <v>yosef_alayev</v>
      </c>
      <c r="V124" s="80" t="str">
        <f>IF(ISNA(VLOOKUP($B124&amp;":"&amp;V$3,'x - authors'!$B$3:$E$10000,4,FALSE)),"",VLOOKUP($B124&amp;":"&amp;V$3,'x - authors'!$B$3:$E$10000,4,FALSE))</f>
        <v>amotz_bar_noy</v>
      </c>
      <c r="W124" s="80" t="str">
        <f>IF(ISNA(VLOOKUP($B124&amp;":"&amp;W$3,'x - authors'!$B$3:$E$10000,4,FALSE)),"",VLOOKUP($B124&amp;":"&amp;W$3,'x - authors'!$B$3:$E$10000,4,FALSE))</f>
        <v>matthew_johnson</v>
      </c>
      <c r="X124" s="80" t="str">
        <f>IF(ISNA(VLOOKUP($B124&amp;":"&amp;X$3,'x - authors'!$B$3:$E$10000,4,FALSE)),"",VLOOKUP($B124&amp;":"&amp;X$3,'x - authors'!$B$3:$E$10000,4,FALSE))</f>
        <v>lance_kaplan</v>
      </c>
      <c r="Y124" s="80" t="str">
        <f>IF(ISNA(VLOOKUP($B124&amp;":"&amp;Y$3,'x - authors'!$B$3:$E$10000,4,FALSE)),"",VLOOKUP($B124&amp;":"&amp;Y$3,'x - authors'!$B$3:$E$10000,4,FALSE))</f>
        <v>thomas_laporta</v>
      </c>
      <c r="Z124" s="80" t="str">
        <f>IF(ISNA(VLOOKUP($B124&amp;":"&amp;Z$3,'x - authors'!$B$3:$E$10000,4,FALSE)),"",VLOOKUP($B124&amp;":"&amp;Z$3,'x - authors'!$B$3:$E$10000,4,FALSE))</f>
        <v/>
      </c>
      <c r="AA124" s="80" t="str">
        <f>IF(ISNA(VLOOKUP($B124&amp;":"&amp;AA$3,'x - authors'!$B$3:$E$10000,4,FALSE)),"",VLOOKUP($B124&amp;":"&amp;AA$3,'x - authors'!$B$3:$E$10000,4,FALSE))</f>
        <v/>
      </c>
      <c r="AB124" s="80" t="str">
        <f>IF(ISNA(VLOOKUP($B124&amp;":"&amp;AB$3,'x - authors'!$B$3:$E$10000,4,FALSE)),"",VLOOKUP($B124&amp;":"&amp;AB$3,'x - authors'!$B$3:$E$10000,4,FALSE))</f>
        <v/>
      </c>
      <c r="AC124" s="80" t="str">
        <f>IF(ISNA(VLOOKUP($B124&amp;":"&amp;AC$3,'x - authors'!$B$3:$E$10000,4,FALSE)),"",VLOOKUP($B124&amp;":"&amp;AC$3,'x - authors'!$B$3:$E$10000,4,FALSE))</f>
        <v/>
      </c>
      <c r="AD124" s="80" t="str">
        <f>IF(ISNA(VLOOKUP($B124&amp;":"&amp;AD$3,'x - authors'!$B$3:$E$10000,4,FALSE)),"",VLOOKUP($B124&amp;":"&amp;AD$3,'x - authors'!$B$3:$E$10000,4,FALSE))</f>
        <v/>
      </c>
      <c r="AE124" s="80" t="str">
        <f>IF(ISNA(VLOOKUP($B124&amp;":"&amp;AE$3,'x - authors'!$B$3:$E$10000,4,FALSE)),"",VLOOKUP($B124&amp;":"&amp;AE$3,'x - authors'!$B$3:$E$10000,4,FALSE))</f>
        <v/>
      </c>
      <c r="AF124" s="80" t="str">
        <f>IF(ISNA(VLOOKUP($B124&amp;":"&amp;AF$3,'x - authors'!$B$3:$E$10000,4,FALSE)),"",VLOOKUP($B124&amp;":"&amp;AF$3,'x - authors'!$B$3:$E$10000,4,FALSE))</f>
        <v/>
      </c>
      <c r="AG124" s="80" t="str">
        <f>IF(ISNA(VLOOKUP($B124&amp;":"&amp;AG$3,'x - authors'!$B$3:$E$10000,4,FALSE)),"",VLOOKUP($B124&amp;":"&amp;AG$3,'x - authors'!$B$3:$E$10000,4,FALSE))</f>
        <v/>
      </c>
      <c r="AH124" s="80" t="str">
        <f>IF(ISNA(VLOOKUP($B124&amp;":"&amp;AH$3,'x - authors'!$B$3:$E$10000,4,FALSE)),"",VLOOKUP($B124&amp;":"&amp;AH$3,'x - authors'!$B$3:$E$10000,4,FALSE))</f>
        <v/>
      </c>
      <c r="AI124" s="80" t="str">
        <f>IF(ISNA(VLOOKUP($B124&amp;":"&amp;AI$3,'x - authors'!$B$3:$E$10000,4,FALSE)),"",VLOOKUP($B124&amp;":"&amp;AI$3,'x - authors'!$B$3:$E$10000,4,FALSE))</f>
        <v/>
      </c>
    </row>
    <row r="125" spans="2:35">
      <c r="B125" s="65" t="s">
        <v>6257</v>
      </c>
      <c r="C125" s="65" t="s">
        <v>129</v>
      </c>
      <c r="D125" s="65" t="s">
        <v>6258</v>
      </c>
      <c r="E125" s="83" t="s">
        <v>142</v>
      </c>
      <c r="F125" s="65"/>
      <c r="G125" s="65"/>
      <c r="H125" s="65" t="s">
        <v>6259</v>
      </c>
      <c r="I125" s="65"/>
      <c r="J125" s="65"/>
      <c r="K125" s="65"/>
      <c r="L125" s="65" t="s">
        <v>6261</v>
      </c>
      <c r="M125" s="65"/>
      <c r="N125" s="65"/>
      <c r="O125" s="15" t="str">
        <f t="shared" si="1"/>
        <v>citation:doc-x0029-01</v>
      </c>
      <c r="Q125" s="15" t="str">
        <f>VLOOKUP($O125,'x - paper citations'!$B$3:$E$2000,2,FALSE)</f>
        <v>https://scholar.google.co.uk/scholar?q=An+Approach+to+Knowledge+Management+for+Coalition+Information+Sharing+at+the+Network+Edge&amp;btnG=&amp;hl=en&amp;as_sdt=0%2C5</v>
      </c>
      <c r="R125" s="15">
        <f>VLOOKUP($O125,'x - paper citations'!$B$3:$E$2000,3,FALSE)</f>
        <v>2</v>
      </c>
      <c r="S125" s="15" t="str">
        <f>VLOOKUP($O125,'x - paper citations'!$B$3:$E$2000,4,FALSE)</f>
        <v>09/02/2016</v>
      </c>
      <c r="U125" s="80" t="str">
        <f>IF(ISNA(VLOOKUP($B125&amp;":"&amp;U$3,'x - authors'!$B$3:$E$10000,4,FALSE)),"",VLOOKUP($B125&amp;":"&amp;U$3,'x - authors'!$B$3:$E$10000,4,FALSE))</f>
        <v>cheryl_giammanco</v>
      </c>
      <c r="V125" s="80" t="str">
        <f>IF(ISNA(VLOOKUP($B125&amp;":"&amp;V$3,'x - authors'!$B$3:$E$10000,4,FALSE)),"",VLOOKUP($B125&amp;":"&amp;V$3,'x - authors'!$B$3:$E$10000,4,FALSE))</f>
        <v>ray_mcgowan</v>
      </c>
      <c r="W125" s="80" t="str">
        <f>IF(ISNA(VLOOKUP($B125&amp;":"&amp;W$3,'x - authors'!$B$3:$E$10000,4,FALSE)),"",VLOOKUP($B125&amp;":"&amp;W$3,'x - authors'!$B$3:$E$10000,4,FALSE))</f>
        <v>anne_kao</v>
      </c>
      <c r="X125" s="80" t="str">
        <f>IF(ISNA(VLOOKUP($B125&amp;":"&amp;X$3,'x - authors'!$B$3:$E$10000,4,FALSE)),"",VLOOKUP($B125&amp;":"&amp;X$3,'x - authors'!$B$3:$E$10000,4,FALSE))</f>
        <v>dave_braines</v>
      </c>
      <c r="Y125" s="80" t="str">
        <f>IF(ISNA(VLOOKUP($B125&amp;":"&amp;Y$3,'x - authors'!$B$3:$E$10000,4,FALSE)),"",VLOOKUP($B125&amp;":"&amp;Y$3,'x - authors'!$B$3:$E$10000,4,FALSE))</f>
        <v>stephen_poteet</v>
      </c>
      <c r="Z125" s="80" t="str">
        <f>IF(ISNA(VLOOKUP($B125&amp;":"&amp;Z$3,'x - authors'!$B$3:$E$10000,4,FALSE)),"",VLOOKUP($B125&amp;":"&amp;Z$3,'x - authors'!$B$3:$E$10000,4,FALSE))</f>
        <v>tien_pham</v>
      </c>
      <c r="AA125" s="80" t="str">
        <f>IF(ISNA(VLOOKUP($B125&amp;":"&amp;AA$3,'x - authors'!$B$3:$E$10000,4,FALSE)),"",VLOOKUP($B125&amp;":"&amp;AA$3,'x - authors'!$B$3:$E$10000,4,FALSE))</f>
        <v>ping_xue</v>
      </c>
      <c r="AB125" s="80" t="str">
        <f>IF(ISNA(VLOOKUP($B125&amp;":"&amp;AB$3,'x - authors'!$B$3:$E$10000,4,FALSE)),"",VLOOKUP($B125&amp;":"&amp;AB$3,'x - authors'!$B$3:$E$10000,4,FALSE))</f>
        <v/>
      </c>
      <c r="AC125" s="80" t="str">
        <f>IF(ISNA(VLOOKUP($B125&amp;":"&amp;AC$3,'x - authors'!$B$3:$E$10000,4,FALSE)),"",VLOOKUP($B125&amp;":"&amp;AC$3,'x - authors'!$B$3:$E$10000,4,FALSE))</f>
        <v/>
      </c>
      <c r="AD125" s="80" t="str">
        <f>IF(ISNA(VLOOKUP($B125&amp;":"&amp;AD$3,'x - authors'!$B$3:$E$10000,4,FALSE)),"",VLOOKUP($B125&amp;":"&amp;AD$3,'x - authors'!$B$3:$E$10000,4,FALSE))</f>
        <v/>
      </c>
      <c r="AE125" s="80" t="str">
        <f>IF(ISNA(VLOOKUP($B125&amp;":"&amp;AE$3,'x - authors'!$B$3:$E$10000,4,FALSE)),"",VLOOKUP($B125&amp;":"&amp;AE$3,'x - authors'!$B$3:$E$10000,4,FALSE))</f>
        <v/>
      </c>
      <c r="AF125" s="80" t="str">
        <f>IF(ISNA(VLOOKUP($B125&amp;":"&amp;AF$3,'x - authors'!$B$3:$E$10000,4,FALSE)),"",VLOOKUP($B125&amp;":"&amp;AF$3,'x - authors'!$B$3:$E$10000,4,FALSE))</f>
        <v/>
      </c>
      <c r="AG125" s="80" t="str">
        <f>IF(ISNA(VLOOKUP($B125&amp;":"&amp;AG$3,'x - authors'!$B$3:$E$10000,4,FALSE)),"",VLOOKUP($B125&amp;":"&amp;AG$3,'x - authors'!$B$3:$E$10000,4,FALSE))</f>
        <v/>
      </c>
      <c r="AH125" s="80" t="str">
        <f>IF(ISNA(VLOOKUP($B125&amp;":"&amp;AH$3,'x - authors'!$B$3:$E$10000,4,FALSE)),"",VLOOKUP($B125&amp;":"&amp;AH$3,'x - authors'!$B$3:$E$10000,4,FALSE))</f>
        <v/>
      </c>
      <c r="AI125" s="80" t="str">
        <f>IF(ISNA(VLOOKUP($B125&amp;":"&amp;AI$3,'x - authors'!$B$3:$E$10000,4,FALSE)),"",VLOOKUP($B125&amp;":"&amp;AI$3,'x - authors'!$B$3:$E$10000,4,FALSE))</f>
        <v/>
      </c>
    </row>
    <row r="126" spans="2:35">
      <c r="B126" s="65" t="s">
        <v>6262</v>
      </c>
      <c r="C126" s="65" t="s">
        <v>129</v>
      </c>
      <c r="D126" s="65" t="s">
        <v>6263</v>
      </c>
      <c r="E126" s="83" t="s">
        <v>6755</v>
      </c>
      <c r="F126" s="65"/>
      <c r="G126" s="65"/>
      <c r="H126" s="65" t="s">
        <v>6264</v>
      </c>
      <c r="I126" s="65"/>
      <c r="J126" s="65" t="s">
        <v>6266</v>
      </c>
      <c r="K126" s="65"/>
      <c r="L126" s="65" t="s">
        <v>6267</v>
      </c>
      <c r="M126" s="65"/>
      <c r="N126" s="65"/>
      <c r="O126" s="15" t="str">
        <f t="shared" si="1"/>
        <v>citation:doc-x0032-01</v>
      </c>
      <c r="Q126" s="15" t="str">
        <f>VLOOKUP($O126,'x - paper citations'!$B$3:$E$2000,2,FALSE)</f>
        <v>https://scholar.google.co.uk/scholar?q=%22Sensor-Mission+Assignment+in+Constrained+Environments%22&amp;btnG=&amp;hl=en&amp;as_sdt=0%2C5</v>
      </c>
      <c r="R126" s="15">
        <f>VLOOKUP($O126,'x - paper citations'!$B$3:$E$2000,3,FALSE)</f>
        <v>17</v>
      </c>
      <c r="S126" s="15" t="str">
        <f>VLOOKUP($O126,'x - paper citations'!$B$3:$E$2000,4,FALSE)</f>
        <v>11/02/2016</v>
      </c>
      <c r="U126" s="80" t="str">
        <f>IF(ISNA(VLOOKUP($B126&amp;":"&amp;U$3,'x - authors'!$B$3:$E$10000,4,FALSE)),"",VLOOKUP($B126&amp;":"&amp;U$3,'x - authors'!$B$3:$E$10000,4,FALSE))</f>
        <v>matthew_johnson</v>
      </c>
      <c r="V126" s="80" t="str">
        <f>IF(ISNA(VLOOKUP($B126&amp;":"&amp;V$3,'x - authors'!$B$3:$E$10000,4,FALSE)),"",VLOOKUP($B126&amp;":"&amp;V$3,'x - authors'!$B$3:$E$10000,4,FALSE))</f>
        <v>hosam_rowaihy</v>
      </c>
      <c r="W126" s="80" t="str">
        <f>IF(ISNA(VLOOKUP($B126&amp;":"&amp;W$3,'x - authors'!$B$3:$E$10000,4,FALSE)),"",VLOOKUP($B126&amp;":"&amp;W$3,'x - authors'!$B$3:$E$10000,4,FALSE))</f>
        <v>diego_pizzocaro</v>
      </c>
      <c r="X126" s="80" t="str">
        <f>IF(ISNA(VLOOKUP($B126&amp;":"&amp;X$3,'x - authors'!$B$3:$E$10000,4,FALSE)),"",VLOOKUP($B126&amp;":"&amp;X$3,'x - authors'!$B$3:$E$10000,4,FALSE))</f>
        <v>amotz_bar_noy</v>
      </c>
      <c r="Y126" s="80" t="str">
        <f>IF(ISNA(VLOOKUP($B126&amp;":"&amp;Y$3,'x - authors'!$B$3:$E$10000,4,FALSE)),"",VLOOKUP($B126&amp;":"&amp;Y$3,'x - authors'!$B$3:$E$10000,4,FALSE))</f>
        <v>stuart_chalmers</v>
      </c>
      <c r="Z126" s="80" t="str">
        <f>IF(ISNA(VLOOKUP($B126&amp;":"&amp;Z$3,'x - authors'!$B$3:$E$10000,4,FALSE)),"",VLOOKUP($B126&amp;":"&amp;Z$3,'x - authors'!$B$3:$E$10000,4,FALSE))</f>
        <v>thomas_laporta</v>
      </c>
      <c r="AA126" s="80" t="str">
        <f>IF(ISNA(VLOOKUP($B126&amp;":"&amp;AA$3,'x - authors'!$B$3:$E$10000,4,FALSE)),"",VLOOKUP($B126&amp;":"&amp;AA$3,'x - authors'!$B$3:$E$10000,4,FALSE))</f>
        <v>alun_preece</v>
      </c>
      <c r="AB126" s="80" t="str">
        <f>IF(ISNA(VLOOKUP($B126&amp;":"&amp;AB$3,'x - authors'!$B$3:$E$10000,4,FALSE)),"",VLOOKUP($B126&amp;":"&amp;AB$3,'x - authors'!$B$3:$E$10000,4,FALSE))</f>
        <v/>
      </c>
      <c r="AC126" s="80" t="str">
        <f>IF(ISNA(VLOOKUP($B126&amp;":"&amp;AC$3,'x - authors'!$B$3:$E$10000,4,FALSE)),"",VLOOKUP($B126&amp;":"&amp;AC$3,'x - authors'!$B$3:$E$10000,4,FALSE))</f>
        <v/>
      </c>
      <c r="AD126" s="80" t="str">
        <f>IF(ISNA(VLOOKUP($B126&amp;":"&amp;AD$3,'x - authors'!$B$3:$E$10000,4,FALSE)),"",VLOOKUP($B126&amp;":"&amp;AD$3,'x - authors'!$B$3:$E$10000,4,FALSE))</f>
        <v/>
      </c>
      <c r="AE126" s="80" t="str">
        <f>IF(ISNA(VLOOKUP($B126&amp;":"&amp;AE$3,'x - authors'!$B$3:$E$10000,4,FALSE)),"",VLOOKUP($B126&amp;":"&amp;AE$3,'x - authors'!$B$3:$E$10000,4,FALSE))</f>
        <v/>
      </c>
      <c r="AF126" s="80" t="str">
        <f>IF(ISNA(VLOOKUP($B126&amp;":"&amp;AF$3,'x - authors'!$B$3:$E$10000,4,FALSE)),"",VLOOKUP($B126&amp;":"&amp;AF$3,'x - authors'!$B$3:$E$10000,4,FALSE))</f>
        <v/>
      </c>
      <c r="AG126" s="80" t="str">
        <f>IF(ISNA(VLOOKUP($B126&amp;":"&amp;AG$3,'x - authors'!$B$3:$E$10000,4,FALSE)),"",VLOOKUP($B126&amp;":"&amp;AG$3,'x - authors'!$B$3:$E$10000,4,FALSE))</f>
        <v/>
      </c>
      <c r="AH126" s="80" t="str">
        <f>IF(ISNA(VLOOKUP($B126&amp;":"&amp;AH$3,'x - authors'!$B$3:$E$10000,4,FALSE)),"",VLOOKUP($B126&amp;":"&amp;AH$3,'x - authors'!$B$3:$E$10000,4,FALSE))</f>
        <v/>
      </c>
      <c r="AI126" s="80" t="str">
        <f>IF(ISNA(VLOOKUP($B126&amp;":"&amp;AI$3,'x - authors'!$B$3:$E$10000,4,FALSE)),"",VLOOKUP($B126&amp;":"&amp;AI$3,'x - authors'!$B$3:$E$10000,4,FALSE))</f>
        <v/>
      </c>
    </row>
    <row r="127" spans="2:35">
      <c r="B127" s="65" t="s">
        <v>5806</v>
      </c>
      <c r="C127" s="65" t="s">
        <v>129</v>
      </c>
      <c r="D127" s="65" t="s">
        <v>5801</v>
      </c>
      <c r="E127" s="83" t="s">
        <v>971</v>
      </c>
      <c r="F127" s="65"/>
      <c r="G127" s="65"/>
      <c r="H127" s="65" t="s">
        <v>6268</v>
      </c>
      <c r="I127" s="65"/>
      <c r="J127" s="65" t="s">
        <v>6270</v>
      </c>
      <c r="K127" s="65"/>
      <c r="L127" s="65" t="s">
        <v>6271</v>
      </c>
      <c r="M127" s="65" t="s">
        <v>5800</v>
      </c>
      <c r="N127" s="65"/>
      <c r="O127" s="15" t="str">
        <f t="shared" si="1"/>
        <v>citation:doc-x0033-01</v>
      </c>
      <c r="Q127" s="15" t="str">
        <f>VLOOKUP($O127,'x - paper citations'!$B$3:$E$2000,2,FALSE)</f>
        <v>https://scholar.google.co.uk/scholar?q="On the Study of Network Coded AF Transmission Protocol for Wireless Multiple Access Channels"&amp;btnG=&amp;hl=en&amp;as_sdt=0,5</v>
      </c>
      <c r="R127" s="15">
        <f>VLOOKUP($O127,'x - paper citations'!$B$3:$E$2000,3,FALSE)</f>
        <v>31</v>
      </c>
      <c r="S127" s="15" t="str">
        <f>VLOOKUP($O127,'x - paper citations'!$B$3:$E$2000,4,FALSE)</f>
        <v>11/02/2016</v>
      </c>
      <c r="U127" s="80" t="str">
        <f>IF(ISNA(VLOOKUP($B127&amp;":"&amp;U$3,'x - authors'!$B$3:$E$10000,4,FALSE)),"",VLOOKUP($B127&amp;":"&amp;U$3,'x - authors'!$B$3:$E$10000,4,FALSE))</f>
        <v>zhiguo_ding</v>
      </c>
      <c r="V127" s="80" t="str">
        <f>IF(ISNA(VLOOKUP($B127&amp;":"&amp;V$3,'x - authors'!$B$3:$E$10000,4,FALSE)),"",VLOOKUP($B127&amp;":"&amp;V$3,'x - authors'!$B$3:$E$10000,4,FALSE))</f>
        <v>tharmalingam_ratnarajah</v>
      </c>
      <c r="W127" s="80" t="str">
        <f>IF(ISNA(VLOOKUP($B127&amp;":"&amp;W$3,'x - authors'!$B$3:$E$10000,4,FALSE)),"",VLOOKUP($B127&amp;":"&amp;W$3,'x - authors'!$B$3:$E$10000,4,FALSE))</f>
        <v>kin_leung</v>
      </c>
      <c r="X127" s="80" t="str">
        <f>IF(ISNA(VLOOKUP($B127&amp;":"&amp;X$3,'x - authors'!$B$3:$E$10000,4,FALSE)),"",VLOOKUP($B127&amp;":"&amp;X$3,'x - authors'!$B$3:$E$10000,4,FALSE))</f>
        <v/>
      </c>
      <c r="Y127" s="80" t="str">
        <f>IF(ISNA(VLOOKUP($B127&amp;":"&amp;Y$3,'x - authors'!$B$3:$E$10000,4,FALSE)),"",VLOOKUP($B127&amp;":"&amp;Y$3,'x - authors'!$B$3:$E$10000,4,FALSE))</f>
        <v/>
      </c>
      <c r="Z127" s="80" t="str">
        <f>IF(ISNA(VLOOKUP($B127&amp;":"&amp;Z$3,'x - authors'!$B$3:$E$10000,4,FALSE)),"",VLOOKUP($B127&amp;":"&amp;Z$3,'x - authors'!$B$3:$E$10000,4,FALSE))</f>
        <v/>
      </c>
      <c r="AA127" s="80" t="str">
        <f>IF(ISNA(VLOOKUP($B127&amp;":"&amp;AA$3,'x - authors'!$B$3:$E$10000,4,FALSE)),"",VLOOKUP($B127&amp;":"&amp;AA$3,'x - authors'!$B$3:$E$10000,4,FALSE))</f>
        <v/>
      </c>
      <c r="AB127" s="80" t="str">
        <f>IF(ISNA(VLOOKUP($B127&amp;":"&amp;AB$3,'x - authors'!$B$3:$E$10000,4,FALSE)),"",VLOOKUP($B127&amp;":"&amp;AB$3,'x - authors'!$B$3:$E$10000,4,FALSE))</f>
        <v/>
      </c>
      <c r="AC127" s="80" t="str">
        <f>IF(ISNA(VLOOKUP($B127&amp;":"&amp;AC$3,'x - authors'!$B$3:$E$10000,4,FALSE)),"",VLOOKUP($B127&amp;":"&amp;AC$3,'x - authors'!$B$3:$E$10000,4,FALSE))</f>
        <v/>
      </c>
      <c r="AD127" s="80" t="str">
        <f>IF(ISNA(VLOOKUP($B127&amp;":"&amp;AD$3,'x - authors'!$B$3:$E$10000,4,FALSE)),"",VLOOKUP($B127&amp;":"&amp;AD$3,'x - authors'!$B$3:$E$10000,4,FALSE))</f>
        <v/>
      </c>
      <c r="AE127" s="80" t="str">
        <f>IF(ISNA(VLOOKUP($B127&amp;":"&amp;AE$3,'x - authors'!$B$3:$E$10000,4,FALSE)),"",VLOOKUP($B127&amp;":"&amp;AE$3,'x - authors'!$B$3:$E$10000,4,FALSE))</f>
        <v/>
      </c>
      <c r="AF127" s="80" t="str">
        <f>IF(ISNA(VLOOKUP($B127&amp;":"&amp;AF$3,'x - authors'!$B$3:$E$10000,4,FALSE)),"",VLOOKUP($B127&amp;":"&amp;AF$3,'x - authors'!$B$3:$E$10000,4,FALSE))</f>
        <v/>
      </c>
      <c r="AG127" s="80" t="str">
        <f>IF(ISNA(VLOOKUP($B127&amp;":"&amp;AG$3,'x - authors'!$B$3:$E$10000,4,FALSE)),"",VLOOKUP($B127&amp;":"&amp;AG$3,'x - authors'!$B$3:$E$10000,4,FALSE))</f>
        <v/>
      </c>
      <c r="AH127" s="80" t="str">
        <f>IF(ISNA(VLOOKUP($B127&amp;":"&amp;AH$3,'x - authors'!$B$3:$E$10000,4,FALSE)),"",VLOOKUP($B127&amp;":"&amp;AH$3,'x - authors'!$B$3:$E$10000,4,FALSE))</f>
        <v/>
      </c>
      <c r="AI127" s="80" t="str">
        <f>IF(ISNA(VLOOKUP($B127&amp;":"&amp;AI$3,'x - authors'!$B$3:$E$10000,4,FALSE)),"",VLOOKUP($B127&amp;":"&amp;AI$3,'x - authors'!$B$3:$E$10000,4,FALSE))</f>
        <v/>
      </c>
    </row>
    <row r="128" spans="2:35">
      <c r="B128" s="65" t="s">
        <v>6272</v>
      </c>
      <c r="C128" s="65" t="s">
        <v>129</v>
      </c>
      <c r="D128" s="65" t="s">
        <v>6273</v>
      </c>
      <c r="E128" s="83" t="s">
        <v>6756</v>
      </c>
      <c r="F128" s="65"/>
      <c r="G128" s="65"/>
      <c r="H128" s="65" t="s">
        <v>6274</v>
      </c>
      <c r="I128" s="65"/>
      <c r="J128" s="65"/>
      <c r="K128" s="65"/>
      <c r="L128" s="65" t="s">
        <v>6261</v>
      </c>
      <c r="M128" s="65"/>
      <c r="N128" s="65"/>
      <c r="O128" s="15" t="str">
        <f t="shared" si="1"/>
        <v>citation:doc-x0041-01</v>
      </c>
      <c r="Q128" s="15" t="str">
        <f>VLOOKUP($O128,'x - paper citations'!$B$3:$E$2000,2,FALSE)</f>
        <v>https://scholar.google.co.uk/scholar?q=%22Efficient solutions framework for optimal multitask resource assignments for data fusion in wireless sensor networks%22&amp;btnG=&amp;hl=en&amp;as_sdt=0%2C5</v>
      </c>
      <c r="R128" s="15">
        <f>VLOOKUP($O128,'x - paper citations'!$B$3:$E$2000,3,FALSE)</f>
        <v>3</v>
      </c>
      <c r="S128" s="15" t="str">
        <f>VLOOKUP($O128,'x - paper citations'!$B$3:$E$2000,4,FALSE)</f>
        <v>29/02/2016</v>
      </c>
      <c r="U128" s="80" t="str">
        <f>IF(ISNA(VLOOKUP($B128&amp;":"&amp;U$3,'x - authors'!$B$3:$E$10000,4,FALSE)),"",VLOOKUP($B128&amp;":"&amp;U$3,'x - authors'!$B$3:$E$10000,4,FALSE))</f>
        <v>srikanth_hariharan</v>
      </c>
      <c r="V128" s="80" t="str">
        <f>IF(ISNA(VLOOKUP($B128&amp;":"&amp;V$3,'x - authors'!$B$3:$E$10000,4,FALSE)),"",VLOOKUP($B128&amp;":"&amp;V$3,'x - authors'!$B$3:$E$10000,4,FALSE))</f>
        <v>chatschik_bisdikian</v>
      </c>
      <c r="W128" s="80" t="str">
        <f>IF(ISNA(VLOOKUP($B128&amp;":"&amp;W$3,'x - authors'!$B$3:$E$10000,4,FALSE)),"",VLOOKUP($B128&amp;":"&amp;W$3,'x - authors'!$B$3:$E$10000,4,FALSE))</f>
        <v>lance_kaplan</v>
      </c>
      <c r="X128" s="80" t="str">
        <f>IF(ISNA(VLOOKUP($B128&amp;":"&amp;X$3,'x - authors'!$B$3:$E$10000,4,FALSE)),"",VLOOKUP($B128&amp;":"&amp;X$3,'x - authors'!$B$3:$E$10000,4,FALSE))</f>
        <v>tien_pham</v>
      </c>
      <c r="Y128" s="80" t="str">
        <f>IF(ISNA(VLOOKUP($B128&amp;":"&amp;Y$3,'x - authors'!$B$3:$E$10000,4,FALSE)),"",VLOOKUP($B128&amp;":"&amp;Y$3,'x - authors'!$B$3:$E$10000,4,FALSE))</f>
        <v/>
      </c>
      <c r="Z128" s="80" t="str">
        <f>IF(ISNA(VLOOKUP($B128&amp;":"&amp;Z$3,'x - authors'!$B$3:$E$10000,4,FALSE)),"",VLOOKUP($B128&amp;":"&amp;Z$3,'x - authors'!$B$3:$E$10000,4,FALSE))</f>
        <v/>
      </c>
      <c r="AA128" s="80" t="str">
        <f>IF(ISNA(VLOOKUP($B128&amp;":"&amp;AA$3,'x - authors'!$B$3:$E$10000,4,FALSE)),"",VLOOKUP($B128&amp;":"&amp;AA$3,'x - authors'!$B$3:$E$10000,4,FALSE))</f>
        <v/>
      </c>
      <c r="AB128" s="80" t="str">
        <f>IF(ISNA(VLOOKUP($B128&amp;":"&amp;AB$3,'x - authors'!$B$3:$E$10000,4,FALSE)),"",VLOOKUP($B128&amp;":"&amp;AB$3,'x - authors'!$B$3:$E$10000,4,FALSE))</f>
        <v/>
      </c>
      <c r="AC128" s="80" t="str">
        <f>IF(ISNA(VLOOKUP($B128&amp;":"&amp;AC$3,'x - authors'!$B$3:$E$10000,4,FALSE)),"",VLOOKUP($B128&amp;":"&amp;AC$3,'x - authors'!$B$3:$E$10000,4,FALSE))</f>
        <v/>
      </c>
      <c r="AD128" s="80" t="str">
        <f>IF(ISNA(VLOOKUP($B128&amp;":"&amp;AD$3,'x - authors'!$B$3:$E$10000,4,FALSE)),"",VLOOKUP($B128&amp;":"&amp;AD$3,'x - authors'!$B$3:$E$10000,4,FALSE))</f>
        <v/>
      </c>
      <c r="AE128" s="80" t="str">
        <f>IF(ISNA(VLOOKUP($B128&amp;":"&amp;AE$3,'x - authors'!$B$3:$E$10000,4,FALSE)),"",VLOOKUP($B128&amp;":"&amp;AE$3,'x - authors'!$B$3:$E$10000,4,FALSE))</f>
        <v/>
      </c>
      <c r="AF128" s="80" t="str">
        <f>IF(ISNA(VLOOKUP($B128&amp;":"&amp;AF$3,'x - authors'!$B$3:$E$10000,4,FALSE)),"",VLOOKUP($B128&amp;":"&amp;AF$3,'x - authors'!$B$3:$E$10000,4,FALSE))</f>
        <v/>
      </c>
      <c r="AG128" s="80" t="str">
        <f>IF(ISNA(VLOOKUP($B128&amp;":"&amp;AG$3,'x - authors'!$B$3:$E$10000,4,FALSE)),"",VLOOKUP($B128&amp;":"&amp;AG$3,'x - authors'!$B$3:$E$10000,4,FALSE))</f>
        <v/>
      </c>
      <c r="AH128" s="80" t="str">
        <f>IF(ISNA(VLOOKUP($B128&amp;":"&amp;AH$3,'x - authors'!$B$3:$E$10000,4,FALSE)),"",VLOOKUP($B128&amp;":"&amp;AH$3,'x - authors'!$B$3:$E$10000,4,FALSE))</f>
        <v/>
      </c>
      <c r="AI128" s="80" t="str">
        <f>IF(ISNA(VLOOKUP($B128&amp;":"&amp;AI$3,'x - authors'!$B$3:$E$10000,4,FALSE)),"",VLOOKUP($B128&amp;":"&amp;AI$3,'x - authors'!$B$3:$E$10000,4,FALSE))</f>
        <v/>
      </c>
    </row>
    <row r="129" spans="2:35">
      <c r="B129" s="65" t="s">
        <v>6276</v>
      </c>
      <c r="C129" s="65" t="s">
        <v>129</v>
      </c>
      <c r="D129" s="65" t="s">
        <v>6277</v>
      </c>
      <c r="E129" s="83" t="s">
        <v>1001</v>
      </c>
      <c r="F129" s="78"/>
      <c r="G129" s="65"/>
      <c r="H129" s="65" t="s">
        <v>6278</v>
      </c>
      <c r="I129" s="65"/>
      <c r="J129" s="65" t="s">
        <v>6280</v>
      </c>
      <c r="K129" s="65"/>
      <c r="L129" s="65" t="s">
        <v>6281</v>
      </c>
      <c r="M129" s="65"/>
      <c r="N129" s="65"/>
      <c r="O129" s="15" t="str">
        <f t="shared" si="1"/>
        <v>citation:doc-x0075-01</v>
      </c>
      <c r="Q129" s="15" t="str">
        <f>VLOOKUP($O129,'x - paper citations'!$B$3:$E$2000,2,FALSE)</f>
        <v>https://scholar.google.co.uk/scholar?q=%22Utility-based Bandwidth Adaptation in Mission-Oriented Wireless Sensor Networks%22&amp;btnG=&amp;hl=en&amp;as_sdt=0%2C5</v>
      </c>
      <c r="R129" s="15">
        <f>VLOOKUP($O129,'x - paper citations'!$B$3:$E$2000,3,FALSE)</f>
        <v>53</v>
      </c>
      <c r="S129" s="15" t="str">
        <f>VLOOKUP($O129,'x - paper citations'!$B$3:$E$2000,4,FALSE)</f>
        <v>29/02/2016</v>
      </c>
      <c r="U129" s="80" t="str">
        <f>IF(ISNA(VLOOKUP($B129&amp;":"&amp;U$3,'x - authors'!$B$3:$E$10000,4,FALSE)),"",VLOOKUP($B129&amp;":"&amp;U$3,'x - authors'!$B$3:$E$10000,4,FALSE))</f>
        <v>sharanya_eswaran</v>
      </c>
      <c r="V129" s="80" t="str">
        <f>IF(ISNA(VLOOKUP($B129&amp;":"&amp;V$3,'x - authors'!$B$3:$E$10000,4,FALSE)),"",VLOOKUP($B129&amp;":"&amp;V$3,'x - authors'!$B$3:$E$10000,4,FALSE))</f>
        <v>archan_misra</v>
      </c>
      <c r="W129" s="80" t="str">
        <f>IF(ISNA(VLOOKUP($B129&amp;":"&amp;W$3,'x - authors'!$B$3:$E$10000,4,FALSE)),"",VLOOKUP($B129&amp;":"&amp;W$3,'x - authors'!$B$3:$E$10000,4,FALSE))</f>
        <v>flavio_bergamaschi</v>
      </c>
      <c r="X129" s="80" t="str">
        <f>IF(ISNA(VLOOKUP($B129&amp;":"&amp;X$3,'x - authors'!$B$3:$E$10000,4,FALSE)),"",VLOOKUP($B129&amp;":"&amp;X$3,'x - authors'!$B$3:$E$10000,4,FALSE))</f>
        <v>thomas_laporta</v>
      </c>
      <c r="Y129" s="80" t="str">
        <f>IF(ISNA(VLOOKUP($B129&amp;":"&amp;Y$3,'x - authors'!$B$3:$E$10000,4,FALSE)),"",VLOOKUP($B129&amp;":"&amp;Y$3,'x - authors'!$B$3:$E$10000,4,FALSE))</f>
        <v/>
      </c>
      <c r="Z129" s="80" t="str">
        <f>IF(ISNA(VLOOKUP($B129&amp;":"&amp;Z$3,'x - authors'!$B$3:$E$10000,4,FALSE)),"",VLOOKUP($B129&amp;":"&amp;Z$3,'x - authors'!$B$3:$E$10000,4,FALSE))</f>
        <v/>
      </c>
      <c r="AA129" s="80" t="str">
        <f>IF(ISNA(VLOOKUP($B129&amp;":"&amp;AA$3,'x - authors'!$B$3:$E$10000,4,FALSE)),"",VLOOKUP($B129&amp;":"&amp;AA$3,'x - authors'!$B$3:$E$10000,4,FALSE))</f>
        <v/>
      </c>
      <c r="AB129" s="80" t="str">
        <f>IF(ISNA(VLOOKUP($B129&amp;":"&amp;AB$3,'x - authors'!$B$3:$E$10000,4,FALSE)),"",VLOOKUP($B129&amp;":"&amp;AB$3,'x - authors'!$B$3:$E$10000,4,FALSE))</f>
        <v/>
      </c>
      <c r="AC129" s="80" t="str">
        <f>IF(ISNA(VLOOKUP($B129&amp;":"&amp;AC$3,'x - authors'!$B$3:$E$10000,4,FALSE)),"",VLOOKUP($B129&amp;":"&amp;AC$3,'x - authors'!$B$3:$E$10000,4,FALSE))</f>
        <v/>
      </c>
      <c r="AD129" s="80" t="str">
        <f>IF(ISNA(VLOOKUP($B129&amp;":"&amp;AD$3,'x - authors'!$B$3:$E$10000,4,FALSE)),"",VLOOKUP($B129&amp;":"&amp;AD$3,'x - authors'!$B$3:$E$10000,4,FALSE))</f>
        <v/>
      </c>
      <c r="AE129" s="80" t="str">
        <f>IF(ISNA(VLOOKUP($B129&amp;":"&amp;AE$3,'x - authors'!$B$3:$E$10000,4,FALSE)),"",VLOOKUP($B129&amp;":"&amp;AE$3,'x - authors'!$B$3:$E$10000,4,FALSE))</f>
        <v/>
      </c>
      <c r="AF129" s="80" t="str">
        <f>IF(ISNA(VLOOKUP($B129&amp;":"&amp;AF$3,'x - authors'!$B$3:$E$10000,4,FALSE)),"",VLOOKUP($B129&amp;":"&amp;AF$3,'x - authors'!$B$3:$E$10000,4,FALSE))</f>
        <v/>
      </c>
      <c r="AG129" s="80" t="str">
        <f>IF(ISNA(VLOOKUP($B129&amp;":"&amp;AG$3,'x - authors'!$B$3:$E$10000,4,FALSE)),"",VLOOKUP($B129&amp;":"&amp;AG$3,'x - authors'!$B$3:$E$10000,4,FALSE))</f>
        <v/>
      </c>
      <c r="AH129" s="80" t="str">
        <f>IF(ISNA(VLOOKUP($B129&amp;":"&amp;AH$3,'x - authors'!$B$3:$E$10000,4,FALSE)),"",VLOOKUP($B129&amp;":"&amp;AH$3,'x - authors'!$B$3:$E$10000,4,FALSE))</f>
        <v/>
      </c>
      <c r="AI129" s="80" t="str">
        <f>IF(ISNA(VLOOKUP($B129&amp;":"&amp;AI$3,'x - authors'!$B$3:$E$10000,4,FALSE)),"",VLOOKUP($B129&amp;":"&amp;AI$3,'x - authors'!$B$3:$E$10000,4,FALSE))</f>
        <v/>
      </c>
    </row>
    <row r="130" spans="2:35">
      <c r="B130" s="65" t="s">
        <v>6282</v>
      </c>
      <c r="C130" s="65" t="s">
        <v>129</v>
      </c>
      <c r="D130" s="65" t="s">
        <v>6283</v>
      </c>
      <c r="E130" s="83" t="s">
        <v>949</v>
      </c>
      <c r="F130" s="78"/>
      <c r="G130" s="65"/>
      <c r="H130" s="65" t="s">
        <v>6284</v>
      </c>
      <c r="I130" s="65"/>
      <c r="J130" s="65" t="s">
        <v>6286</v>
      </c>
      <c r="K130" s="65"/>
      <c r="L130" s="65" t="s">
        <v>6287</v>
      </c>
      <c r="M130" s="65"/>
      <c r="N130" s="65"/>
      <c r="O130" s="15" t="str">
        <f t="shared" si="1"/>
        <v>citation:doc-x0197-01</v>
      </c>
      <c r="Q130" s="15" t="str">
        <f>VLOOKUP($O130,'x - paper citations'!$B$3:$E$2000,2,FALSE)</f>
        <v>https://scholar.google.co.uk/scholar?q=%224GM@ 4GW: Implementing 4G in the Military Mobile Ad-Hoc Network Environment%22&amp;btnG=&amp;hl=en&amp;as_sdt=0%2C5</v>
      </c>
      <c r="R130" s="15">
        <f>VLOOKUP($O130,'x - paper citations'!$B$3:$E$2000,3,FALSE)</f>
        <v>5</v>
      </c>
      <c r="S130" s="15" t="str">
        <f>VLOOKUP($O130,'x - paper citations'!$B$3:$E$2000,4,FALSE)</f>
        <v>29/02/2016</v>
      </c>
      <c r="U130" s="80" t="str">
        <f>IF(ISNA(VLOOKUP($B130&amp;":"&amp;U$3,'x - authors'!$B$3:$E$10000,4,FALSE)),"",VLOOKUP($B130&amp;":"&amp;U$3,'x - authors'!$B$3:$E$10000,4,FALSE))</f>
        <v>marcin_szczodrak</v>
      </c>
      <c r="V130" s="80" t="str">
        <f>IF(ISNA(VLOOKUP($B130&amp;":"&amp;V$3,'x - authors'!$B$3:$E$10000,4,FALSE)),"",VLOOKUP($B130&amp;":"&amp;V$3,'x - authors'!$B$3:$E$10000,4,FALSE))</f>
        <v>jinwoo_kim</v>
      </c>
      <c r="W130" s="80" t="str">
        <f>IF(ISNA(VLOOKUP($B130&amp;":"&amp;W$3,'x - authors'!$B$3:$E$10000,4,FALSE)),"",VLOOKUP($B130&amp;":"&amp;W$3,'x - authors'!$B$3:$E$10000,4,FALSE))</f>
        <v>yuncheol_baek</v>
      </c>
      <c r="X130" s="80" t="str">
        <f>IF(ISNA(VLOOKUP($B130&amp;":"&amp;X$3,'x - authors'!$B$3:$E$10000,4,FALSE)),"",VLOOKUP($B130&amp;":"&amp;X$3,'x - authors'!$B$3:$E$10000,4,FALSE))</f>
        <v/>
      </c>
      <c r="Y130" s="80" t="str">
        <f>IF(ISNA(VLOOKUP($B130&amp;":"&amp;Y$3,'x - authors'!$B$3:$E$10000,4,FALSE)),"",VLOOKUP($B130&amp;":"&amp;Y$3,'x - authors'!$B$3:$E$10000,4,FALSE))</f>
        <v/>
      </c>
      <c r="Z130" s="80" t="str">
        <f>IF(ISNA(VLOOKUP($B130&amp;":"&amp;Z$3,'x - authors'!$B$3:$E$10000,4,FALSE)),"",VLOOKUP($B130&amp;":"&amp;Z$3,'x - authors'!$B$3:$E$10000,4,FALSE))</f>
        <v/>
      </c>
      <c r="AA130" s="80" t="str">
        <f>IF(ISNA(VLOOKUP($B130&amp;":"&amp;AA$3,'x - authors'!$B$3:$E$10000,4,FALSE)),"",VLOOKUP($B130&amp;":"&amp;AA$3,'x - authors'!$B$3:$E$10000,4,FALSE))</f>
        <v/>
      </c>
      <c r="AB130" s="80" t="str">
        <f>IF(ISNA(VLOOKUP($B130&amp;":"&amp;AB$3,'x - authors'!$B$3:$E$10000,4,FALSE)),"",VLOOKUP($B130&amp;":"&amp;AB$3,'x - authors'!$B$3:$E$10000,4,FALSE))</f>
        <v/>
      </c>
      <c r="AC130" s="80" t="str">
        <f>IF(ISNA(VLOOKUP($B130&amp;":"&amp;AC$3,'x - authors'!$B$3:$E$10000,4,FALSE)),"",VLOOKUP($B130&amp;":"&amp;AC$3,'x - authors'!$B$3:$E$10000,4,FALSE))</f>
        <v/>
      </c>
      <c r="AD130" s="80" t="str">
        <f>IF(ISNA(VLOOKUP($B130&amp;":"&amp;AD$3,'x - authors'!$B$3:$E$10000,4,FALSE)),"",VLOOKUP($B130&amp;":"&amp;AD$3,'x - authors'!$B$3:$E$10000,4,FALSE))</f>
        <v/>
      </c>
      <c r="AE130" s="80" t="str">
        <f>IF(ISNA(VLOOKUP($B130&amp;":"&amp;AE$3,'x - authors'!$B$3:$E$10000,4,FALSE)),"",VLOOKUP($B130&amp;":"&amp;AE$3,'x - authors'!$B$3:$E$10000,4,FALSE))</f>
        <v/>
      </c>
      <c r="AF130" s="80" t="str">
        <f>IF(ISNA(VLOOKUP($B130&amp;":"&amp;AF$3,'x - authors'!$B$3:$E$10000,4,FALSE)),"",VLOOKUP($B130&amp;":"&amp;AF$3,'x - authors'!$B$3:$E$10000,4,FALSE))</f>
        <v/>
      </c>
      <c r="AG130" s="80" t="str">
        <f>IF(ISNA(VLOOKUP($B130&amp;":"&amp;AG$3,'x - authors'!$B$3:$E$10000,4,FALSE)),"",VLOOKUP($B130&amp;":"&amp;AG$3,'x - authors'!$B$3:$E$10000,4,FALSE))</f>
        <v/>
      </c>
      <c r="AH130" s="80" t="str">
        <f>IF(ISNA(VLOOKUP($B130&amp;":"&amp;AH$3,'x - authors'!$B$3:$E$10000,4,FALSE)),"",VLOOKUP($B130&amp;":"&amp;AH$3,'x - authors'!$B$3:$E$10000,4,FALSE))</f>
        <v/>
      </c>
      <c r="AI130" s="80" t="str">
        <f>IF(ISNA(VLOOKUP($B130&amp;":"&amp;AI$3,'x - authors'!$B$3:$E$10000,4,FALSE)),"",VLOOKUP($B130&amp;":"&amp;AI$3,'x - authors'!$B$3:$E$10000,4,FALSE))</f>
        <v/>
      </c>
    </row>
    <row r="131" spans="2:35">
      <c r="B131" s="65" t="s">
        <v>6288</v>
      </c>
      <c r="C131" s="65" t="s">
        <v>129</v>
      </c>
      <c r="D131" s="65" t="s">
        <v>6289</v>
      </c>
      <c r="E131" s="83" t="s">
        <v>6757</v>
      </c>
      <c r="F131" s="65"/>
      <c r="G131" s="65"/>
      <c r="H131" s="65" t="s">
        <v>6290</v>
      </c>
      <c r="I131" s="65"/>
      <c r="J131" s="65" t="s">
        <v>6292</v>
      </c>
      <c r="K131" s="65"/>
      <c r="L131" s="65" t="s">
        <v>6293</v>
      </c>
      <c r="M131" s="65"/>
      <c r="N131" s="65"/>
      <c r="O131" s="15" t="str">
        <f t="shared" si="1"/>
        <v>citation:doc-x0198-01</v>
      </c>
      <c r="Q131" s="15" t="str">
        <f>VLOOKUP($O131,'x - paper citations'!$B$3:$E$2000,2,FALSE)</f>
        <v>https://scholar.google.co.uk/scholar?q=%22A cluster based approach toward sensor localization and K-coverage problems%22&amp;btnG=&amp;hl=en&amp;as_sdt=0%2C5</v>
      </c>
      <c r="R131" s="15">
        <f>VLOOKUP($O131,'x - paper citations'!$B$3:$E$2000,3,FALSE)</f>
        <v>8</v>
      </c>
      <c r="S131" s="15" t="str">
        <f>VLOOKUP($O131,'x - paper citations'!$B$3:$E$2000,4,FALSE)</f>
        <v>29/02/2016</v>
      </c>
      <c r="U131" s="80" t="str">
        <f>IF(ISNA(VLOOKUP($B131&amp;":"&amp;U$3,'x - authors'!$B$3:$E$10000,4,FALSE)),"",VLOOKUP($B131&amp;":"&amp;U$3,'x - authors'!$B$3:$E$10000,4,FALSE))</f>
        <v>zhanyang_zhang</v>
      </c>
      <c r="V131" s="80" t="str">
        <f>IF(ISNA(VLOOKUP($B131&amp;":"&amp;V$3,'x - authors'!$B$3:$E$10000,4,FALSE)),"",VLOOKUP($B131&amp;":"&amp;V$3,'x - authors'!$B$3:$E$10000,4,FALSE))</f>
        <v/>
      </c>
      <c r="W131" s="80" t="str">
        <f>IF(ISNA(VLOOKUP($B131&amp;":"&amp;W$3,'x - authors'!$B$3:$E$10000,4,FALSE)),"",VLOOKUP($B131&amp;":"&amp;W$3,'x - authors'!$B$3:$E$10000,4,FALSE))</f>
        <v/>
      </c>
      <c r="X131" s="80" t="str">
        <f>IF(ISNA(VLOOKUP($B131&amp;":"&amp;X$3,'x - authors'!$B$3:$E$10000,4,FALSE)),"",VLOOKUP($B131&amp;":"&amp;X$3,'x - authors'!$B$3:$E$10000,4,FALSE))</f>
        <v/>
      </c>
      <c r="Y131" s="80" t="str">
        <f>IF(ISNA(VLOOKUP($B131&amp;":"&amp;Y$3,'x - authors'!$B$3:$E$10000,4,FALSE)),"",VLOOKUP($B131&amp;":"&amp;Y$3,'x - authors'!$B$3:$E$10000,4,FALSE))</f>
        <v/>
      </c>
      <c r="Z131" s="80" t="str">
        <f>IF(ISNA(VLOOKUP($B131&amp;":"&amp;Z$3,'x - authors'!$B$3:$E$10000,4,FALSE)),"",VLOOKUP($B131&amp;":"&amp;Z$3,'x - authors'!$B$3:$E$10000,4,FALSE))</f>
        <v/>
      </c>
      <c r="AA131" s="80" t="str">
        <f>IF(ISNA(VLOOKUP($B131&amp;":"&amp;AA$3,'x - authors'!$B$3:$E$10000,4,FALSE)),"",VLOOKUP($B131&amp;":"&amp;AA$3,'x - authors'!$B$3:$E$10000,4,FALSE))</f>
        <v/>
      </c>
      <c r="AB131" s="80" t="str">
        <f>IF(ISNA(VLOOKUP($B131&amp;":"&amp;AB$3,'x - authors'!$B$3:$E$10000,4,FALSE)),"",VLOOKUP($B131&amp;":"&amp;AB$3,'x - authors'!$B$3:$E$10000,4,FALSE))</f>
        <v/>
      </c>
      <c r="AC131" s="80" t="str">
        <f>IF(ISNA(VLOOKUP($B131&amp;":"&amp;AC$3,'x - authors'!$B$3:$E$10000,4,FALSE)),"",VLOOKUP($B131&amp;":"&amp;AC$3,'x - authors'!$B$3:$E$10000,4,FALSE))</f>
        <v/>
      </c>
      <c r="AD131" s="80" t="str">
        <f>IF(ISNA(VLOOKUP($B131&amp;":"&amp;AD$3,'x - authors'!$B$3:$E$10000,4,FALSE)),"",VLOOKUP($B131&amp;":"&amp;AD$3,'x - authors'!$B$3:$E$10000,4,FALSE))</f>
        <v/>
      </c>
      <c r="AE131" s="80" t="str">
        <f>IF(ISNA(VLOOKUP($B131&amp;":"&amp;AE$3,'x - authors'!$B$3:$E$10000,4,FALSE)),"",VLOOKUP($B131&amp;":"&amp;AE$3,'x - authors'!$B$3:$E$10000,4,FALSE))</f>
        <v/>
      </c>
      <c r="AF131" s="80" t="str">
        <f>IF(ISNA(VLOOKUP($B131&amp;":"&amp;AF$3,'x - authors'!$B$3:$E$10000,4,FALSE)),"",VLOOKUP($B131&amp;":"&amp;AF$3,'x - authors'!$B$3:$E$10000,4,FALSE))</f>
        <v/>
      </c>
      <c r="AG131" s="80" t="str">
        <f>IF(ISNA(VLOOKUP($B131&amp;":"&amp;AG$3,'x - authors'!$B$3:$E$10000,4,FALSE)),"",VLOOKUP($B131&amp;":"&amp;AG$3,'x - authors'!$B$3:$E$10000,4,FALSE))</f>
        <v/>
      </c>
      <c r="AH131" s="80" t="str">
        <f>IF(ISNA(VLOOKUP($B131&amp;":"&amp;AH$3,'x - authors'!$B$3:$E$10000,4,FALSE)),"",VLOOKUP($B131&amp;":"&amp;AH$3,'x - authors'!$B$3:$E$10000,4,FALSE))</f>
        <v/>
      </c>
      <c r="AI131" s="80" t="str">
        <f>IF(ISNA(VLOOKUP($B131&amp;":"&amp;AI$3,'x - authors'!$B$3:$E$10000,4,FALSE)),"",VLOOKUP($B131&amp;":"&amp;AI$3,'x - authors'!$B$3:$E$10000,4,FALSE))</f>
        <v/>
      </c>
    </row>
    <row r="132" spans="2:35">
      <c r="B132" s="65" t="s">
        <v>6294</v>
      </c>
      <c r="C132" s="65" t="s">
        <v>129</v>
      </c>
      <c r="D132" s="65" t="s">
        <v>6295</v>
      </c>
      <c r="E132" s="83" t="s">
        <v>6755</v>
      </c>
      <c r="F132" s="65"/>
      <c r="G132" s="65"/>
      <c r="H132" s="65" t="s">
        <v>6296</v>
      </c>
      <c r="I132" s="65"/>
      <c r="J132" s="65" t="s">
        <v>6298</v>
      </c>
      <c r="K132" s="65"/>
      <c r="L132" s="65" t="s">
        <v>6299</v>
      </c>
      <c r="M132" s="65"/>
      <c r="N132" s="65"/>
      <c r="O132" s="15" t="str">
        <f t="shared" si="1"/>
        <v>citation:doc-x0199-01</v>
      </c>
      <c r="Q132" s="15" t="str">
        <f>VLOOKUP($O132,'x - paper citations'!$B$3:$E$2000,2,FALSE)</f>
        <v>https://scholar.google.co.uk/scholar?q=%22A guide to trust in mobile ad hoc networks%22&amp;btnG=&amp;hl=en&amp;as_sdt=0%2C5</v>
      </c>
      <c r="R132" s="15">
        <f>VLOOKUP($O132,'x - paper citations'!$B$3:$E$2000,3,FALSE)</f>
        <v>6</v>
      </c>
      <c r="S132" s="15" t="str">
        <f>VLOOKUP($O132,'x - paper citations'!$B$3:$E$2000,4,FALSE)</f>
        <v>29/02/2016</v>
      </c>
      <c r="U132" s="80" t="str">
        <f>IF(ISNA(VLOOKUP($B132&amp;":"&amp;U$3,'x - authors'!$B$3:$E$10000,4,FALSE)),"",VLOOKUP($B132&amp;":"&amp;U$3,'x - authors'!$B$3:$E$10000,4,FALSE))</f>
        <v>shane_balfe</v>
      </c>
      <c r="V132" s="80" t="str">
        <f>IF(ISNA(VLOOKUP($B132&amp;":"&amp;V$3,'x - authors'!$B$3:$E$10000,4,FALSE)),"",VLOOKUP($B132&amp;":"&amp;V$3,'x - authors'!$B$3:$E$10000,4,FALSE))</f>
        <v>po-wah_yau</v>
      </c>
      <c r="W132" s="80" t="str">
        <f>IF(ISNA(VLOOKUP($B132&amp;":"&amp;W$3,'x - authors'!$B$3:$E$10000,4,FALSE)),"",VLOOKUP($B132&amp;":"&amp;W$3,'x - authors'!$B$3:$E$10000,4,FALSE))</f>
        <v>kenny_paterson</v>
      </c>
      <c r="X132" s="80" t="str">
        <f>IF(ISNA(VLOOKUP($B132&amp;":"&amp;X$3,'x - authors'!$B$3:$E$10000,4,FALSE)),"",VLOOKUP($B132&amp;":"&amp;X$3,'x - authors'!$B$3:$E$10000,4,FALSE))</f>
        <v/>
      </c>
      <c r="Y132" s="80" t="str">
        <f>IF(ISNA(VLOOKUP($B132&amp;":"&amp;Y$3,'x - authors'!$B$3:$E$10000,4,FALSE)),"",VLOOKUP($B132&amp;":"&amp;Y$3,'x - authors'!$B$3:$E$10000,4,FALSE))</f>
        <v/>
      </c>
      <c r="Z132" s="80" t="str">
        <f>IF(ISNA(VLOOKUP($B132&amp;":"&amp;Z$3,'x - authors'!$B$3:$E$10000,4,FALSE)),"",VLOOKUP($B132&amp;":"&amp;Z$3,'x - authors'!$B$3:$E$10000,4,FALSE))</f>
        <v/>
      </c>
      <c r="AA132" s="80" t="str">
        <f>IF(ISNA(VLOOKUP($B132&amp;":"&amp;AA$3,'x - authors'!$B$3:$E$10000,4,FALSE)),"",VLOOKUP($B132&amp;":"&amp;AA$3,'x - authors'!$B$3:$E$10000,4,FALSE))</f>
        <v/>
      </c>
      <c r="AB132" s="80" t="str">
        <f>IF(ISNA(VLOOKUP($B132&amp;":"&amp;AB$3,'x - authors'!$B$3:$E$10000,4,FALSE)),"",VLOOKUP($B132&amp;":"&amp;AB$3,'x - authors'!$B$3:$E$10000,4,FALSE))</f>
        <v/>
      </c>
      <c r="AC132" s="80" t="str">
        <f>IF(ISNA(VLOOKUP($B132&amp;":"&amp;AC$3,'x - authors'!$B$3:$E$10000,4,FALSE)),"",VLOOKUP($B132&amp;":"&amp;AC$3,'x - authors'!$B$3:$E$10000,4,FALSE))</f>
        <v/>
      </c>
      <c r="AD132" s="80" t="str">
        <f>IF(ISNA(VLOOKUP($B132&amp;":"&amp;AD$3,'x - authors'!$B$3:$E$10000,4,FALSE)),"",VLOOKUP($B132&amp;":"&amp;AD$3,'x - authors'!$B$3:$E$10000,4,FALSE))</f>
        <v/>
      </c>
      <c r="AE132" s="80" t="str">
        <f>IF(ISNA(VLOOKUP($B132&amp;":"&amp;AE$3,'x - authors'!$B$3:$E$10000,4,FALSE)),"",VLOOKUP($B132&amp;":"&amp;AE$3,'x - authors'!$B$3:$E$10000,4,FALSE))</f>
        <v/>
      </c>
      <c r="AF132" s="80" t="str">
        <f>IF(ISNA(VLOOKUP($B132&amp;":"&amp;AF$3,'x - authors'!$B$3:$E$10000,4,FALSE)),"",VLOOKUP($B132&amp;":"&amp;AF$3,'x - authors'!$B$3:$E$10000,4,FALSE))</f>
        <v/>
      </c>
      <c r="AG132" s="80" t="str">
        <f>IF(ISNA(VLOOKUP($B132&amp;":"&amp;AG$3,'x - authors'!$B$3:$E$10000,4,FALSE)),"",VLOOKUP($B132&amp;":"&amp;AG$3,'x - authors'!$B$3:$E$10000,4,FALSE))</f>
        <v/>
      </c>
      <c r="AH132" s="80" t="str">
        <f>IF(ISNA(VLOOKUP($B132&amp;":"&amp;AH$3,'x - authors'!$B$3:$E$10000,4,FALSE)),"",VLOOKUP($B132&amp;":"&amp;AH$3,'x - authors'!$B$3:$E$10000,4,FALSE))</f>
        <v/>
      </c>
      <c r="AI132" s="80" t="str">
        <f>IF(ISNA(VLOOKUP($B132&amp;":"&amp;AI$3,'x - authors'!$B$3:$E$10000,4,FALSE)),"",VLOOKUP($B132&amp;":"&amp;AI$3,'x - authors'!$B$3:$E$10000,4,FALSE))</f>
        <v/>
      </c>
    </row>
    <row r="133" spans="2:35">
      <c r="B133" s="65" t="s">
        <v>6300</v>
      </c>
      <c r="C133" s="65" t="s">
        <v>129</v>
      </c>
      <c r="D133" s="65" t="s">
        <v>6301</v>
      </c>
      <c r="E133" s="83" t="s">
        <v>6758</v>
      </c>
      <c r="F133" s="65"/>
      <c r="G133" s="65"/>
      <c r="H133" s="65" t="s">
        <v>6302</v>
      </c>
      <c r="I133" s="65"/>
      <c r="J133" s="65" t="s">
        <v>6304</v>
      </c>
      <c r="K133" s="65"/>
      <c r="L133" s="65" t="s">
        <v>6305</v>
      </c>
      <c r="M133" s="65"/>
      <c r="N133" s="65"/>
      <c r="O133" s="15" t="str">
        <f t="shared" ref="O133:O196" si="2">"citation:"&amp;B133&amp;"-01"</f>
        <v>citation:doc-x0200-01</v>
      </c>
      <c r="Q133" s="15" t="str">
        <f>VLOOKUP($O133,'x - paper citations'!$B$3:$E$2000,2,FALSE)</f>
        <v>https://scholar.google.co.uk/scholar?q=%22A survey of uncertain data algorithms and applications%22&amp;btnG=&amp;hl=en&amp;as_sdt=0%2C5</v>
      </c>
      <c r="R133" s="15">
        <f>VLOOKUP($O133,'x - paper citations'!$B$3:$E$2000,3,FALSE)</f>
        <v>324</v>
      </c>
      <c r="S133" s="15" t="str">
        <f>VLOOKUP($O133,'x - paper citations'!$B$3:$E$2000,4,FALSE)</f>
        <v>29/02/2016</v>
      </c>
      <c r="U133" s="80" t="str">
        <f>IF(ISNA(VLOOKUP($B133&amp;":"&amp;U$3,'x - authors'!$B$3:$E$10000,4,FALSE)),"",VLOOKUP($B133&amp;":"&amp;U$3,'x - authors'!$B$3:$E$10000,4,FALSE))</f>
        <v>charu_aggarwal</v>
      </c>
      <c r="V133" s="80" t="str">
        <f>IF(ISNA(VLOOKUP($B133&amp;":"&amp;V$3,'x - authors'!$B$3:$E$10000,4,FALSE)),"",VLOOKUP($B133&amp;":"&amp;V$3,'x - authors'!$B$3:$E$10000,4,FALSE))</f>
        <v>philip_yu</v>
      </c>
      <c r="W133" s="80" t="str">
        <f>IF(ISNA(VLOOKUP($B133&amp;":"&amp;W$3,'x - authors'!$B$3:$E$10000,4,FALSE)),"",VLOOKUP($B133&amp;":"&amp;W$3,'x - authors'!$B$3:$E$10000,4,FALSE))</f>
        <v/>
      </c>
      <c r="X133" s="80" t="str">
        <f>IF(ISNA(VLOOKUP($B133&amp;":"&amp;X$3,'x - authors'!$B$3:$E$10000,4,FALSE)),"",VLOOKUP($B133&amp;":"&amp;X$3,'x - authors'!$B$3:$E$10000,4,FALSE))</f>
        <v/>
      </c>
      <c r="Y133" s="80" t="str">
        <f>IF(ISNA(VLOOKUP($B133&amp;":"&amp;Y$3,'x - authors'!$B$3:$E$10000,4,FALSE)),"",VLOOKUP($B133&amp;":"&amp;Y$3,'x - authors'!$B$3:$E$10000,4,FALSE))</f>
        <v/>
      </c>
      <c r="Z133" s="80" t="str">
        <f>IF(ISNA(VLOOKUP($B133&amp;":"&amp;Z$3,'x - authors'!$B$3:$E$10000,4,FALSE)),"",VLOOKUP($B133&amp;":"&amp;Z$3,'x - authors'!$B$3:$E$10000,4,FALSE))</f>
        <v/>
      </c>
      <c r="AA133" s="80" t="str">
        <f>IF(ISNA(VLOOKUP($B133&amp;":"&amp;AA$3,'x - authors'!$B$3:$E$10000,4,FALSE)),"",VLOOKUP($B133&amp;":"&amp;AA$3,'x - authors'!$B$3:$E$10000,4,FALSE))</f>
        <v/>
      </c>
      <c r="AB133" s="80" t="str">
        <f>IF(ISNA(VLOOKUP($B133&amp;":"&amp;AB$3,'x - authors'!$B$3:$E$10000,4,FALSE)),"",VLOOKUP($B133&amp;":"&amp;AB$3,'x - authors'!$B$3:$E$10000,4,FALSE))</f>
        <v/>
      </c>
      <c r="AC133" s="80" t="str">
        <f>IF(ISNA(VLOOKUP($B133&amp;":"&amp;AC$3,'x - authors'!$B$3:$E$10000,4,FALSE)),"",VLOOKUP($B133&amp;":"&amp;AC$3,'x - authors'!$B$3:$E$10000,4,FALSE))</f>
        <v/>
      </c>
      <c r="AD133" s="80" t="str">
        <f>IF(ISNA(VLOOKUP($B133&amp;":"&amp;AD$3,'x - authors'!$B$3:$E$10000,4,FALSE)),"",VLOOKUP($B133&amp;":"&amp;AD$3,'x - authors'!$B$3:$E$10000,4,FALSE))</f>
        <v/>
      </c>
      <c r="AE133" s="80" t="str">
        <f>IF(ISNA(VLOOKUP($B133&amp;":"&amp;AE$3,'x - authors'!$B$3:$E$10000,4,FALSE)),"",VLOOKUP($B133&amp;":"&amp;AE$3,'x - authors'!$B$3:$E$10000,4,FALSE))</f>
        <v/>
      </c>
      <c r="AF133" s="80" t="str">
        <f>IF(ISNA(VLOOKUP($B133&amp;":"&amp;AF$3,'x - authors'!$B$3:$E$10000,4,FALSE)),"",VLOOKUP($B133&amp;":"&amp;AF$3,'x - authors'!$B$3:$E$10000,4,FALSE))</f>
        <v/>
      </c>
      <c r="AG133" s="80" t="str">
        <f>IF(ISNA(VLOOKUP($B133&amp;":"&amp;AG$3,'x - authors'!$B$3:$E$10000,4,FALSE)),"",VLOOKUP($B133&amp;":"&amp;AG$3,'x - authors'!$B$3:$E$10000,4,FALSE))</f>
        <v/>
      </c>
      <c r="AH133" s="80" t="str">
        <f>IF(ISNA(VLOOKUP($B133&amp;":"&amp;AH$3,'x - authors'!$B$3:$E$10000,4,FALSE)),"",VLOOKUP($B133&amp;":"&amp;AH$3,'x - authors'!$B$3:$E$10000,4,FALSE))</f>
        <v/>
      </c>
      <c r="AI133" s="80" t="str">
        <f>IF(ISNA(VLOOKUP($B133&amp;":"&amp;AI$3,'x - authors'!$B$3:$E$10000,4,FALSE)),"",VLOOKUP($B133&amp;":"&amp;AI$3,'x - authors'!$B$3:$E$10000,4,FALSE))</f>
        <v/>
      </c>
    </row>
    <row r="134" spans="2:35">
      <c r="B134" s="65" t="s">
        <v>6306</v>
      </c>
      <c r="C134" s="65" t="s">
        <v>129</v>
      </c>
      <c r="D134" s="65" t="s">
        <v>6307</v>
      </c>
      <c r="E134" s="83" t="s">
        <v>6758</v>
      </c>
      <c r="F134" s="65"/>
      <c r="G134" s="65"/>
      <c r="H134" s="65" t="s">
        <v>6308</v>
      </c>
      <c r="I134" s="65"/>
      <c r="J134" s="65" t="s">
        <v>6310</v>
      </c>
      <c r="K134" s="65"/>
      <c r="L134" s="65" t="s">
        <v>6311</v>
      </c>
      <c r="M134" s="65"/>
      <c r="N134" s="65"/>
      <c r="O134" s="15" t="str">
        <f t="shared" si="2"/>
        <v>citation:doc-x0201-01</v>
      </c>
      <c r="Q134" s="15" t="str">
        <f>VLOOKUP($O134,'x - paper citations'!$B$3:$E$2000,2,FALSE)</f>
        <v>https://scholar.google.co.uk/scholar?q=%22ASR: anonymous and secure reporting of traffic forwarding activity in mobile ad hoc networks%22&amp;btnG=&amp;hl=en&amp;as_sdt=0%2C5</v>
      </c>
      <c r="R134" s="15">
        <f>VLOOKUP($O134,'x - paper citations'!$B$3:$E$2000,3,FALSE)</f>
        <v>13</v>
      </c>
      <c r="S134" s="15" t="str">
        <f>VLOOKUP($O134,'x - paper citations'!$B$3:$E$2000,4,FALSE)</f>
        <v>29/02/2016</v>
      </c>
      <c r="U134" s="80" t="str">
        <f>IF(ISNA(VLOOKUP($B134&amp;":"&amp;U$3,'x - authors'!$B$3:$E$10000,4,FALSE)),"",VLOOKUP($B134&amp;":"&amp;U$3,'x - authors'!$B$3:$E$10000,4,FALSE))</f>
        <v>heesook_choi</v>
      </c>
      <c r="V134" s="80" t="str">
        <f>IF(ISNA(VLOOKUP($B134&amp;":"&amp;V$3,'x - authors'!$B$3:$E$10000,4,FALSE)),"",VLOOKUP($B134&amp;":"&amp;V$3,'x - authors'!$B$3:$E$10000,4,FALSE))</f>
        <v>william_enck</v>
      </c>
      <c r="W134" s="80" t="str">
        <f>IF(ISNA(VLOOKUP($B134&amp;":"&amp;W$3,'x - authors'!$B$3:$E$10000,4,FALSE)),"",VLOOKUP($B134&amp;":"&amp;W$3,'x - authors'!$B$3:$E$10000,4,FALSE))</f>
        <v>jaesheung_shin</v>
      </c>
      <c r="X134" s="80" t="str">
        <f>IF(ISNA(VLOOKUP($B134&amp;":"&amp;X$3,'x - authors'!$B$3:$E$10000,4,FALSE)),"",VLOOKUP($B134&amp;":"&amp;X$3,'x - authors'!$B$3:$E$10000,4,FALSE))</f>
        <v>patrick_mcdaniel</v>
      </c>
      <c r="Y134" s="80" t="str">
        <f>IF(ISNA(VLOOKUP($B134&amp;":"&amp;Y$3,'x - authors'!$B$3:$E$10000,4,FALSE)),"",VLOOKUP($B134&amp;":"&amp;Y$3,'x - authors'!$B$3:$E$10000,4,FALSE))</f>
        <v>thomas_laporta</v>
      </c>
      <c r="Z134" s="80" t="str">
        <f>IF(ISNA(VLOOKUP($B134&amp;":"&amp;Z$3,'x - authors'!$B$3:$E$10000,4,FALSE)),"",VLOOKUP($B134&amp;":"&amp;Z$3,'x - authors'!$B$3:$E$10000,4,FALSE))</f>
        <v/>
      </c>
      <c r="AA134" s="80" t="str">
        <f>IF(ISNA(VLOOKUP($B134&amp;":"&amp;AA$3,'x - authors'!$B$3:$E$10000,4,FALSE)),"",VLOOKUP($B134&amp;":"&amp;AA$3,'x - authors'!$B$3:$E$10000,4,FALSE))</f>
        <v/>
      </c>
      <c r="AB134" s="80" t="str">
        <f>IF(ISNA(VLOOKUP($B134&amp;":"&amp;AB$3,'x - authors'!$B$3:$E$10000,4,FALSE)),"",VLOOKUP($B134&amp;":"&amp;AB$3,'x - authors'!$B$3:$E$10000,4,FALSE))</f>
        <v/>
      </c>
      <c r="AC134" s="80" t="str">
        <f>IF(ISNA(VLOOKUP($B134&amp;":"&amp;AC$3,'x - authors'!$B$3:$E$10000,4,FALSE)),"",VLOOKUP($B134&amp;":"&amp;AC$3,'x - authors'!$B$3:$E$10000,4,FALSE))</f>
        <v/>
      </c>
      <c r="AD134" s="80" t="str">
        <f>IF(ISNA(VLOOKUP($B134&amp;":"&amp;AD$3,'x - authors'!$B$3:$E$10000,4,FALSE)),"",VLOOKUP($B134&amp;":"&amp;AD$3,'x - authors'!$B$3:$E$10000,4,FALSE))</f>
        <v/>
      </c>
      <c r="AE134" s="80" t="str">
        <f>IF(ISNA(VLOOKUP($B134&amp;":"&amp;AE$3,'x - authors'!$B$3:$E$10000,4,FALSE)),"",VLOOKUP($B134&amp;":"&amp;AE$3,'x - authors'!$B$3:$E$10000,4,FALSE))</f>
        <v/>
      </c>
      <c r="AF134" s="80" t="str">
        <f>IF(ISNA(VLOOKUP($B134&amp;":"&amp;AF$3,'x - authors'!$B$3:$E$10000,4,FALSE)),"",VLOOKUP($B134&amp;":"&amp;AF$3,'x - authors'!$B$3:$E$10000,4,FALSE))</f>
        <v/>
      </c>
      <c r="AG134" s="80" t="str">
        <f>IF(ISNA(VLOOKUP($B134&amp;":"&amp;AG$3,'x - authors'!$B$3:$E$10000,4,FALSE)),"",VLOOKUP($B134&amp;":"&amp;AG$3,'x - authors'!$B$3:$E$10000,4,FALSE))</f>
        <v/>
      </c>
      <c r="AH134" s="80" t="str">
        <f>IF(ISNA(VLOOKUP($B134&amp;":"&amp;AH$3,'x - authors'!$B$3:$E$10000,4,FALSE)),"",VLOOKUP($B134&amp;":"&amp;AH$3,'x - authors'!$B$3:$E$10000,4,FALSE))</f>
        <v/>
      </c>
      <c r="AI134" s="80" t="str">
        <f>IF(ISNA(VLOOKUP($B134&amp;":"&amp;AI$3,'x - authors'!$B$3:$E$10000,4,FALSE)),"",VLOOKUP($B134&amp;":"&amp;AI$3,'x - authors'!$B$3:$E$10000,4,FALSE))</f>
        <v/>
      </c>
    </row>
    <row r="135" spans="2:35">
      <c r="B135" s="65" t="s">
        <v>6312</v>
      </c>
      <c r="C135" s="65" t="s">
        <v>129</v>
      </c>
      <c r="D135" s="65" t="s">
        <v>6313</v>
      </c>
      <c r="E135" s="83" t="s">
        <v>6756</v>
      </c>
      <c r="F135" s="65"/>
      <c r="G135" s="65"/>
      <c r="H135" s="65" t="s">
        <v>6314</v>
      </c>
      <c r="I135" s="65"/>
      <c r="J135" s="65" t="s">
        <v>6316</v>
      </c>
      <c r="K135" s="65"/>
      <c r="L135" s="65" t="s">
        <v>6317</v>
      </c>
      <c r="M135" s="65" t="s">
        <v>6318</v>
      </c>
      <c r="N135" s="65"/>
      <c r="O135" s="15" t="str">
        <f t="shared" si="2"/>
        <v>citation:doc-x0202-01</v>
      </c>
      <c r="Q135" s="15" t="str">
        <f>VLOOKUP($O135,'x - paper citations'!$B$3:$E$2000,2,FALSE)</f>
        <v>https://scholar.google.co.uk/scholar?q=%22Authenticated broadcast with a partially compromised public-key infrastructure%22&amp;btnG=&amp;hl=en&amp;as_sdt=0%2C5</v>
      </c>
      <c r="R135" s="15">
        <f>VLOOKUP($O135,'x - paper citations'!$B$3:$E$2000,3,FALSE)</f>
        <v>7</v>
      </c>
      <c r="S135" s="15" t="str">
        <f>VLOOKUP($O135,'x - paper citations'!$B$3:$E$2000,4,FALSE)</f>
        <v>29/02/2016</v>
      </c>
      <c r="U135" s="80" t="str">
        <f>IF(ISNA(VLOOKUP($B135&amp;":"&amp;U$3,'x - authors'!$B$3:$E$10000,4,FALSE)),"",VLOOKUP($B135&amp;":"&amp;U$3,'x - authors'!$B$3:$E$10000,4,FALSE))</f>
        <v>dov_gordon</v>
      </c>
      <c r="V135" s="80" t="str">
        <f>IF(ISNA(VLOOKUP($B135&amp;":"&amp;V$3,'x - authors'!$B$3:$E$10000,4,FALSE)),"",VLOOKUP($B135&amp;":"&amp;V$3,'x - authors'!$B$3:$E$10000,4,FALSE))</f>
        <v>jon_katz</v>
      </c>
      <c r="W135" s="80" t="str">
        <f>IF(ISNA(VLOOKUP($B135&amp;":"&amp;W$3,'x - authors'!$B$3:$E$10000,4,FALSE)),"",VLOOKUP($B135&amp;":"&amp;W$3,'x - authors'!$B$3:$E$10000,4,FALSE))</f>
        <v>ranjit_kumaresan</v>
      </c>
      <c r="X135" s="80" t="str">
        <f>IF(ISNA(VLOOKUP($B135&amp;":"&amp;X$3,'x - authors'!$B$3:$E$10000,4,FALSE)),"",VLOOKUP($B135&amp;":"&amp;X$3,'x - authors'!$B$3:$E$10000,4,FALSE))</f>
        <v>arkady_yerukhimovich</v>
      </c>
      <c r="Y135" s="80" t="str">
        <f>IF(ISNA(VLOOKUP($B135&amp;":"&amp;Y$3,'x - authors'!$B$3:$E$10000,4,FALSE)),"",VLOOKUP($B135&amp;":"&amp;Y$3,'x - authors'!$B$3:$E$10000,4,FALSE))</f>
        <v/>
      </c>
      <c r="Z135" s="80" t="str">
        <f>IF(ISNA(VLOOKUP($B135&amp;":"&amp;Z$3,'x - authors'!$B$3:$E$10000,4,FALSE)),"",VLOOKUP($B135&amp;":"&amp;Z$3,'x - authors'!$B$3:$E$10000,4,FALSE))</f>
        <v/>
      </c>
      <c r="AA135" s="80" t="str">
        <f>IF(ISNA(VLOOKUP($B135&amp;":"&amp;AA$3,'x - authors'!$B$3:$E$10000,4,FALSE)),"",VLOOKUP($B135&amp;":"&amp;AA$3,'x - authors'!$B$3:$E$10000,4,FALSE))</f>
        <v/>
      </c>
      <c r="AB135" s="80" t="str">
        <f>IF(ISNA(VLOOKUP($B135&amp;":"&amp;AB$3,'x - authors'!$B$3:$E$10000,4,FALSE)),"",VLOOKUP($B135&amp;":"&amp;AB$3,'x - authors'!$B$3:$E$10000,4,FALSE))</f>
        <v/>
      </c>
      <c r="AC135" s="80" t="str">
        <f>IF(ISNA(VLOOKUP($B135&amp;":"&amp;AC$3,'x - authors'!$B$3:$E$10000,4,FALSE)),"",VLOOKUP($B135&amp;":"&amp;AC$3,'x - authors'!$B$3:$E$10000,4,FALSE))</f>
        <v/>
      </c>
      <c r="AD135" s="80" t="str">
        <f>IF(ISNA(VLOOKUP($B135&amp;":"&amp;AD$3,'x - authors'!$B$3:$E$10000,4,FALSE)),"",VLOOKUP($B135&amp;":"&amp;AD$3,'x - authors'!$B$3:$E$10000,4,FALSE))</f>
        <v/>
      </c>
      <c r="AE135" s="80" t="str">
        <f>IF(ISNA(VLOOKUP($B135&amp;":"&amp;AE$3,'x - authors'!$B$3:$E$10000,4,FALSE)),"",VLOOKUP($B135&amp;":"&amp;AE$3,'x - authors'!$B$3:$E$10000,4,FALSE))</f>
        <v/>
      </c>
      <c r="AF135" s="80" t="str">
        <f>IF(ISNA(VLOOKUP($B135&amp;":"&amp;AF$3,'x - authors'!$B$3:$E$10000,4,FALSE)),"",VLOOKUP($B135&amp;":"&amp;AF$3,'x - authors'!$B$3:$E$10000,4,FALSE))</f>
        <v/>
      </c>
      <c r="AG135" s="80" t="str">
        <f>IF(ISNA(VLOOKUP($B135&amp;":"&amp;AG$3,'x - authors'!$B$3:$E$10000,4,FALSE)),"",VLOOKUP($B135&amp;":"&amp;AG$3,'x - authors'!$B$3:$E$10000,4,FALSE))</f>
        <v/>
      </c>
      <c r="AH135" s="80" t="str">
        <f>IF(ISNA(VLOOKUP($B135&amp;":"&amp;AH$3,'x - authors'!$B$3:$E$10000,4,FALSE)),"",VLOOKUP($B135&amp;":"&amp;AH$3,'x - authors'!$B$3:$E$10000,4,FALSE))</f>
        <v/>
      </c>
      <c r="AI135" s="80" t="str">
        <f>IF(ISNA(VLOOKUP($B135&amp;":"&amp;AI$3,'x - authors'!$B$3:$E$10000,4,FALSE)),"",VLOOKUP($B135&amp;":"&amp;AI$3,'x - authors'!$B$3:$E$10000,4,FALSE))</f>
        <v/>
      </c>
    </row>
    <row r="136" spans="2:35">
      <c r="B136" s="65" t="s">
        <v>6319</v>
      </c>
      <c r="C136" s="65" t="s">
        <v>129</v>
      </c>
      <c r="D136" s="65" t="s">
        <v>6320</v>
      </c>
      <c r="E136" s="83" t="s">
        <v>6759</v>
      </c>
      <c r="F136" s="65"/>
      <c r="G136" s="65"/>
      <c r="H136" s="65" t="s">
        <v>6321</v>
      </c>
      <c r="I136" s="65"/>
      <c r="J136" s="65" t="s">
        <v>6323</v>
      </c>
      <c r="K136" s="65"/>
      <c r="L136" s="65" t="s">
        <v>6324</v>
      </c>
      <c r="M136" s="65"/>
      <c r="N136" s="65"/>
      <c r="O136" s="15" t="str">
        <f t="shared" si="2"/>
        <v>citation:doc-x0203-01</v>
      </c>
      <c r="Q136" s="15" t="str">
        <f>VLOOKUP($O136,'x - paper citations'!$B$3:$E$2000,2,FALSE)</f>
        <v>https://scholar.google.co.uk/scholar?q=%22Computing with time: from neural networks to sensor networks%22&amp;btnG=&amp;hl=en&amp;as_sdt=0%2C5</v>
      </c>
      <c r="R136" s="15">
        <f>VLOOKUP($O136,'x - paper citations'!$B$3:$E$2000,3,FALSE)</f>
        <v>23</v>
      </c>
      <c r="S136" s="15" t="str">
        <f>VLOOKUP($O136,'x - paper citations'!$B$3:$E$2000,4,FALSE)</f>
        <v>29/02/2016</v>
      </c>
      <c r="U136" s="80" t="str">
        <f>IF(ISNA(VLOOKUP($B136&amp;":"&amp;U$3,'x - authors'!$B$3:$E$10000,4,FALSE)),"",VLOOKUP($B136&amp;":"&amp;U$3,'x - authors'!$B$3:$E$10000,4,FALSE))</f>
        <v>boleslaw_szymanski</v>
      </c>
      <c r="V136" s="80" t="str">
        <f>IF(ISNA(VLOOKUP($B136&amp;":"&amp;V$3,'x - authors'!$B$3:$E$10000,4,FALSE)),"",VLOOKUP($B136&amp;":"&amp;V$3,'x - authors'!$B$3:$E$10000,4,FALSE))</f>
        <v>gilbert_chen</v>
      </c>
      <c r="W136" s="80" t="str">
        <f>IF(ISNA(VLOOKUP($B136&amp;":"&amp;W$3,'x - authors'!$B$3:$E$10000,4,FALSE)),"",VLOOKUP($B136&amp;":"&amp;W$3,'x - authors'!$B$3:$E$10000,4,FALSE))</f>
        <v/>
      </c>
      <c r="X136" s="80" t="str">
        <f>IF(ISNA(VLOOKUP($B136&amp;":"&amp;X$3,'x - authors'!$B$3:$E$10000,4,FALSE)),"",VLOOKUP($B136&amp;":"&amp;X$3,'x - authors'!$B$3:$E$10000,4,FALSE))</f>
        <v/>
      </c>
      <c r="Y136" s="80" t="str">
        <f>IF(ISNA(VLOOKUP($B136&amp;":"&amp;Y$3,'x - authors'!$B$3:$E$10000,4,FALSE)),"",VLOOKUP($B136&amp;":"&amp;Y$3,'x - authors'!$B$3:$E$10000,4,FALSE))</f>
        <v/>
      </c>
      <c r="Z136" s="80" t="str">
        <f>IF(ISNA(VLOOKUP($B136&amp;":"&amp;Z$3,'x - authors'!$B$3:$E$10000,4,FALSE)),"",VLOOKUP($B136&amp;":"&amp;Z$3,'x - authors'!$B$3:$E$10000,4,FALSE))</f>
        <v/>
      </c>
      <c r="AA136" s="80" t="str">
        <f>IF(ISNA(VLOOKUP($B136&amp;":"&amp;AA$3,'x - authors'!$B$3:$E$10000,4,FALSE)),"",VLOOKUP($B136&amp;":"&amp;AA$3,'x - authors'!$B$3:$E$10000,4,FALSE))</f>
        <v/>
      </c>
      <c r="AB136" s="80" t="str">
        <f>IF(ISNA(VLOOKUP($B136&amp;":"&amp;AB$3,'x - authors'!$B$3:$E$10000,4,FALSE)),"",VLOOKUP($B136&amp;":"&amp;AB$3,'x - authors'!$B$3:$E$10000,4,FALSE))</f>
        <v/>
      </c>
      <c r="AC136" s="80" t="str">
        <f>IF(ISNA(VLOOKUP($B136&amp;":"&amp;AC$3,'x - authors'!$B$3:$E$10000,4,FALSE)),"",VLOOKUP($B136&amp;":"&amp;AC$3,'x - authors'!$B$3:$E$10000,4,FALSE))</f>
        <v/>
      </c>
      <c r="AD136" s="80" t="str">
        <f>IF(ISNA(VLOOKUP($B136&amp;":"&amp;AD$3,'x - authors'!$B$3:$E$10000,4,FALSE)),"",VLOOKUP($B136&amp;":"&amp;AD$3,'x - authors'!$B$3:$E$10000,4,FALSE))</f>
        <v/>
      </c>
      <c r="AE136" s="80" t="str">
        <f>IF(ISNA(VLOOKUP($B136&amp;":"&amp;AE$3,'x - authors'!$B$3:$E$10000,4,FALSE)),"",VLOOKUP($B136&amp;":"&amp;AE$3,'x - authors'!$B$3:$E$10000,4,FALSE))</f>
        <v/>
      </c>
      <c r="AF136" s="80" t="str">
        <f>IF(ISNA(VLOOKUP($B136&amp;":"&amp;AF$3,'x - authors'!$B$3:$E$10000,4,FALSE)),"",VLOOKUP($B136&amp;":"&amp;AF$3,'x - authors'!$B$3:$E$10000,4,FALSE))</f>
        <v/>
      </c>
      <c r="AG136" s="80" t="str">
        <f>IF(ISNA(VLOOKUP($B136&amp;":"&amp;AG$3,'x - authors'!$B$3:$E$10000,4,FALSE)),"",VLOOKUP($B136&amp;":"&amp;AG$3,'x - authors'!$B$3:$E$10000,4,FALSE))</f>
        <v/>
      </c>
      <c r="AH136" s="80" t="str">
        <f>IF(ISNA(VLOOKUP($B136&amp;":"&amp;AH$3,'x - authors'!$B$3:$E$10000,4,FALSE)),"",VLOOKUP($B136&amp;":"&amp;AH$3,'x - authors'!$B$3:$E$10000,4,FALSE))</f>
        <v/>
      </c>
      <c r="AI136" s="80" t="str">
        <f>IF(ISNA(VLOOKUP($B136&amp;":"&amp;AI$3,'x - authors'!$B$3:$E$10000,4,FALSE)),"",VLOOKUP($B136&amp;":"&amp;AI$3,'x - authors'!$B$3:$E$10000,4,FALSE))</f>
        <v/>
      </c>
    </row>
    <row r="137" spans="2:35">
      <c r="B137" s="65" t="s">
        <v>6325</v>
      </c>
      <c r="C137" s="65" t="s">
        <v>129</v>
      </c>
      <c r="D137" s="65" t="s">
        <v>6326</v>
      </c>
      <c r="E137" s="83" t="s">
        <v>6755</v>
      </c>
      <c r="F137" s="65"/>
      <c r="G137" s="65"/>
      <c r="H137" s="65" t="s">
        <v>6327</v>
      </c>
      <c r="I137" s="65"/>
      <c r="J137" s="65" t="s">
        <v>6329</v>
      </c>
      <c r="K137" s="65"/>
      <c r="L137" s="65" t="s">
        <v>6330</v>
      </c>
      <c r="M137" s="65"/>
      <c r="N137" s="65"/>
      <c r="O137" s="15" t="str">
        <f t="shared" si="2"/>
        <v>citation:doc-x0204-01</v>
      </c>
      <c r="Q137" s="15" t="str">
        <f>VLOOKUP($O137,'x - paper citations'!$B$3:$E$2000,2,FALSE)</f>
        <v>https://scholar.google.co.uk/scholar?q=%22Constrained-path labellings on graphs of bounded clique-width%22&amp;btnG=&amp;hl=en&amp;as_sdt=0%2C5</v>
      </c>
      <c r="R137" s="15">
        <f>VLOOKUP($O137,'x - paper citations'!$B$3:$E$2000,3,FALSE)</f>
        <v>11</v>
      </c>
      <c r="S137" s="15" t="str">
        <f>VLOOKUP($O137,'x - paper citations'!$B$3:$E$2000,4,FALSE)</f>
        <v>29/02/2016</v>
      </c>
      <c r="U137" s="80" t="str">
        <f>IF(ISNA(VLOOKUP($B137&amp;":"&amp;U$3,'x - authors'!$B$3:$E$10000,4,FALSE)),"",VLOOKUP($B137&amp;":"&amp;U$3,'x - authors'!$B$3:$E$10000,4,FALSE))</f>
        <v>bruno_courcelle</v>
      </c>
      <c r="V137" s="80" t="str">
        <f>IF(ISNA(VLOOKUP($B137&amp;":"&amp;V$3,'x - authors'!$B$3:$E$10000,4,FALSE)),"",VLOOKUP($B137&amp;":"&amp;V$3,'x - authors'!$B$3:$E$10000,4,FALSE))</f>
        <v>andrew_twigg</v>
      </c>
      <c r="W137" s="80" t="str">
        <f>IF(ISNA(VLOOKUP($B137&amp;":"&amp;W$3,'x - authors'!$B$3:$E$10000,4,FALSE)),"",VLOOKUP($B137&amp;":"&amp;W$3,'x - authors'!$B$3:$E$10000,4,FALSE))</f>
        <v/>
      </c>
      <c r="X137" s="80" t="str">
        <f>IF(ISNA(VLOOKUP($B137&amp;":"&amp;X$3,'x - authors'!$B$3:$E$10000,4,FALSE)),"",VLOOKUP($B137&amp;":"&amp;X$3,'x - authors'!$B$3:$E$10000,4,FALSE))</f>
        <v/>
      </c>
      <c r="Y137" s="80" t="str">
        <f>IF(ISNA(VLOOKUP($B137&amp;":"&amp;Y$3,'x - authors'!$B$3:$E$10000,4,FALSE)),"",VLOOKUP($B137&amp;":"&amp;Y$3,'x - authors'!$B$3:$E$10000,4,FALSE))</f>
        <v/>
      </c>
      <c r="Z137" s="80" t="str">
        <f>IF(ISNA(VLOOKUP($B137&amp;":"&amp;Z$3,'x - authors'!$B$3:$E$10000,4,FALSE)),"",VLOOKUP($B137&amp;":"&amp;Z$3,'x - authors'!$B$3:$E$10000,4,FALSE))</f>
        <v/>
      </c>
      <c r="AA137" s="80" t="str">
        <f>IF(ISNA(VLOOKUP($B137&amp;":"&amp;AA$3,'x - authors'!$B$3:$E$10000,4,FALSE)),"",VLOOKUP($B137&amp;":"&amp;AA$3,'x - authors'!$B$3:$E$10000,4,FALSE))</f>
        <v/>
      </c>
      <c r="AB137" s="80" t="str">
        <f>IF(ISNA(VLOOKUP($B137&amp;":"&amp;AB$3,'x - authors'!$B$3:$E$10000,4,FALSE)),"",VLOOKUP($B137&amp;":"&amp;AB$3,'x - authors'!$B$3:$E$10000,4,FALSE))</f>
        <v/>
      </c>
      <c r="AC137" s="80" t="str">
        <f>IF(ISNA(VLOOKUP($B137&amp;":"&amp;AC$3,'x - authors'!$B$3:$E$10000,4,FALSE)),"",VLOOKUP($B137&amp;":"&amp;AC$3,'x - authors'!$B$3:$E$10000,4,FALSE))</f>
        <v/>
      </c>
      <c r="AD137" s="80" t="str">
        <f>IF(ISNA(VLOOKUP($B137&amp;":"&amp;AD$3,'x - authors'!$B$3:$E$10000,4,FALSE)),"",VLOOKUP($B137&amp;":"&amp;AD$3,'x - authors'!$B$3:$E$10000,4,FALSE))</f>
        <v/>
      </c>
      <c r="AE137" s="80" t="str">
        <f>IF(ISNA(VLOOKUP($B137&amp;":"&amp;AE$3,'x - authors'!$B$3:$E$10000,4,FALSE)),"",VLOOKUP($B137&amp;":"&amp;AE$3,'x - authors'!$B$3:$E$10000,4,FALSE))</f>
        <v/>
      </c>
      <c r="AF137" s="80" t="str">
        <f>IF(ISNA(VLOOKUP($B137&amp;":"&amp;AF$3,'x - authors'!$B$3:$E$10000,4,FALSE)),"",VLOOKUP($B137&amp;":"&amp;AF$3,'x - authors'!$B$3:$E$10000,4,FALSE))</f>
        <v/>
      </c>
      <c r="AG137" s="80" t="str">
        <f>IF(ISNA(VLOOKUP($B137&amp;":"&amp;AG$3,'x - authors'!$B$3:$E$10000,4,FALSE)),"",VLOOKUP($B137&amp;":"&amp;AG$3,'x - authors'!$B$3:$E$10000,4,FALSE))</f>
        <v/>
      </c>
      <c r="AH137" s="80" t="str">
        <f>IF(ISNA(VLOOKUP($B137&amp;":"&amp;AH$3,'x - authors'!$B$3:$E$10000,4,FALSE)),"",VLOOKUP($B137&amp;":"&amp;AH$3,'x - authors'!$B$3:$E$10000,4,FALSE))</f>
        <v/>
      </c>
      <c r="AI137" s="80" t="str">
        <f>IF(ISNA(VLOOKUP($B137&amp;":"&amp;AI$3,'x - authors'!$B$3:$E$10000,4,FALSE)),"",VLOOKUP($B137&amp;":"&amp;AI$3,'x - authors'!$B$3:$E$10000,4,FALSE))</f>
        <v/>
      </c>
    </row>
    <row r="138" spans="2:35">
      <c r="B138" s="65" t="s">
        <v>6331</v>
      </c>
      <c r="C138" s="65" t="s">
        <v>129</v>
      </c>
      <c r="D138" s="65" t="s">
        <v>6332</v>
      </c>
      <c r="E138" s="83" t="s">
        <v>6759</v>
      </c>
      <c r="F138" s="65"/>
      <c r="G138" s="65"/>
      <c r="H138" s="65" t="s">
        <v>6333</v>
      </c>
      <c r="I138" s="65"/>
      <c r="J138" s="65" t="s">
        <v>6335</v>
      </c>
      <c r="K138" s="65"/>
      <c r="L138" s="65" t="s">
        <v>6336</v>
      </c>
      <c r="M138" s="65"/>
      <c r="N138" s="65"/>
      <c r="O138" s="15" t="str">
        <f t="shared" si="2"/>
        <v>citation:doc-x0205-01</v>
      </c>
      <c r="Q138" s="15" t="str">
        <f>VLOOKUP($O138,'x - paper citations'!$B$3:$E$2000,2,FALSE)</f>
        <v>https://scholar.google.co.uk/scholar?q=%22CORA: Collaborative Opportunistic Recovery Algorithm for loss controlled, delay bounded ad hoc multicast%22&amp;btnG=&amp;hl=en&amp;as_sdt=0%2C5</v>
      </c>
      <c r="R138" s="15">
        <f>VLOOKUP($O138,'x - paper citations'!$B$3:$E$2000,3,FALSE)</f>
        <v>4</v>
      </c>
      <c r="S138" s="15" t="str">
        <f>VLOOKUP($O138,'x - paper citations'!$B$3:$E$2000,4,FALSE)</f>
        <v>29/02/2016</v>
      </c>
      <c r="U138" s="80" t="str">
        <f>IF(ISNA(VLOOKUP($B138&amp;":"&amp;U$3,'x - authors'!$B$3:$E$10000,4,FALSE)),"",VLOOKUP($B138&amp;":"&amp;U$3,'x - authors'!$B$3:$E$10000,4,FALSE))</f>
        <v>yunjung_yi</v>
      </c>
      <c r="V138" s="80" t="str">
        <f>IF(ISNA(VLOOKUP($B138&amp;":"&amp;V$3,'x - authors'!$B$3:$E$10000,4,FALSE)),"",VLOOKUP($B138&amp;":"&amp;V$3,'x - authors'!$B$3:$E$10000,4,FALSE))</f>
        <v>jiejun_kong</v>
      </c>
      <c r="W138" s="80" t="str">
        <f>IF(ISNA(VLOOKUP($B138&amp;":"&amp;W$3,'x - authors'!$B$3:$E$10000,4,FALSE)),"",VLOOKUP($B138&amp;":"&amp;W$3,'x - authors'!$B$3:$E$10000,4,FALSE))</f>
        <v>mario_gerla</v>
      </c>
      <c r="X138" s="80" t="str">
        <f>IF(ISNA(VLOOKUP($B138&amp;":"&amp;X$3,'x - authors'!$B$3:$E$10000,4,FALSE)),"",VLOOKUP($B138&amp;":"&amp;X$3,'x - authors'!$B$3:$E$10000,4,FALSE))</f>
        <v>joon-sang_park</v>
      </c>
      <c r="Y138" s="80" t="str">
        <f>IF(ISNA(VLOOKUP($B138&amp;":"&amp;Y$3,'x - authors'!$B$3:$E$10000,4,FALSE)),"",VLOOKUP($B138&amp;":"&amp;Y$3,'x - authors'!$B$3:$E$10000,4,FALSE))</f>
        <v/>
      </c>
      <c r="Z138" s="80" t="str">
        <f>IF(ISNA(VLOOKUP($B138&amp;":"&amp;Z$3,'x - authors'!$B$3:$E$10000,4,FALSE)),"",VLOOKUP($B138&amp;":"&amp;Z$3,'x - authors'!$B$3:$E$10000,4,FALSE))</f>
        <v/>
      </c>
      <c r="AA138" s="80" t="str">
        <f>IF(ISNA(VLOOKUP($B138&amp;":"&amp;AA$3,'x - authors'!$B$3:$E$10000,4,FALSE)),"",VLOOKUP($B138&amp;":"&amp;AA$3,'x - authors'!$B$3:$E$10000,4,FALSE))</f>
        <v/>
      </c>
      <c r="AB138" s="80" t="str">
        <f>IF(ISNA(VLOOKUP($B138&amp;":"&amp;AB$3,'x - authors'!$B$3:$E$10000,4,FALSE)),"",VLOOKUP($B138&amp;":"&amp;AB$3,'x - authors'!$B$3:$E$10000,4,FALSE))</f>
        <v/>
      </c>
      <c r="AC138" s="80" t="str">
        <f>IF(ISNA(VLOOKUP($B138&amp;":"&amp;AC$3,'x - authors'!$B$3:$E$10000,4,FALSE)),"",VLOOKUP($B138&amp;":"&amp;AC$3,'x - authors'!$B$3:$E$10000,4,FALSE))</f>
        <v/>
      </c>
      <c r="AD138" s="80" t="str">
        <f>IF(ISNA(VLOOKUP($B138&amp;":"&amp;AD$3,'x - authors'!$B$3:$E$10000,4,FALSE)),"",VLOOKUP($B138&amp;":"&amp;AD$3,'x - authors'!$B$3:$E$10000,4,FALSE))</f>
        <v/>
      </c>
      <c r="AE138" s="80" t="str">
        <f>IF(ISNA(VLOOKUP($B138&amp;":"&amp;AE$3,'x - authors'!$B$3:$E$10000,4,FALSE)),"",VLOOKUP($B138&amp;":"&amp;AE$3,'x - authors'!$B$3:$E$10000,4,FALSE))</f>
        <v/>
      </c>
      <c r="AF138" s="80" t="str">
        <f>IF(ISNA(VLOOKUP($B138&amp;":"&amp;AF$3,'x - authors'!$B$3:$E$10000,4,FALSE)),"",VLOOKUP($B138&amp;":"&amp;AF$3,'x - authors'!$B$3:$E$10000,4,FALSE))</f>
        <v/>
      </c>
      <c r="AG138" s="80" t="str">
        <f>IF(ISNA(VLOOKUP($B138&amp;":"&amp;AG$3,'x - authors'!$B$3:$E$10000,4,FALSE)),"",VLOOKUP($B138&amp;":"&amp;AG$3,'x - authors'!$B$3:$E$10000,4,FALSE))</f>
        <v/>
      </c>
      <c r="AH138" s="80" t="str">
        <f>IF(ISNA(VLOOKUP($B138&amp;":"&amp;AH$3,'x - authors'!$B$3:$E$10000,4,FALSE)),"",VLOOKUP($B138&amp;":"&amp;AH$3,'x - authors'!$B$3:$E$10000,4,FALSE))</f>
        <v/>
      </c>
      <c r="AI138" s="80" t="str">
        <f>IF(ISNA(VLOOKUP($B138&amp;":"&amp;AI$3,'x - authors'!$B$3:$E$10000,4,FALSE)),"",VLOOKUP($B138&amp;":"&amp;AI$3,'x - authors'!$B$3:$E$10000,4,FALSE))</f>
        <v/>
      </c>
    </row>
    <row r="139" spans="2:35">
      <c r="B139" s="65" t="s">
        <v>6337</v>
      </c>
      <c r="C139" s="65" t="s">
        <v>129</v>
      </c>
      <c r="D139" s="65" t="s">
        <v>6338</v>
      </c>
      <c r="E139" s="83" t="s">
        <v>6758</v>
      </c>
      <c r="F139" s="65"/>
      <c r="G139" s="65"/>
      <c r="H139" s="65" t="s">
        <v>6339</v>
      </c>
      <c r="I139" s="65"/>
      <c r="J139" s="65" t="s">
        <v>6341</v>
      </c>
      <c r="K139" s="65"/>
      <c r="L139" s="65" t="s">
        <v>6342</v>
      </c>
      <c r="M139" s="65"/>
      <c r="N139" s="65"/>
      <c r="O139" s="15" t="str">
        <f t="shared" si="2"/>
        <v>citation:doc-x0206-01</v>
      </c>
      <c r="Q139" s="15" t="str">
        <f>VLOOKUP($O139,'x - paper citations'!$B$3:$E$2000,2,FALSE)</f>
        <v>https://scholar.google.co.uk/scholar?q=%22Dissemination and harvesting of urban data using vehicular sensing platforms%22&amp;btnG=&amp;hl=en&amp;as_sdt=0%2C5</v>
      </c>
      <c r="R139" s="15">
        <f>VLOOKUP($O139,'x - paper citations'!$B$3:$E$2000,3,FALSE)</f>
        <v>181</v>
      </c>
      <c r="S139" s="15" t="str">
        <f>VLOOKUP($O139,'x - paper citations'!$B$3:$E$2000,4,FALSE)</f>
        <v>29/02/2016</v>
      </c>
      <c r="U139" s="80" t="str">
        <f>IF(ISNA(VLOOKUP($B139&amp;":"&amp;U$3,'x - authors'!$B$3:$E$10000,4,FALSE)),"",VLOOKUP($B139&amp;":"&amp;U$3,'x - authors'!$B$3:$E$10000,4,FALSE))</f>
        <v>uichin_lee</v>
      </c>
      <c r="V139" s="80" t="str">
        <f>IF(ISNA(VLOOKUP($B139&amp;":"&amp;V$3,'x - authors'!$B$3:$E$10000,4,FALSE)),"",VLOOKUP($B139&amp;":"&amp;V$3,'x - authors'!$B$3:$E$10000,4,FALSE))</f>
        <v>eugenio_magistretti</v>
      </c>
      <c r="W139" s="80" t="str">
        <f>IF(ISNA(VLOOKUP($B139&amp;":"&amp;W$3,'x - authors'!$B$3:$E$10000,4,FALSE)),"",VLOOKUP($B139&amp;":"&amp;W$3,'x - authors'!$B$3:$E$10000,4,FALSE))</f>
        <v>mario_gerla</v>
      </c>
      <c r="X139" s="80" t="str">
        <f>IF(ISNA(VLOOKUP($B139&amp;":"&amp;X$3,'x - authors'!$B$3:$E$10000,4,FALSE)),"",VLOOKUP($B139&amp;":"&amp;X$3,'x - authors'!$B$3:$E$10000,4,FALSE))</f>
        <v>paolo_bellavista</v>
      </c>
      <c r="Y139" s="80" t="str">
        <f>IF(ISNA(VLOOKUP($B139&amp;":"&amp;Y$3,'x - authors'!$B$3:$E$10000,4,FALSE)),"",VLOOKUP($B139&amp;":"&amp;Y$3,'x - authors'!$B$3:$E$10000,4,FALSE))</f>
        <v>antonio_corradi</v>
      </c>
      <c r="Z139" s="80" t="str">
        <f>IF(ISNA(VLOOKUP($B139&amp;":"&amp;Z$3,'x - authors'!$B$3:$E$10000,4,FALSE)),"",VLOOKUP($B139&amp;":"&amp;Z$3,'x - authors'!$B$3:$E$10000,4,FALSE))</f>
        <v/>
      </c>
      <c r="AA139" s="80" t="str">
        <f>IF(ISNA(VLOOKUP($B139&amp;":"&amp;AA$3,'x - authors'!$B$3:$E$10000,4,FALSE)),"",VLOOKUP($B139&amp;":"&amp;AA$3,'x - authors'!$B$3:$E$10000,4,FALSE))</f>
        <v/>
      </c>
      <c r="AB139" s="80" t="str">
        <f>IF(ISNA(VLOOKUP($B139&amp;":"&amp;AB$3,'x - authors'!$B$3:$E$10000,4,FALSE)),"",VLOOKUP($B139&amp;":"&amp;AB$3,'x - authors'!$B$3:$E$10000,4,FALSE))</f>
        <v/>
      </c>
      <c r="AC139" s="80" t="str">
        <f>IF(ISNA(VLOOKUP($B139&amp;":"&amp;AC$3,'x - authors'!$B$3:$E$10000,4,FALSE)),"",VLOOKUP($B139&amp;":"&amp;AC$3,'x - authors'!$B$3:$E$10000,4,FALSE))</f>
        <v/>
      </c>
      <c r="AD139" s="80" t="str">
        <f>IF(ISNA(VLOOKUP($B139&amp;":"&amp;AD$3,'x - authors'!$B$3:$E$10000,4,FALSE)),"",VLOOKUP($B139&amp;":"&amp;AD$3,'x - authors'!$B$3:$E$10000,4,FALSE))</f>
        <v/>
      </c>
      <c r="AE139" s="80" t="str">
        <f>IF(ISNA(VLOOKUP($B139&amp;":"&amp;AE$3,'x - authors'!$B$3:$E$10000,4,FALSE)),"",VLOOKUP($B139&amp;":"&amp;AE$3,'x - authors'!$B$3:$E$10000,4,FALSE))</f>
        <v/>
      </c>
      <c r="AF139" s="80" t="str">
        <f>IF(ISNA(VLOOKUP($B139&amp;":"&amp;AF$3,'x - authors'!$B$3:$E$10000,4,FALSE)),"",VLOOKUP($B139&amp;":"&amp;AF$3,'x - authors'!$B$3:$E$10000,4,FALSE))</f>
        <v/>
      </c>
      <c r="AG139" s="80" t="str">
        <f>IF(ISNA(VLOOKUP($B139&amp;":"&amp;AG$3,'x - authors'!$B$3:$E$10000,4,FALSE)),"",VLOOKUP($B139&amp;":"&amp;AG$3,'x - authors'!$B$3:$E$10000,4,FALSE))</f>
        <v/>
      </c>
      <c r="AH139" s="80" t="str">
        <f>IF(ISNA(VLOOKUP($B139&amp;":"&amp;AH$3,'x - authors'!$B$3:$E$10000,4,FALSE)),"",VLOOKUP($B139&amp;":"&amp;AH$3,'x - authors'!$B$3:$E$10000,4,FALSE))</f>
        <v/>
      </c>
      <c r="AI139" s="80" t="str">
        <f>IF(ISNA(VLOOKUP($B139&amp;":"&amp;AI$3,'x - authors'!$B$3:$E$10000,4,FALSE)),"",VLOOKUP($B139&amp;":"&amp;AI$3,'x - authors'!$B$3:$E$10000,4,FALSE))</f>
        <v/>
      </c>
    </row>
    <row r="140" spans="2:35">
      <c r="B140" s="65" t="s">
        <v>6343</v>
      </c>
      <c r="C140" s="65" t="s">
        <v>129</v>
      </c>
      <c r="D140" s="65" t="s">
        <v>6344</v>
      </c>
      <c r="E140" s="83" t="s">
        <v>6755</v>
      </c>
      <c r="F140" s="65"/>
      <c r="G140" s="65"/>
      <c r="H140" s="65" t="s">
        <v>6345</v>
      </c>
      <c r="I140" s="65"/>
      <c r="J140" s="65" t="s">
        <v>6347</v>
      </c>
      <c r="K140" s="65"/>
      <c r="L140" s="65" t="s">
        <v>6348</v>
      </c>
      <c r="M140" s="65"/>
      <c r="N140" s="65"/>
      <c r="O140" s="15" t="str">
        <f t="shared" si="2"/>
        <v>citation:doc-x0207-01</v>
      </c>
      <c r="Q140" s="15" t="str">
        <f>VLOOKUP($O140,'x - paper citations'!$B$3:$E$2000,2,FALSE)</f>
        <v>https://scholar.google.co.uk/scholar?q=%22Distributed energy-efficient target tracking with binary sensor networks%22&amp;btnG=&amp;hl=en&amp;as_sdt=0%2C5</v>
      </c>
      <c r="R140" s="15">
        <f>VLOOKUP($O140,'x - paper citations'!$B$3:$E$2000,3,FALSE)</f>
        <v>53</v>
      </c>
      <c r="S140" s="15" t="str">
        <f>VLOOKUP($O140,'x - paper citations'!$B$3:$E$2000,4,FALSE)</f>
        <v>29/02/2016</v>
      </c>
      <c r="U140" s="80" t="str">
        <f>IF(ISNA(VLOOKUP($B140&amp;":"&amp;U$3,'x - authors'!$B$3:$E$10000,4,FALSE)),"",VLOOKUP($B140&amp;":"&amp;U$3,'x - authors'!$B$3:$E$10000,4,FALSE))</f>
        <v>zijian_wang</v>
      </c>
      <c r="V140" s="80" t="str">
        <f>IF(ISNA(VLOOKUP($B140&amp;":"&amp;V$3,'x - authors'!$B$3:$E$10000,4,FALSE)),"",VLOOKUP($B140&amp;":"&amp;V$3,'x - authors'!$B$3:$E$10000,4,FALSE))</f>
        <v>eyuphan_bulut</v>
      </c>
      <c r="W140" s="80" t="str">
        <f>IF(ISNA(VLOOKUP($B140&amp;":"&amp;W$3,'x - authors'!$B$3:$E$10000,4,FALSE)),"",VLOOKUP($B140&amp;":"&amp;W$3,'x - authors'!$B$3:$E$10000,4,FALSE))</f>
        <v>boleslaw_szymanski</v>
      </c>
      <c r="X140" s="80" t="str">
        <f>IF(ISNA(VLOOKUP($B140&amp;":"&amp;X$3,'x - authors'!$B$3:$E$10000,4,FALSE)),"",VLOOKUP($B140&amp;":"&amp;X$3,'x - authors'!$B$3:$E$10000,4,FALSE))</f>
        <v/>
      </c>
      <c r="Y140" s="80" t="str">
        <f>IF(ISNA(VLOOKUP($B140&amp;":"&amp;Y$3,'x - authors'!$B$3:$E$10000,4,FALSE)),"",VLOOKUP($B140&amp;":"&amp;Y$3,'x - authors'!$B$3:$E$10000,4,FALSE))</f>
        <v/>
      </c>
      <c r="Z140" s="80" t="str">
        <f>IF(ISNA(VLOOKUP($B140&amp;":"&amp;Z$3,'x - authors'!$B$3:$E$10000,4,FALSE)),"",VLOOKUP($B140&amp;":"&amp;Z$3,'x - authors'!$B$3:$E$10000,4,FALSE))</f>
        <v/>
      </c>
      <c r="AA140" s="80" t="str">
        <f>IF(ISNA(VLOOKUP($B140&amp;":"&amp;AA$3,'x - authors'!$B$3:$E$10000,4,FALSE)),"",VLOOKUP($B140&amp;":"&amp;AA$3,'x - authors'!$B$3:$E$10000,4,FALSE))</f>
        <v/>
      </c>
      <c r="AB140" s="80" t="str">
        <f>IF(ISNA(VLOOKUP($B140&amp;":"&amp;AB$3,'x - authors'!$B$3:$E$10000,4,FALSE)),"",VLOOKUP($B140&amp;":"&amp;AB$3,'x - authors'!$B$3:$E$10000,4,FALSE))</f>
        <v/>
      </c>
      <c r="AC140" s="80" t="str">
        <f>IF(ISNA(VLOOKUP($B140&amp;":"&amp;AC$3,'x - authors'!$B$3:$E$10000,4,FALSE)),"",VLOOKUP($B140&amp;":"&amp;AC$3,'x - authors'!$B$3:$E$10000,4,FALSE))</f>
        <v/>
      </c>
      <c r="AD140" s="80" t="str">
        <f>IF(ISNA(VLOOKUP($B140&amp;":"&amp;AD$3,'x - authors'!$B$3:$E$10000,4,FALSE)),"",VLOOKUP($B140&amp;":"&amp;AD$3,'x - authors'!$B$3:$E$10000,4,FALSE))</f>
        <v/>
      </c>
      <c r="AE140" s="80" t="str">
        <f>IF(ISNA(VLOOKUP($B140&amp;":"&amp;AE$3,'x - authors'!$B$3:$E$10000,4,FALSE)),"",VLOOKUP($B140&amp;":"&amp;AE$3,'x - authors'!$B$3:$E$10000,4,FALSE))</f>
        <v/>
      </c>
      <c r="AF140" s="80" t="str">
        <f>IF(ISNA(VLOOKUP($B140&amp;":"&amp;AF$3,'x - authors'!$B$3:$E$10000,4,FALSE)),"",VLOOKUP($B140&amp;":"&amp;AF$3,'x - authors'!$B$3:$E$10000,4,FALSE))</f>
        <v/>
      </c>
      <c r="AG140" s="80" t="str">
        <f>IF(ISNA(VLOOKUP($B140&amp;":"&amp;AG$3,'x - authors'!$B$3:$E$10000,4,FALSE)),"",VLOOKUP($B140&amp;":"&amp;AG$3,'x - authors'!$B$3:$E$10000,4,FALSE))</f>
        <v/>
      </c>
      <c r="AH140" s="80" t="str">
        <f>IF(ISNA(VLOOKUP($B140&amp;":"&amp;AH$3,'x - authors'!$B$3:$E$10000,4,FALSE)),"",VLOOKUP($B140&amp;":"&amp;AH$3,'x - authors'!$B$3:$E$10000,4,FALSE))</f>
        <v/>
      </c>
      <c r="AI140" s="80" t="str">
        <f>IF(ISNA(VLOOKUP($B140&amp;":"&amp;AI$3,'x - authors'!$B$3:$E$10000,4,FALSE)),"",VLOOKUP($B140&amp;":"&amp;AI$3,'x - authors'!$B$3:$E$10000,4,FALSE))</f>
        <v/>
      </c>
    </row>
    <row r="141" spans="2:35">
      <c r="B141" s="65" t="s">
        <v>6349</v>
      </c>
      <c r="C141" s="65" t="s">
        <v>129</v>
      </c>
      <c r="D141" s="65" t="s">
        <v>6350</v>
      </c>
      <c r="E141" s="83" t="s">
        <v>6759</v>
      </c>
      <c r="F141" s="65"/>
      <c r="G141" s="65"/>
      <c r="H141" s="65" t="s">
        <v>6351</v>
      </c>
      <c r="I141" s="65"/>
      <c r="J141" s="65" t="s">
        <v>6353</v>
      </c>
      <c r="K141" s="65"/>
      <c r="L141" s="65" t="s">
        <v>6354</v>
      </c>
      <c r="M141" s="65"/>
      <c r="N141" s="65"/>
      <c r="O141" s="15" t="str">
        <f t="shared" si="2"/>
        <v>citation:doc-x0209-01</v>
      </c>
      <c r="Q141" s="15" t="str">
        <f>VLOOKUP($O141,'x - paper citations'!$B$3:$E$2000,2,FALSE)</f>
        <v>https://scholar.google.co.uk/scholar?q=%22Exploiting manufacturing variations for compensating environment-induced clock drift in time synchronization%22&amp;btnG=&amp;hl=en&amp;as_sdt=0%2C5</v>
      </c>
      <c r="R141" s="15">
        <f>VLOOKUP($O141,'x - paper citations'!$B$3:$E$2000,3,FALSE)</f>
        <v>26</v>
      </c>
      <c r="S141" s="15" t="str">
        <f>VLOOKUP($O141,'x - paper citations'!$B$3:$E$2000,4,FALSE)</f>
        <v>29/02/2016</v>
      </c>
      <c r="U141" s="80" t="str">
        <f>IF(ISNA(VLOOKUP($B141&amp;":"&amp;U$3,'x - authors'!$B$3:$E$10000,4,FALSE)),"",VLOOKUP($B141&amp;":"&amp;U$3,'x - authors'!$B$3:$E$10000,4,FALSE))</f>
        <v>thomas_schmid</v>
      </c>
      <c r="V141" s="80" t="str">
        <f>IF(ISNA(VLOOKUP($B141&amp;":"&amp;V$3,'x - authors'!$B$3:$E$10000,4,FALSE)),"",VLOOKUP($B141&amp;":"&amp;V$3,'x - authors'!$B$3:$E$10000,4,FALSE))</f>
        <v>zainul_charbiwala</v>
      </c>
      <c r="W141" s="80" t="str">
        <f>IF(ISNA(VLOOKUP($B141&amp;":"&amp;W$3,'x - authors'!$B$3:$E$10000,4,FALSE)),"",VLOOKUP($B141&amp;":"&amp;W$3,'x - authors'!$B$3:$E$10000,4,FALSE))</f>
        <v>jonathan_friedman</v>
      </c>
      <c r="X141" s="80" t="str">
        <f>IF(ISNA(VLOOKUP($B141&amp;":"&amp;X$3,'x - authors'!$B$3:$E$10000,4,FALSE)),"",VLOOKUP($B141&amp;":"&amp;X$3,'x - authors'!$B$3:$E$10000,4,FALSE))</f>
        <v>young_cho</v>
      </c>
      <c r="Y141" s="80" t="str">
        <f>IF(ISNA(VLOOKUP($B141&amp;":"&amp;Y$3,'x - authors'!$B$3:$E$10000,4,FALSE)),"",VLOOKUP($B141&amp;":"&amp;Y$3,'x - authors'!$B$3:$E$10000,4,FALSE))</f>
        <v>mani_srivastava</v>
      </c>
      <c r="Z141" s="80" t="str">
        <f>IF(ISNA(VLOOKUP($B141&amp;":"&amp;Z$3,'x - authors'!$B$3:$E$10000,4,FALSE)),"",VLOOKUP($B141&amp;":"&amp;Z$3,'x - authors'!$B$3:$E$10000,4,FALSE))</f>
        <v/>
      </c>
      <c r="AA141" s="80" t="str">
        <f>IF(ISNA(VLOOKUP($B141&amp;":"&amp;AA$3,'x - authors'!$B$3:$E$10000,4,FALSE)),"",VLOOKUP($B141&amp;":"&amp;AA$3,'x - authors'!$B$3:$E$10000,4,FALSE))</f>
        <v/>
      </c>
      <c r="AB141" s="80" t="str">
        <f>IF(ISNA(VLOOKUP($B141&amp;":"&amp;AB$3,'x - authors'!$B$3:$E$10000,4,FALSE)),"",VLOOKUP($B141&amp;":"&amp;AB$3,'x - authors'!$B$3:$E$10000,4,FALSE))</f>
        <v/>
      </c>
      <c r="AC141" s="80" t="str">
        <f>IF(ISNA(VLOOKUP($B141&amp;":"&amp;AC$3,'x - authors'!$B$3:$E$10000,4,FALSE)),"",VLOOKUP($B141&amp;":"&amp;AC$3,'x - authors'!$B$3:$E$10000,4,FALSE))</f>
        <v/>
      </c>
      <c r="AD141" s="80" t="str">
        <f>IF(ISNA(VLOOKUP($B141&amp;":"&amp;AD$3,'x - authors'!$B$3:$E$10000,4,FALSE)),"",VLOOKUP($B141&amp;":"&amp;AD$3,'x - authors'!$B$3:$E$10000,4,FALSE))</f>
        <v/>
      </c>
      <c r="AE141" s="80" t="str">
        <f>IF(ISNA(VLOOKUP($B141&amp;":"&amp;AE$3,'x - authors'!$B$3:$E$10000,4,FALSE)),"",VLOOKUP($B141&amp;":"&amp;AE$3,'x - authors'!$B$3:$E$10000,4,FALSE))</f>
        <v/>
      </c>
      <c r="AF141" s="80" t="str">
        <f>IF(ISNA(VLOOKUP($B141&amp;":"&amp;AF$3,'x - authors'!$B$3:$E$10000,4,FALSE)),"",VLOOKUP($B141&amp;":"&amp;AF$3,'x - authors'!$B$3:$E$10000,4,FALSE))</f>
        <v/>
      </c>
      <c r="AG141" s="80" t="str">
        <f>IF(ISNA(VLOOKUP($B141&amp;":"&amp;AG$3,'x - authors'!$B$3:$E$10000,4,FALSE)),"",VLOOKUP($B141&amp;":"&amp;AG$3,'x - authors'!$B$3:$E$10000,4,FALSE))</f>
        <v/>
      </c>
      <c r="AH141" s="80" t="str">
        <f>IF(ISNA(VLOOKUP($B141&amp;":"&amp;AH$3,'x - authors'!$B$3:$E$10000,4,FALSE)),"",VLOOKUP($B141&amp;":"&amp;AH$3,'x - authors'!$B$3:$E$10000,4,FALSE))</f>
        <v/>
      </c>
      <c r="AI141" s="80" t="str">
        <f>IF(ISNA(VLOOKUP($B141&amp;":"&amp;AI$3,'x - authors'!$B$3:$E$10000,4,FALSE)),"",VLOOKUP($B141&amp;":"&amp;AI$3,'x - authors'!$B$3:$E$10000,4,FALSE))</f>
        <v/>
      </c>
    </row>
    <row r="142" spans="2:35">
      <c r="B142" s="65" t="s">
        <v>6355</v>
      </c>
      <c r="C142" s="65" t="s">
        <v>129</v>
      </c>
      <c r="D142" s="65" t="s">
        <v>6356</v>
      </c>
      <c r="E142" s="83" t="s">
        <v>6755</v>
      </c>
      <c r="F142" s="65"/>
      <c r="G142" s="65"/>
      <c r="H142" s="65" t="s">
        <v>6357</v>
      </c>
      <c r="I142" s="65"/>
      <c r="J142" s="65" t="s">
        <v>6359</v>
      </c>
      <c r="K142" s="65"/>
      <c r="L142" s="65" t="s">
        <v>6360</v>
      </c>
      <c r="M142" s="65"/>
      <c r="N142" s="65"/>
      <c r="O142" s="15" t="str">
        <f t="shared" si="2"/>
        <v>citation:doc-x0210-01</v>
      </c>
      <c r="Q142" s="15" t="str">
        <f>VLOOKUP($O142,'x - paper citations'!$B$3:$E$2000,2,FALSE)</f>
        <v>https://scholar.google.co.uk/scholar?q=%22FleaNet: A virtual market place on vehicular networks%22&amp;btnG=&amp;hl=en&amp;as_sdt=0%2C5</v>
      </c>
      <c r="R142" s="15">
        <f>VLOOKUP($O142,'x - paper citations'!$B$3:$E$2000,3,FALSE)</f>
        <v>114</v>
      </c>
      <c r="S142" s="15" t="str">
        <f>VLOOKUP($O142,'x - paper citations'!$B$3:$E$2000,4,FALSE)</f>
        <v>29/02/2016</v>
      </c>
      <c r="U142" s="80" t="str">
        <f>IF(ISNA(VLOOKUP($B142&amp;":"&amp;U$3,'x - authors'!$B$3:$E$10000,4,FALSE)),"",VLOOKUP($B142&amp;":"&amp;U$3,'x - authors'!$B$3:$E$10000,4,FALSE))</f>
        <v>uichin_lee</v>
      </c>
      <c r="V142" s="80" t="str">
        <f>IF(ISNA(VLOOKUP($B142&amp;":"&amp;V$3,'x - authors'!$B$3:$E$10000,4,FALSE)),"",VLOOKUP($B142&amp;":"&amp;V$3,'x - authors'!$B$3:$E$10000,4,FALSE))</f>
        <v>jiyeon_lee</v>
      </c>
      <c r="W142" s="80" t="str">
        <f>IF(ISNA(VLOOKUP($B142&amp;":"&amp;W$3,'x - authors'!$B$3:$E$10000,4,FALSE)),"",VLOOKUP($B142&amp;":"&amp;W$3,'x - authors'!$B$3:$E$10000,4,FALSE))</f>
        <v>joon-sang_park</v>
      </c>
      <c r="X142" s="80" t="str">
        <f>IF(ISNA(VLOOKUP($B142&amp;":"&amp;X$3,'x - authors'!$B$3:$E$10000,4,FALSE)),"",VLOOKUP($B142&amp;":"&amp;X$3,'x - authors'!$B$3:$E$10000,4,FALSE))</f>
        <v>mario_gerla</v>
      </c>
      <c r="Y142" s="80" t="str">
        <f>IF(ISNA(VLOOKUP($B142&amp;":"&amp;Y$3,'x - authors'!$B$3:$E$10000,4,FALSE)),"",VLOOKUP($B142&amp;":"&amp;Y$3,'x - authors'!$B$3:$E$10000,4,FALSE))</f>
        <v/>
      </c>
      <c r="Z142" s="80" t="str">
        <f>IF(ISNA(VLOOKUP($B142&amp;":"&amp;Z$3,'x - authors'!$B$3:$E$10000,4,FALSE)),"",VLOOKUP($B142&amp;":"&amp;Z$3,'x - authors'!$B$3:$E$10000,4,FALSE))</f>
        <v/>
      </c>
      <c r="AA142" s="80" t="str">
        <f>IF(ISNA(VLOOKUP($B142&amp;":"&amp;AA$3,'x - authors'!$B$3:$E$10000,4,FALSE)),"",VLOOKUP($B142&amp;":"&amp;AA$3,'x - authors'!$B$3:$E$10000,4,FALSE))</f>
        <v/>
      </c>
      <c r="AB142" s="80" t="str">
        <f>IF(ISNA(VLOOKUP($B142&amp;":"&amp;AB$3,'x - authors'!$B$3:$E$10000,4,FALSE)),"",VLOOKUP($B142&amp;":"&amp;AB$3,'x - authors'!$B$3:$E$10000,4,FALSE))</f>
        <v/>
      </c>
      <c r="AC142" s="80" t="str">
        <f>IF(ISNA(VLOOKUP($B142&amp;":"&amp;AC$3,'x - authors'!$B$3:$E$10000,4,FALSE)),"",VLOOKUP($B142&amp;":"&amp;AC$3,'x - authors'!$B$3:$E$10000,4,FALSE))</f>
        <v/>
      </c>
      <c r="AD142" s="80" t="str">
        <f>IF(ISNA(VLOOKUP($B142&amp;":"&amp;AD$3,'x - authors'!$B$3:$E$10000,4,FALSE)),"",VLOOKUP($B142&amp;":"&amp;AD$3,'x - authors'!$B$3:$E$10000,4,FALSE))</f>
        <v/>
      </c>
      <c r="AE142" s="80" t="str">
        <f>IF(ISNA(VLOOKUP($B142&amp;":"&amp;AE$3,'x - authors'!$B$3:$E$10000,4,FALSE)),"",VLOOKUP($B142&amp;":"&amp;AE$3,'x - authors'!$B$3:$E$10000,4,FALSE))</f>
        <v/>
      </c>
      <c r="AF142" s="80" t="str">
        <f>IF(ISNA(VLOOKUP($B142&amp;":"&amp;AF$3,'x - authors'!$B$3:$E$10000,4,FALSE)),"",VLOOKUP($B142&amp;":"&amp;AF$3,'x - authors'!$B$3:$E$10000,4,FALSE))</f>
        <v/>
      </c>
      <c r="AG142" s="80" t="str">
        <f>IF(ISNA(VLOOKUP($B142&amp;":"&amp;AG$3,'x - authors'!$B$3:$E$10000,4,FALSE)),"",VLOOKUP($B142&amp;":"&amp;AG$3,'x - authors'!$B$3:$E$10000,4,FALSE))</f>
        <v/>
      </c>
      <c r="AH142" s="80" t="str">
        <f>IF(ISNA(VLOOKUP($B142&amp;":"&amp;AH$3,'x - authors'!$B$3:$E$10000,4,FALSE)),"",VLOOKUP($B142&amp;":"&amp;AH$3,'x - authors'!$B$3:$E$10000,4,FALSE))</f>
        <v/>
      </c>
      <c r="AI142" s="80" t="str">
        <f>IF(ISNA(VLOOKUP($B142&amp;":"&amp;AI$3,'x - authors'!$B$3:$E$10000,4,FALSE)),"",VLOOKUP($B142&amp;":"&amp;AI$3,'x - authors'!$B$3:$E$10000,4,FALSE))</f>
        <v/>
      </c>
    </row>
    <row r="143" spans="2:35">
      <c r="B143" s="65" t="s">
        <v>6361</v>
      </c>
      <c r="C143" s="65" t="s">
        <v>129</v>
      </c>
      <c r="D143" s="65" t="s">
        <v>6362</v>
      </c>
      <c r="E143" s="83" t="s">
        <v>6755</v>
      </c>
      <c r="F143" s="65"/>
      <c r="G143" s="65"/>
      <c r="H143" s="65" t="s">
        <v>6363</v>
      </c>
      <c r="I143" s="65"/>
      <c r="J143" s="65" t="s">
        <v>6365</v>
      </c>
      <c r="K143" s="65"/>
      <c r="L143" s="65" t="s">
        <v>6366</v>
      </c>
      <c r="M143" s="65"/>
      <c r="N143" s="65"/>
      <c r="O143" s="15" t="str">
        <f t="shared" si="2"/>
        <v>citation:doc-x0211-01</v>
      </c>
      <c r="Q143" s="15" t="str">
        <f>VLOOKUP($O143,'x - paper citations'!$B$3:$E$2000,2,FALSE)</f>
        <v>https://scholar.google.co.uk/scholar?q=%22GeoDTN+ Nav: geographic DTN routing with navigator prediction for urban vehicular environments%22&amp;btnG=&amp;hl=en&amp;as_sdt=0%2C5</v>
      </c>
      <c r="R143" s="15">
        <f>VLOOKUP($O143,'x - paper citations'!$B$3:$E$2000,3,FALSE)</f>
        <v>135</v>
      </c>
      <c r="S143" s="15" t="str">
        <f>VLOOKUP($O143,'x - paper citations'!$B$3:$E$2000,4,FALSE)</f>
        <v>29/02/2016</v>
      </c>
      <c r="U143" s="80" t="str">
        <f>IF(ISNA(VLOOKUP($B143&amp;":"&amp;U$3,'x - authors'!$B$3:$E$10000,4,FALSE)),"",VLOOKUP($B143&amp;":"&amp;U$3,'x - authors'!$B$3:$E$10000,4,FALSE))</f>
        <v>pei-chun_cheng</v>
      </c>
      <c r="V143" s="80" t="str">
        <f>IF(ISNA(VLOOKUP($B143&amp;":"&amp;V$3,'x - authors'!$B$3:$E$10000,4,FALSE)),"",VLOOKUP($B143&amp;":"&amp;V$3,'x - authors'!$B$3:$E$10000,4,FALSE))</f>
        <v>kevin_lee</v>
      </c>
      <c r="W143" s="80" t="str">
        <f>IF(ISNA(VLOOKUP($B143&amp;":"&amp;W$3,'x - authors'!$B$3:$E$10000,4,FALSE)),"",VLOOKUP($B143&amp;":"&amp;W$3,'x - authors'!$B$3:$E$10000,4,FALSE))</f>
        <v>mario_gerla</v>
      </c>
      <c r="X143" s="80" t="str">
        <f>IF(ISNA(VLOOKUP($B143&amp;":"&amp;X$3,'x - authors'!$B$3:$E$10000,4,FALSE)),"",VLOOKUP($B143&amp;":"&amp;X$3,'x - authors'!$B$3:$E$10000,4,FALSE))</f>
        <v>jerome_haerri</v>
      </c>
      <c r="Y143" s="80" t="str">
        <f>IF(ISNA(VLOOKUP($B143&amp;":"&amp;Y$3,'x - authors'!$B$3:$E$10000,4,FALSE)),"",VLOOKUP($B143&amp;":"&amp;Y$3,'x - authors'!$B$3:$E$10000,4,FALSE))</f>
        <v/>
      </c>
      <c r="Z143" s="80" t="str">
        <f>IF(ISNA(VLOOKUP($B143&amp;":"&amp;Z$3,'x - authors'!$B$3:$E$10000,4,FALSE)),"",VLOOKUP($B143&amp;":"&amp;Z$3,'x - authors'!$B$3:$E$10000,4,FALSE))</f>
        <v/>
      </c>
      <c r="AA143" s="80" t="str">
        <f>IF(ISNA(VLOOKUP($B143&amp;":"&amp;AA$3,'x - authors'!$B$3:$E$10000,4,FALSE)),"",VLOOKUP($B143&amp;":"&amp;AA$3,'x - authors'!$B$3:$E$10000,4,FALSE))</f>
        <v/>
      </c>
      <c r="AB143" s="80" t="str">
        <f>IF(ISNA(VLOOKUP($B143&amp;":"&amp;AB$3,'x - authors'!$B$3:$E$10000,4,FALSE)),"",VLOOKUP($B143&amp;":"&amp;AB$3,'x - authors'!$B$3:$E$10000,4,FALSE))</f>
        <v/>
      </c>
      <c r="AC143" s="80" t="str">
        <f>IF(ISNA(VLOOKUP($B143&amp;":"&amp;AC$3,'x - authors'!$B$3:$E$10000,4,FALSE)),"",VLOOKUP($B143&amp;":"&amp;AC$3,'x - authors'!$B$3:$E$10000,4,FALSE))</f>
        <v/>
      </c>
      <c r="AD143" s="80" t="str">
        <f>IF(ISNA(VLOOKUP($B143&amp;":"&amp;AD$3,'x - authors'!$B$3:$E$10000,4,FALSE)),"",VLOOKUP($B143&amp;":"&amp;AD$3,'x - authors'!$B$3:$E$10000,4,FALSE))</f>
        <v/>
      </c>
      <c r="AE143" s="80" t="str">
        <f>IF(ISNA(VLOOKUP($B143&amp;":"&amp;AE$3,'x - authors'!$B$3:$E$10000,4,FALSE)),"",VLOOKUP($B143&amp;":"&amp;AE$3,'x - authors'!$B$3:$E$10000,4,FALSE))</f>
        <v/>
      </c>
      <c r="AF143" s="80" t="str">
        <f>IF(ISNA(VLOOKUP($B143&amp;":"&amp;AF$3,'x - authors'!$B$3:$E$10000,4,FALSE)),"",VLOOKUP($B143&amp;":"&amp;AF$3,'x - authors'!$B$3:$E$10000,4,FALSE))</f>
        <v/>
      </c>
      <c r="AG143" s="80" t="str">
        <f>IF(ISNA(VLOOKUP($B143&amp;":"&amp;AG$3,'x - authors'!$B$3:$E$10000,4,FALSE)),"",VLOOKUP($B143&amp;":"&amp;AG$3,'x - authors'!$B$3:$E$10000,4,FALSE))</f>
        <v/>
      </c>
      <c r="AH143" s="80" t="str">
        <f>IF(ISNA(VLOOKUP($B143&amp;":"&amp;AH$3,'x - authors'!$B$3:$E$10000,4,FALSE)),"",VLOOKUP($B143&amp;":"&amp;AH$3,'x - authors'!$B$3:$E$10000,4,FALSE))</f>
        <v/>
      </c>
      <c r="AI143" s="80" t="str">
        <f>IF(ISNA(VLOOKUP($B143&amp;":"&amp;AI$3,'x - authors'!$B$3:$E$10000,4,FALSE)),"",VLOOKUP($B143&amp;":"&amp;AI$3,'x - authors'!$B$3:$E$10000,4,FALSE))</f>
        <v/>
      </c>
    </row>
    <row r="144" spans="2:35">
      <c r="B144" s="65" t="s">
        <v>6367</v>
      </c>
      <c r="C144" s="65" t="s">
        <v>129</v>
      </c>
      <c r="D144" s="65" t="s">
        <v>6368</v>
      </c>
      <c r="E144" s="83" t="s">
        <v>6755</v>
      </c>
      <c r="F144" s="65"/>
      <c r="G144" s="65"/>
      <c r="H144" s="65" t="s">
        <v>6369</v>
      </c>
      <c r="I144" s="65"/>
      <c r="J144" s="65" t="s">
        <v>6371</v>
      </c>
      <c r="K144" s="65"/>
      <c r="L144" s="65" t="s">
        <v>6372</v>
      </c>
      <c r="M144" s="65" t="s">
        <v>6373</v>
      </c>
      <c r="N144" s="65"/>
      <c r="O144" s="15" t="str">
        <f t="shared" si="2"/>
        <v>citation:doc-x0212-01</v>
      </c>
      <c r="Q144" s="15" t="str">
        <f>VLOOKUP($O144,'x - paper citations'!$B$3:$E$2000,2,FALSE)</f>
        <v>https://scholar.google.co.uk/scholar?q=%22Identity crisis: on the problem of namespace design for ID-PKC and MANETs%22&amp;btnG=&amp;hl=en&amp;as_sdt=0%2C5</v>
      </c>
      <c r="R144" s="15">
        <f>VLOOKUP($O144,'x - paper citations'!$B$3:$E$2000,3,FALSE)</f>
        <v>0</v>
      </c>
      <c r="S144" s="15" t="str">
        <f>VLOOKUP($O144,'x - paper citations'!$B$3:$E$2000,4,FALSE)</f>
        <v>29/02/2016</v>
      </c>
      <c r="U144" s="80" t="str">
        <f>IF(ISNA(VLOOKUP($B144&amp;":"&amp;U$3,'x - authors'!$B$3:$E$10000,4,FALSE)),"",VLOOKUP($B144&amp;":"&amp;U$3,'x - authors'!$B$3:$E$10000,4,FALSE))</f>
        <v>shane_balfe</v>
      </c>
      <c r="V144" s="80" t="str">
        <f>IF(ISNA(VLOOKUP($B144&amp;":"&amp;V$3,'x - authors'!$B$3:$E$10000,4,FALSE)),"",VLOOKUP($B144&amp;":"&amp;V$3,'x - authors'!$B$3:$E$10000,4,FALSE))</f>
        <v>andrew_mcdonald</v>
      </c>
      <c r="W144" s="80" t="str">
        <f>IF(ISNA(VLOOKUP($B144&amp;":"&amp;W$3,'x - authors'!$B$3:$E$10000,4,FALSE)),"",VLOOKUP($B144&amp;":"&amp;W$3,'x - authors'!$B$3:$E$10000,4,FALSE))</f>
        <v>kenny_paterson</v>
      </c>
      <c r="X144" s="80" t="str">
        <f>IF(ISNA(VLOOKUP($B144&amp;":"&amp;X$3,'x - authors'!$B$3:$E$10000,4,FALSE)),"",VLOOKUP($B144&amp;":"&amp;X$3,'x - authors'!$B$3:$E$10000,4,FALSE))</f>
        <v>helen_phillips</v>
      </c>
      <c r="Y144" s="80" t="str">
        <f>IF(ISNA(VLOOKUP($B144&amp;":"&amp;Y$3,'x - authors'!$B$3:$E$10000,4,FALSE)),"",VLOOKUP($B144&amp;":"&amp;Y$3,'x - authors'!$B$3:$E$10000,4,FALSE))</f>
        <v/>
      </c>
      <c r="Z144" s="80" t="str">
        <f>IF(ISNA(VLOOKUP($B144&amp;":"&amp;Z$3,'x - authors'!$B$3:$E$10000,4,FALSE)),"",VLOOKUP($B144&amp;":"&amp;Z$3,'x - authors'!$B$3:$E$10000,4,FALSE))</f>
        <v/>
      </c>
      <c r="AA144" s="80" t="str">
        <f>IF(ISNA(VLOOKUP($B144&amp;":"&amp;AA$3,'x - authors'!$B$3:$E$10000,4,FALSE)),"",VLOOKUP($B144&amp;":"&amp;AA$3,'x - authors'!$B$3:$E$10000,4,FALSE))</f>
        <v/>
      </c>
      <c r="AB144" s="80" t="str">
        <f>IF(ISNA(VLOOKUP($B144&amp;":"&amp;AB$3,'x - authors'!$B$3:$E$10000,4,FALSE)),"",VLOOKUP($B144&amp;":"&amp;AB$3,'x - authors'!$B$3:$E$10000,4,FALSE))</f>
        <v/>
      </c>
      <c r="AC144" s="80" t="str">
        <f>IF(ISNA(VLOOKUP($B144&amp;":"&amp;AC$3,'x - authors'!$B$3:$E$10000,4,FALSE)),"",VLOOKUP($B144&amp;":"&amp;AC$3,'x - authors'!$B$3:$E$10000,4,FALSE))</f>
        <v/>
      </c>
      <c r="AD144" s="80" t="str">
        <f>IF(ISNA(VLOOKUP($B144&amp;":"&amp;AD$3,'x - authors'!$B$3:$E$10000,4,FALSE)),"",VLOOKUP($B144&amp;":"&amp;AD$3,'x - authors'!$B$3:$E$10000,4,FALSE))</f>
        <v/>
      </c>
      <c r="AE144" s="80" t="str">
        <f>IF(ISNA(VLOOKUP($B144&amp;":"&amp;AE$3,'x - authors'!$B$3:$E$10000,4,FALSE)),"",VLOOKUP($B144&amp;":"&amp;AE$3,'x - authors'!$B$3:$E$10000,4,FALSE))</f>
        <v/>
      </c>
      <c r="AF144" s="80" t="str">
        <f>IF(ISNA(VLOOKUP($B144&amp;":"&amp;AF$3,'x - authors'!$B$3:$E$10000,4,FALSE)),"",VLOOKUP($B144&amp;":"&amp;AF$3,'x - authors'!$B$3:$E$10000,4,FALSE))</f>
        <v/>
      </c>
      <c r="AG144" s="80" t="str">
        <f>IF(ISNA(VLOOKUP($B144&amp;":"&amp;AG$3,'x - authors'!$B$3:$E$10000,4,FALSE)),"",VLOOKUP($B144&amp;":"&amp;AG$3,'x - authors'!$B$3:$E$10000,4,FALSE))</f>
        <v/>
      </c>
      <c r="AH144" s="80" t="str">
        <f>IF(ISNA(VLOOKUP($B144&amp;":"&amp;AH$3,'x - authors'!$B$3:$E$10000,4,FALSE)),"",VLOOKUP($B144&amp;":"&amp;AH$3,'x - authors'!$B$3:$E$10000,4,FALSE))</f>
        <v/>
      </c>
      <c r="AI144" s="80" t="str">
        <f>IF(ISNA(VLOOKUP($B144&amp;":"&amp;AI$3,'x - authors'!$B$3:$E$10000,4,FALSE)),"",VLOOKUP($B144&amp;":"&amp;AI$3,'x - authors'!$B$3:$E$10000,4,FALSE))</f>
        <v/>
      </c>
    </row>
    <row r="145" spans="2:35">
      <c r="B145" s="65" t="s">
        <v>6374</v>
      </c>
      <c r="C145" s="65" t="s">
        <v>129</v>
      </c>
      <c r="D145" s="65" t="s">
        <v>6375</v>
      </c>
      <c r="E145" s="83" t="s">
        <v>6755</v>
      </c>
      <c r="F145" s="65"/>
      <c r="G145" s="65"/>
      <c r="H145" s="65" t="s">
        <v>6376</v>
      </c>
      <c r="I145" s="65"/>
      <c r="J145" s="65" t="s">
        <v>6378</v>
      </c>
      <c r="K145" s="65"/>
      <c r="L145" s="65" t="s">
        <v>6379</v>
      </c>
      <c r="M145" s="65"/>
      <c r="N145" s="65"/>
      <c r="O145" s="15" t="str">
        <f t="shared" si="2"/>
        <v>citation:doc-x0213-01</v>
      </c>
      <c r="Q145" s="15" t="str">
        <f>VLOOKUP($O145,'x - paper citations'!$B$3:$E$2000,2,FALSE)</f>
        <v>https://scholar.google.co.uk/scholar?q=%22Impact of network coding on system delay for multisource-multidestination scenarios%22&amp;btnG=&amp;hl=en&amp;as_sdt=0%2C5</v>
      </c>
      <c r="R145" s="15">
        <f>VLOOKUP($O145,'x - paper citations'!$B$3:$E$2000,3,FALSE)</f>
        <v>15</v>
      </c>
      <c r="S145" s="15" t="str">
        <f>VLOOKUP($O145,'x - paper citations'!$B$3:$E$2000,4,FALSE)</f>
        <v>29/02/2016</v>
      </c>
      <c r="U145" s="80" t="str">
        <f>IF(ISNA(VLOOKUP($B145&amp;":"&amp;U$3,'x - authors'!$B$3:$E$10000,4,FALSE)),"",VLOOKUP($B145&amp;":"&amp;U$3,'x - authors'!$B$3:$E$10000,4,FALSE))</f>
        <v>zhiguo_ding</v>
      </c>
      <c r="V145" s="80" t="str">
        <f>IF(ISNA(VLOOKUP($B145&amp;":"&amp;V$3,'x - authors'!$B$3:$E$10000,4,FALSE)),"",VLOOKUP($B145&amp;":"&amp;V$3,'x - authors'!$B$3:$E$10000,4,FALSE))</f>
        <v>zheng_ma</v>
      </c>
      <c r="W145" s="80" t="str">
        <f>IF(ISNA(VLOOKUP($B145&amp;":"&amp;W$3,'x - authors'!$B$3:$E$10000,4,FALSE)),"",VLOOKUP($B145&amp;":"&amp;W$3,'x - authors'!$B$3:$E$10000,4,FALSE))</f>
        <v>kin_leung</v>
      </c>
      <c r="X145" s="80" t="str">
        <f>IF(ISNA(VLOOKUP($B145&amp;":"&amp;X$3,'x - authors'!$B$3:$E$10000,4,FALSE)),"",VLOOKUP($B145&amp;":"&amp;X$3,'x - authors'!$B$3:$E$10000,4,FALSE))</f>
        <v/>
      </c>
      <c r="Y145" s="80" t="str">
        <f>IF(ISNA(VLOOKUP($B145&amp;":"&amp;Y$3,'x - authors'!$B$3:$E$10000,4,FALSE)),"",VLOOKUP($B145&amp;":"&amp;Y$3,'x - authors'!$B$3:$E$10000,4,FALSE))</f>
        <v/>
      </c>
      <c r="Z145" s="80" t="str">
        <f>IF(ISNA(VLOOKUP($B145&amp;":"&amp;Z$3,'x - authors'!$B$3:$E$10000,4,FALSE)),"",VLOOKUP($B145&amp;":"&amp;Z$3,'x - authors'!$B$3:$E$10000,4,FALSE))</f>
        <v/>
      </c>
      <c r="AA145" s="80" t="str">
        <f>IF(ISNA(VLOOKUP($B145&amp;":"&amp;AA$3,'x - authors'!$B$3:$E$10000,4,FALSE)),"",VLOOKUP($B145&amp;":"&amp;AA$3,'x - authors'!$B$3:$E$10000,4,FALSE))</f>
        <v/>
      </c>
      <c r="AB145" s="80" t="str">
        <f>IF(ISNA(VLOOKUP($B145&amp;":"&amp;AB$3,'x - authors'!$B$3:$E$10000,4,FALSE)),"",VLOOKUP($B145&amp;":"&amp;AB$3,'x - authors'!$B$3:$E$10000,4,FALSE))</f>
        <v/>
      </c>
      <c r="AC145" s="80" t="str">
        <f>IF(ISNA(VLOOKUP($B145&amp;":"&amp;AC$3,'x - authors'!$B$3:$E$10000,4,FALSE)),"",VLOOKUP($B145&amp;":"&amp;AC$3,'x - authors'!$B$3:$E$10000,4,FALSE))</f>
        <v/>
      </c>
      <c r="AD145" s="80" t="str">
        <f>IF(ISNA(VLOOKUP($B145&amp;":"&amp;AD$3,'x - authors'!$B$3:$E$10000,4,FALSE)),"",VLOOKUP($B145&amp;":"&amp;AD$3,'x - authors'!$B$3:$E$10000,4,FALSE))</f>
        <v/>
      </c>
      <c r="AE145" s="80" t="str">
        <f>IF(ISNA(VLOOKUP($B145&amp;":"&amp;AE$3,'x - authors'!$B$3:$E$10000,4,FALSE)),"",VLOOKUP($B145&amp;":"&amp;AE$3,'x - authors'!$B$3:$E$10000,4,FALSE))</f>
        <v/>
      </c>
      <c r="AF145" s="80" t="str">
        <f>IF(ISNA(VLOOKUP($B145&amp;":"&amp;AF$3,'x - authors'!$B$3:$E$10000,4,FALSE)),"",VLOOKUP($B145&amp;":"&amp;AF$3,'x - authors'!$B$3:$E$10000,4,FALSE))</f>
        <v/>
      </c>
      <c r="AG145" s="80" t="str">
        <f>IF(ISNA(VLOOKUP($B145&amp;":"&amp;AG$3,'x - authors'!$B$3:$E$10000,4,FALSE)),"",VLOOKUP($B145&amp;":"&amp;AG$3,'x - authors'!$B$3:$E$10000,4,FALSE))</f>
        <v/>
      </c>
      <c r="AH145" s="80" t="str">
        <f>IF(ISNA(VLOOKUP($B145&amp;":"&amp;AH$3,'x - authors'!$B$3:$E$10000,4,FALSE)),"",VLOOKUP($B145&amp;":"&amp;AH$3,'x - authors'!$B$3:$E$10000,4,FALSE))</f>
        <v/>
      </c>
      <c r="AI145" s="80" t="str">
        <f>IF(ISNA(VLOOKUP($B145&amp;":"&amp;AI$3,'x - authors'!$B$3:$E$10000,4,FALSE)),"",VLOOKUP($B145&amp;":"&amp;AI$3,'x - authors'!$B$3:$E$10000,4,FALSE))</f>
        <v/>
      </c>
    </row>
    <row r="146" spans="2:35">
      <c r="B146" s="65" t="s">
        <v>6380</v>
      </c>
      <c r="C146" s="65" t="s">
        <v>129</v>
      </c>
      <c r="D146" s="65" t="s">
        <v>6381</v>
      </c>
      <c r="E146" s="83" t="s">
        <v>6755</v>
      </c>
      <c r="F146" s="65"/>
      <c r="G146" s="65"/>
      <c r="H146" s="65" t="s">
        <v>6382</v>
      </c>
      <c r="I146" s="65"/>
      <c r="J146" s="65"/>
      <c r="K146" s="65"/>
      <c r="L146" s="65" t="s">
        <v>6261</v>
      </c>
      <c r="M146" s="65"/>
      <c r="N146" s="65"/>
      <c r="O146" s="15" t="str">
        <f t="shared" si="2"/>
        <v>citation:doc-x0214-01</v>
      </c>
      <c r="Q146" s="15" t="str">
        <f>VLOOKUP($O146,'x - paper citations'!$B$3:$E$2000,2,FALSE)</f>
        <v>https://scholar.google.co.uk/scholar?q=%22Introduction to the Special Issue on Advances in Sensing, Information Processing and Decision Making for Coalition Operations within the US/UK%22&amp;btnG=&amp;hl=en&amp;as_sdt=0%2C5</v>
      </c>
      <c r="R146" s="15">
        <f>VLOOKUP($O146,'x - paper citations'!$B$3:$E$2000,3,FALSE)</f>
        <v>0</v>
      </c>
      <c r="S146" s="15" t="str">
        <f>VLOOKUP($O146,'x - paper citations'!$B$3:$E$2000,4,FALSE)</f>
        <v>29/02/2016</v>
      </c>
      <c r="U146" s="80" t="str">
        <f>IF(ISNA(VLOOKUP($B146&amp;":"&amp;U$3,'x - authors'!$B$3:$E$10000,4,FALSE)),"",VLOOKUP($B146&amp;":"&amp;U$3,'x - authors'!$B$3:$E$10000,4,FALSE))</f>
        <v>thomas_laporta</v>
      </c>
      <c r="V146" s="80" t="str">
        <f>IF(ISNA(VLOOKUP($B146&amp;":"&amp;V$3,'x - authors'!$B$3:$E$10000,4,FALSE)),"",VLOOKUP($B146&amp;":"&amp;V$3,'x - authors'!$B$3:$E$10000,4,FALSE))</f>
        <v>timothy_norman</v>
      </c>
      <c r="W146" s="80" t="str">
        <f>IF(ISNA(VLOOKUP($B146&amp;":"&amp;W$3,'x - authors'!$B$3:$E$10000,4,FALSE)),"",VLOOKUP($B146&amp;":"&amp;W$3,'x - authors'!$B$3:$E$10000,4,FALSE))</f>
        <v/>
      </c>
      <c r="X146" s="80" t="str">
        <f>IF(ISNA(VLOOKUP($B146&amp;":"&amp;X$3,'x - authors'!$B$3:$E$10000,4,FALSE)),"",VLOOKUP($B146&amp;":"&amp;X$3,'x - authors'!$B$3:$E$10000,4,FALSE))</f>
        <v/>
      </c>
      <c r="Y146" s="80" t="str">
        <f>IF(ISNA(VLOOKUP($B146&amp;":"&amp;Y$3,'x - authors'!$B$3:$E$10000,4,FALSE)),"",VLOOKUP($B146&amp;":"&amp;Y$3,'x - authors'!$B$3:$E$10000,4,FALSE))</f>
        <v/>
      </c>
      <c r="Z146" s="80" t="str">
        <f>IF(ISNA(VLOOKUP($B146&amp;":"&amp;Z$3,'x - authors'!$B$3:$E$10000,4,FALSE)),"",VLOOKUP($B146&amp;":"&amp;Z$3,'x - authors'!$B$3:$E$10000,4,FALSE))</f>
        <v/>
      </c>
      <c r="AA146" s="80" t="str">
        <f>IF(ISNA(VLOOKUP($B146&amp;":"&amp;AA$3,'x - authors'!$B$3:$E$10000,4,FALSE)),"",VLOOKUP($B146&amp;":"&amp;AA$3,'x - authors'!$B$3:$E$10000,4,FALSE))</f>
        <v/>
      </c>
      <c r="AB146" s="80" t="str">
        <f>IF(ISNA(VLOOKUP($B146&amp;":"&amp;AB$3,'x - authors'!$B$3:$E$10000,4,FALSE)),"",VLOOKUP($B146&amp;":"&amp;AB$3,'x - authors'!$B$3:$E$10000,4,FALSE))</f>
        <v/>
      </c>
      <c r="AC146" s="80" t="str">
        <f>IF(ISNA(VLOOKUP($B146&amp;":"&amp;AC$3,'x - authors'!$B$3:$E$10000,4,FALSE)),"",VLOOKUP($B146&amp;":"&amp;AC$3,'x - authors'!$B$3:$E$10000,4,FALSE))</f>
        <v/>
      </c>
      <c r="AD146" s="80" t="str">
        <f>IF(ISNA(VLOOKUP($B146&amp;":"&amp;AD$3,'x - authors'!$B$3:$E$10000,4,FALSE)),"",VLOOKUP($B146&amp;":"&amp;AD$3,'x - authors'!$B$3:$E$10000,4,FALSE))</f>
        <v/>
      </c>
      <c r="AE146" s="80" t="str">
        <f>IF(ISNA(VLOOKUP($B146&amp;":"&amp;AE$3,'x - authors'!$B$3:$E$10000,4,FALSE)),"",VLOOKUP($B146&amp;":"&amp;AE$3,'x - authors'!$B$3:$E$10000,4,FALSE))</f>
        <v/>
      </c>
      <c r="AF146" s="80" t="str">
        <f>IF(ISNA(VLOOKUP($B146&amp;":"&amp;AF$3,'x - authors'!$B$3:$E$10000,4,FALSE)),"",VLOOKUP($B146&amp;":"&amp;AF$3,'x - authors'!$B$3:$E$10000,4,FALSE))</f>
        <v/>
      </c>
      <c r="AG146" s="80" t="str">
        <f>IF(ISNA(VLOOKUP($B146&amp;":"&amp;AG$3,'x - authors'!$B$3:$E$10000,4,FALSE)),"",VLOOKUP($B146&amp;":"&amp;AG$3,'x - authors'!$B$3:$E$10000,4,FALSE))</f>
        <v/>
      </c>
      <c r="AH146" s="80" t="str">
        <f>IF(ISNA(VLOOKUP($B146&amp;":"&amp;AH$3,'x - authors'!$B$3:$E$10000,4,FALSE)),"",VLOOKUP($B146&amp;":"&amp;AH$3,'x - authors'!$B$3:$E$10000,4,FALSE))</f>
        <v/>
      </c>
      <c r="AI146" s="80" t="str">
        <f>IF(ISNA(VLOOKUP($B146&amp;":"&amp;AI$3,'x - authors'!$B$3:$E$10000,4,FALSE)),"",VLOOKUP($B146&amp;":"&amp;AI$3,'x - authors'!$B$3:$E$10000,4,FALSE))</f>
        <v/>
      </c>
    </row>
    <row r="147" spans="2:35">
      <c r="B147" s="65" t="s">
        <v>6384</v>
      </c>
      <c r="C147" s="65" t="s">
        <v>129</v>
      </c>
      <c r="D147" s="65" t="s">
        <v>6385</v>
      </c>
      <c r="E147" s="83" t="s">
        <v>6761</v>
      </c>
      <c r="F147" s="65"/>
      <c r="G147" s="65"/>
      <c r="H147" s="65" t="s">
        <v>6386</v>
      </c>
      <c r="I147" s="65"/>
      <c r="J147" s="65" t="s">
        <v>6388</v>
      </c>
      <c r="K147" s="65"/>
      <c r="L147" s="65" t="s">
        <v>6389</v>
      </c>
      <c r="M147" s="65" t="s">
        <v>6390</v>
      </c>
      <c r="N147" s="65"/>
      <c r="O147" s="15" t="str">
        <f t="shared" si="2"/>
        <v>citation:doc-x0215-01</v>
      </c>
      <c r="Q147" s="15" t="str">
        <f>VLOOKUP($O147,'x - paper citations'!$B$3:$E$2000,2,FALSE)</f>
        <v>https://scholar.google.co.uk/scholar?q=%22More is more: The benefits of dense sensor deployment.%22&amp;btnG=&amp;hl=en&amp;as_sdt=0%2C5</v>
      </c>
      <c r="R147" s="15">
        <f>VLOOKUP($O147,'x - paper citations'!$B$3:$E$2000,3,FALSE)</f>
        <v>1</v>
      </c>
      <c r="S147" s="15" t="str">
        <f>VLOOKUP($O147,'x - paper citations'!$B$3:$E$2000,4,FALSE)</f>
        <v>29/02/2016</v>
      </c>
      <c r="U147" s="80" t="str">
        <f>IF(ISNA(VLOOKUP($B147&amp;":"&amp;U$3,'x - authors'!$B$3:$E$10000,4,FALSE)),"",VLOOKUP($B147&amp;":"&amp;U$3,'x - authors'!$B$3:$E$10000,4,FALSE))</f>
        <v>matthew_johnson</v>
      </c>
      <c r="V147" s="80" t="str">
        <f>IF(ISNA(VLOOKUP($B147&amp;":"&amp;V$3,'x - authors'!$B$3:$E$10000,4,FALSE)),"",VLOOKUP($B147&amp;":"&amp;V$3,'x - authors'!$B$3:$E$10000,4,FALSE))</f>
        <v>deniz_sarioz</v>
      </c>
      <c r="W147" s="80" t="str">
        <f>IF(ISNA(VLOOKUP($B147&amp;":"&amp;W$3,'x - authors'!$B$3:$E$10000,4,FALSE)),"",VLOOKUP($B147&amp;":"&amp;W$3,'x - authors'!$B$3:$E$10000,4,FALSE))</f>
        <v>amotz_bar_noy</v>
      </c>
      <c r="X147" s="80" t="str">
        <f>IF(ISNA(VLOOKUP($B147&amp;":"&amp;X$3,'x - authors'!$B$3:$E$10000,4,FALSE)),"",VLOOKUP($B147&amp;":"&amp;X$3,'x - authors'!$B$3:$E$10000,4,FALSE))</f>
        <v>ted_brown</v>
      </c>
      <c r="Y147" s="80" t="str">
        <f>IF(ISNA(VLOOKUP($B147&amp;":"&amp;Y$3,'x - authors'!$B$3:$E$10000,4,FALSE)),"",VLOOKUP($B147&amp;":"&amp;Y$3,'x - authors'!$B$3:$E$10000,4,FALSE))</f>
        <v>dinesh_verma</v>
      </c>
      <c r="Z147" s="80" t="str">
        <f>IF(ISNA(VLOOKUP($B147&amp;":"&amp;Z$3,'x - authors'!$B$3:$E$10000,4,FALSE)),"",VLOOKUP($B147&amp;":"&amp;Z$3,'x - authors'!$B$3:$E$10000,4,FALSE))</f>
        <v>chai_wah_wu</v>
      </c>
      <c r="AA147" s="80" t="str">
        <f>IF(ISNA(VLOOKUP($B147&amp;":"&amp;AA$3,'x - authors'!$B$3:$E$10000,4,FALSE)),"",VLOOKUP($B147&amp;":"&amp;AA$3,'x - authors'!$B$3:$E$10000,4,FALSE))</f>
        <v/>
      </c>
      <c r="AB147" s="80" t="str">
        <f>IF(ISNA(VLOOKUP($B147&amp;":"&amp;AB$3,'x - authors'!$B$3:$E$10000,4,FALSE)),"",VLOOKUP($B147&amp;":"&amp;AB$3,'x - authors'!$B$3:$E$10000,4,FALSE))</f>
        <v/>
      </c>
      <c r="AC147" s="80" t="str">
        <f>IF(ISNA(VLOOKUP($B147&amp;":"&amp;AC$3,'x - authors'!$B$3:$E$10000,4,FALSE)),"",VLOOKUP($B147&amp;":"&amp;AC$3,'x - authors'!$B$3:$E$10000,4,FALSE))</f>
        <v/>
      </c>
      <c r="AD147" s="80" t="str">
        <f>IF(ISNA(VLOOKUP($B147&amp;":"&amp;AD$3,'x - authors'!$B$3:$E$10000,4,FALSE)),"",VLOOKUP($B147&amp;":"&amp;AD$3,'x - authors'!$B$3:$E$10000,4,FALSE))</f>
        <v/>
      </c>
      <c r="AE147" s="80" t="str">
        <f>IF(ISNA(VLOOKUP($B147&amp;":"&amp;AE$3,'x - authors'!$B$3:$E$10000,4,FALSE)),"",VLOOKUP($B147&amp;":"&amp;AE$3,'x - authors'!$B$3:$E$10000,4,FALSE))</f>
        <v/>
      </c>
      <c r="AF147" s="80" t="str">
        <f>IF(ISNA(VLOOKUP($B147&amp;":"&amp;AF$3,'x - authors'!$B$3:$E$10000,4,FALSE)),"",VLOOKUP($B147&amp;":"&amp;AF$3,'x - authors'!$B$3:$E$10000,4,FALSE))</f>
        <v/>
      </c>
      <c r="AG147" s="80" t="str">
        <f>IF(ISNA(VLOOKUP($B147&amp;":"&amp;AG$3,'x - authors'!$B$3:$E$10000,4,FALSE)),"",VLOOKUP($B147&amp;":"&amp;AG$3,'x - authors'!$B$3:$E$10000,4,FALSE))</f>
        <v/>
      </c>
      <c r="AH147" s="80" t="str">
        <f>IF(ISNA(VLOOKUP($B147&amp;":"&amp;AH$3,'x - authors'!$B$3:$E$10000,4,FALSE)),"",VLOOKUP($B147&amp;":"&amp;AH$3,'x - authors'!$B$3:$E$10000,4,FALSE))</f>
        <v/>
      </c>
      <c r="AI147" s="80" t="str">
        <f>IF(ISNA(VLOOKUP($B147&amp;":"&amp;AI$3,'x - authors'!$B$3:$E$10000,4,FALSE)),"",VLOOKUP($B147&amp;":"&amp;AI$3,'x - authors'!$B$3:$E$10000,4,FALSE))</f>
        <v/>
      </c>
    </row>
    <row r="148" spans="2:35">
      <c r="B148" s="65" t="s">
        <v>6392</v>
      </c>
      <c r="C148" s="65" t="s">
        <v>129</v>
      </c>
      <c r="D148" s="65" t="s">
        <v>6393</v>
      </c>
      <c r="E148" s="83" t="s">
        <v>6758</v>
      </c>
      <c r="F148" s="65"/>
      <c r="G148" s="65"/>
      <c r="H148" s="65" t="s">
        <v>6394</v>
      </c>
      <c r="I148" s="65"/>
      <c r="J148" s="65"/>
      <c r="K148" s="65"/>
      <c r="L148" s="65" t="s">
        <v>6261</v>
      </c>
      <c r="M148" s="65"/>
      <c r="N148" s="65"/>
      <c r="O148" s="15" t="str">
        <f t="shared" si="2"/>
        <v>citation:doc-x0216-01</v>
      </c>
      <c r="Q148" s="15" t="str">
        <f>VLOOKUP($O148,'x - paper citations'!$B$3:$E$2000,2,FALSE)</f>
        <v>https://scholar.google.co.uk/scholar?q=%22On classification and segmentation of massive audio data streams%22&amp;btnG=&amp;hl=en&amp;as_sdt=0%2C5</v>
      </c>
      <c r="R148" s="15">
        <f>VLOOKUP($O148,'x - paper citations'!$B$3:$E$2000,3,FALSE)</f>
        <v>26</v>
      </c>
      <c r="S148" s="15" t="str">
        <f>VLOOKUP($O148,'x - paper citations'!$B$3:$E$2000,4,FALSE)</f>
        <v>29/02/2016</v>
      </c>
      <c r="U148" s="80" t="str">
        <f>IF(ISNA(VLOOKUP($B148&amp;":"&amp;U$3,'x - authors'!$B$3:$E$10000,4,FALSE)),"",VLOOKUP($B148&amp;":"&amp;U$3,'x - authors'!$B$3:$E$10000,4,FALSE))</f>
        <v>charu_aggarwal</v>
      </c>
      <c r="V148" s="80" t="str">
        <f>IF(ISNA(VLOOKUP($B148&amp;":"&amp;V$3,'x - authors'!$B$3:$E$10000,4,FALSE)),"",VLOOKUP($B148&amp;":"&amp;V$3,'x - authors'!$B$3:$E$10000,4,FALSE))</f>
        <v/>
      </c>
      <c r="W148" s="80" t="str">
        <f>IF(ISNA(VLOOKUP($B148&amp;":"&amp;W$3,'x - authors'!$B$3:$E$10000,4,FALSE)),"",VLOOKUP($B148&amp;":"&amp;W$3,'x - authors'!$B$3:$E$10000,4,FALSE))</f>
        <v/>
      </c>
      <c r="X148" s="80" t="str">
        <f>IF(ISNA(VLOOKUP($B148&amp;":"&amp;X$3,'x - authors'!$B$3:$E$10000,4,FALSE)),"",VLOOKUP($B148&amp;":"&amp;X$3,'x - authors'!$B$3:$E$10000,4,FALSE))</f>
        <v/>
      </c>
      <c r="Y148" s="80" t="str">
        <f>IF(ISNA(VLOOKUP($B148&amp;":"&amp;Y$3,'x - authors'!$B$3:$E$10000,4,FALSE)),"",VLOOKUP($B148&amp;":"&amp;Y$3,'x - authors'!$B$3:$E$10000,4,FALSE))</f>
        <v/>
      </c>
      <c r="Z148" s="80" t="str">
        <f>IF(ISNA(VLOOKUP($B148&amp;":"&amp;Z$3,'x - authors'!$B$3:$E$10000,4,FALSE)),"",VLOOKUP($B148&amp;":"&amp;Z$3,'x - authors'!$B$3:$E$10000,4,FALSE))</f>
        <v/>
      </c>
      <c r="AA148" s="80" t="str">
        <f>IF(ISNA(VLOOKUP($B148&amp;":"&amp;AA$3,'x - authors'!$B$3:$E$10000,4,FALSE)),"",VLOOKUP($B148&amp;":"&amp;AA$3,'x - authors'!$B$3:$E$10000,4,FALSE))</f>
        <v/>
      </c>
      <c r="AB148" s="80" t="str">
        <f>IF(ISNA(VLOOKUP($B148&amp;":"&amp;AB$3,'x - authors'!$B$3:$E$10000,4,FALSE)),"",VLOOKUP($B148&amp;":"&amp;AB$3,'x - authors'!$B$3:$E$10000,4,FALSE))</f>
        <v/>
      </c>
      <c r="AC148" s="80" t="str">
        <f>IF(ISNA(VLOOKUP($B148&amp;":"&amp;AC$3,'x - authors'!$B$3:$E$10000,4,FALSE)),"",VLOOKUP($B148&amp;":"&amp;AC$3,'x - authors'!$B$3:$E$10000,4,FALSE))</f>
        <v/>
      </c>
      <c r="AD148" s="80" t="str">
        <f>IF(ISNA(VLOOKUP($B148&amp;":"&amp;AD$3,'x - authors'!$B$3:$E$10000,4,FALSE)),"",VLOOKUP($B148&amp;":"&amp;AD$3,'x - authors'!$B$3:$E$10000,4,FALSE))</f>
        <v/>
      </c>
      <c r="AE148" s="80" t="str">
        <f>IF(ISNA(VLOOKUP($B148&amp;":"&amp;AE$3,'x - authors'!$B$3:$E$10000,4,FALSE)),"",VLOOKUP($B148&amp;":"&amp;AE$3,'x - authors'!$B$3:$E$10000,4,FALSE))</f>
        <v/>
      </c>
      <c r="AF148" s="80" t="str">
        <f>IF(ISNA(VLOOKUP($B148&amp;":"&amp;AF$3,'x - authors'!$B$3:$E$10000,4,FALSE)),"",VLOOKUP($B148&amp;":"&amp;AF$3,'x - authors'!$B$3:$E$10000,4,FALSE))</f>
        <v/>
      </c>
      <c r="AG148" s="80" t="str">
        <f>IF(ISNA(VLOOKUP($B148&amp;":"&amp;AG$3,'x - authors'!$B$3:$E$10000,4,FALSE)),"",VLOOKUP($B148&amp;":"&amp;AG$3,'x - authors'!$B$3:$E$10000,4,FALSE))</f>
        <v/>
      </c>
      <c r="AH148" s="80" t="str">
        <f>IF(ISNA(VLOOKUP($B148&amp;":"&amp;AH$3,'x - authors'!$B$3:$E$10000,4,FALSE)),"",VLOOKUP($B148&amp;":"&amp;AH$3,'x - authors'!$B$3:$E$10000,4,FALSE))</f>
        <v/>
      </c>
      <c r="AI148" s="80" t="str">
        <f>IF(ISNA(VLOOKUP($B148&amp;":"&amp;AI$3,'x - authors'!$B$3:$E$10000,4,FALSE)),"",VLOOKUP($B148&amp;":"&amp;AI$3,'x - authors'!$B$3:$E$10000,4,FALSE))</f>
        <v/>
      </c>
    </row>
    <row r="149" spans="2:35">
      <c r="B149" s="65" t="s">
        <v>6396</v>
      </c>
      <c r="C149" s="65" t="s">
        <v>129</v>
      </c>
      <c r="D149" s="65" t="s">
        <v>6397</v>
      </c>
      <c r="E149" s="83" t="s">
        <v>6755</v>
      </c>
      <c r="F149" s="65"/>
      <c r="G149" s="65"/>
      <c r="H149" s="65" t="s">
        <v>6398</v>
      </c>
      <c r="I149" s="65"/>
      <c r="J149" s="65" t="s">
        <v>6400</v>
      </c>
      <c r="K149" s="65"/>
      <c r="L149" s="65" t="s">
        <v>6401</v>
      </c>
      <c r="M149" s="65"/>
      <c r="N149" s="65"/>
      <c r="O149" s="15" t="str">
        <f t="shared" si="2"/>
        <v>citation:doc-x0217-01</v>
      </c>
      <c r="Q149" s="15" t="str">
        <f>VLOOKUP($O149,'x - paper citations'!$B$3:$E$2000,2,FALSE)</f>
        <v>https://scholar.google.co.uk/scholar?q=%22On the interaction of clocks, power, and synchronization in duty-cycled embedded sensor nodes%22&amp;btnG=&amp;hl=en&amp;as_sdt=0%2C5</v>
      </c>
      <c r="R149" s="15">
        <f>VLOOKUP($O149,'x - paper citations'!$B$3:$E$2000,3,FALSE)</f>
        <v>39</v>
      </c>
      <c r="S149" s="15" t="str">
        <f>VLOOKUP($O149,'x - paper citations'!$B$3:$E$2000,4,FALSE)</f>
        <v>29/02/2016</v>
      </c>
      <c r="U149" s="80" t="str">
        <f>IF(ISNA(VLOOKUP($B149&amp;":"&amp;U$3,'x - authors'!$B$3:$E$10000,4,FALSE)),"",VLOOKUP($B149&amp;":"&amp;U$3,'x - authors'!$B$3:$E$10000,4,FALSE))</f>
        <v>thomas_schmid</v>
      </c>
      <c r="V149" s="80" t="str">
        <f>IF(ISNA(VLOOKUP($B149&amp;":"&amp;V$3,'x - authors'!$B$3:$E$10000,4,FALSE)),"",VLOOKUP($B149&amp;":"&amp;V$3,'x - authors'!$B$3:$E$10000,4,FALSE))</f>
        <v>roy_shea</v>
      </c>
      <c r="W149" s="80" t="str">
        <f>IF(ISNA(VLOOKUP($B149&amp;":"&amp;W$3,'x - authors'!$B$3:$E$10000,4,FALSE)),"",VLOOKUP($B149&amp;":"&amp;W$3,'x - authors'!$B$3:$E$10000,4,FALSE))</f>
        <v>zainul_charbiwala</v>
      </c>
      <c r="X149" s="80" t="str">
        <f>IF(ISNA(VLOOKUP($B149&amp;":"&amp;X$3,'x - authors'!$B$3:$E$10000,4,FALSE)),"",VLOOKUP($B149&amp;":"&amp;X$3,'x - authors'!$B$3:$E$10000,4,FALSE))</f>
        <v>jonathan_friedman</v>
      </c>
      <c r="Y149" s="80" t="str">
        <f>IF(ISNA(VLOOKUP($B149&amp;":"&amp;Y$3,'x - authors'!$B$3:$E$10000,4,FALSE)),"",VLOOKUP($B149&amp;":"&amp;Y$3,'x - authors'!$B$3:$E$10000,4,FALSE))</f>
        <v>mani_srivastava</v>
      </c>
      <c r="Z149" s="80" t="str">
        <f>IF(ISNA(VLOOKUP($B149&amp;":"&amp;Z$3,'x - authors'!$B$3:$E$10000,4,FALSE)),"",VLOOKUP($B149&amp;":"&amp;Z$3,'x - authors'!$B$3:$E$10000,4,FALSE))</f>
        <v>young_cho</v>
      </c>
      <c r="AA149" s="80" t="str">
        <f>IF(ISNA(VLOOKUP($B149&amp;":"&amp;AA$3,'x - authors'!$B$3:$E$10000,4,FALSE)),"",VLOOKUP($B149&amp;":"&amp;AA$3,'x - authors'!$B$3:$E$10000,4,FALSE))</f>
        <v/>
      </c>
      <c r="AB149" s="80" t="str">
        <f>IF(ISNA(VLOOKUP($B149&amp;":"&amp;AB$3,'x - authors'!$B$3:$E$10000,4,FALSE)),"",VLOOKUP($B149&amp;":"&amp;AB$3,'x - authors'!$B$3:$E$10000,4,FALSE))</f>
        <v/>
      </c>
      <c r="AC149" s="80" t="str">
        <f>IF(ISNA(VLOOKUP($B149&amp;":"&amp;AC$3,'x - authors'!$B$3:$E$10000,4,FALSE)),"",VLOOKUP($B149&amp;":"&amp;AC$3,'x - authors'!$B$3:$E$10000,4,FALSE))</f>
        <v/>
      </c>
      <c r="AD149" s="80" t="str">
        <f>IF(ISNA(VLOOKUP($B149&amp;":"&amp;AD$3,'x - authors'!$B$3:$E$10000,4,FALSE)),"",VLOOKUP($B149&amp;":"&amp;AD$3,'x - authors'!$B$3:$E$10000,4,FALSE))</f>
        <v/>
      </c>
      <c r="AE149" s="80" t="str">
        <f>IF(ISNA(VLOOKUP($B149&amp;":"&amp;AE$3,'x - authors'!$B$3:$E$10000,4,FALSE)),"",VLOOKUP($B149&amp;":"&amp;AE$3,'x - authors'!$B$3:$E$10000,4,FALSE))</f>
        <v/>
      </c>
      <c r="AF149" s="80" t="str">
        <f>IF(ISNA(VLOOKUP($B149&amp;":"&amp;AF$3,'x - authors'!$B$3:$E$10000,4,FALSE)),"",VLOOKUP($B149&amp;":"&amp;AF$3,'x - authors'!$B$3:$E$10000,4,FALSE))</f>
        <v/>
      </c>
      <c r="AG149" s="80" t="str">
        <f>IF(ISNA(VLOOKUP($B149&amp;":"&amp;AG$3,'x - authors'!$B$3:$E$10000,4,FALSE)),"",VLOOKUP($B149&amp;":"&amp;AG$3,'x - authors'!$B$3:$E$10000,4,FALSE))</f>
        <v/>
      </c>
      <c r="AH149" s="80" t="str">
        <f>IF(ISNA(VLOOKUP($B149&amp;":"&amp;AH$3,'x - authors'!$B$3:$E$10000,4,FALSE)),"",VLOOKUP($B149&amp;":"&amp;AH$3,'x - authors'!$B$3:$E$10000,4,FALSE))</f>
        <v/>
      </c>
      <c r="AI149" s="80" t="str">
        <f>IF(ISNA(VLOOKUP($B149&amp;":"&amp;AI$3,'x - authors'!$B$3:$E$10000,4,FALSE)),"",VLOOKUP($B149&amp;":"&amp;AI$3,'x - authors'!$B$3:$E$10000,4,FALSE))</f>
        <v/>
      </c>
    </row>
    <row r="150" spans="2:35">
      <c r="B150" s="65" t="s">
        <v>6402</v>
      </c>
      <c r="C150" s="65" t="s">
        <v>129</v>
      </c>
      <c r="D150" s="65" t="s">
        <v>6403</v>
      </c>
      <c r="E150" s="83" t="s">
        <v>6755</v>
      </c>
      <c r="F150" s="65"/>
      <c r="G150" s="65"/>
      <c r="H150" s="65" t="s">
        <v>6404</v>
      </c>
      <c r="I150" s="65"/>
      <c r="J150" s="65" t="s">
        <v>6406</v>
      </c>
      <c r="K150" s="65"/>
      <c r="L150" s="65" t="s">
        <v>6407</v>
      </c>
      <c r="M150" s="65"/>
      <c r="N150" s="65"/>
      <c r="O150" s="15" t="str">
        <f t="shared" si="2"/>
        <v>citation:doc-x0220-01</v>
      </c>
      <c r="Q150" s="15" t="str">
        <f>VLOOKUP($O150,'x - paper citations'!$B$3:$E$2000,2,FALSE)</f>
        <v>https://scholar.google.co.uk/scholar?q=%22P2P content distribution to mobile bluetooth users%22&amp;btnG=&amp;hl=en&amp;as_sdt=0%2C5</v>
      </c>
      <c r="R150" s="15">
        <f>VLOOKUP($O150,'x - paper citations'!$B$3:$E$2000,3,FALSE)</f>
        <v>31</v>
      </c>
      <c r="S150" s="15" t="str">
        <f>VLOOKUP($O150,'x - paper citations'!$B$3:$E$2000,4,FALSE)</f>
        <v>29/02/2016</v>
      </c>
      <c r="U150" s="80" t="str">
        <f>IF(ISNA(VLOOKUP($B150&amp;":"&amp;U$3,'x - authors'!$B$3:$E$10000,4,FALSE)),"",VLOOKUP($B150&amp;":"&amp;U$3,'x - authors'!$B$3:$E$10000,4,FALSE))</f>
        <v>uichin_lee</v>
      </c>
      <c r="V150" s="80" t="str">
        <f>IF(ISNA(VLOOKUP($B150&amp;":"&amp;V$3,'x - authors'!$B$3:$E$10000,4,FALSE)),"",VLOOKUP($B150&amp;":"&amp;V$3,'x - authors'!$B$3:$E$10000,4,FALSE))</f>
        <v>sewook_jung</v>
      </c>
      <c r="W150" s="80" t="str">
        <f>IF(ISNA(VLOOKUP($B150&amp;":"&amp;W$3,'x - authors'!$B$3:$E$10000,4,FALSE)),"",VLOOKUP($B150&amp;":"&amp;W$3,'x - authors'!$B$3:$E$10000,4,FALSE))</f>
        <v>dae-ki_cho</v>
      </c>
      <c r="X150" s="80" t="str">
        <f>IF(ISNA(VLOOKUP($B150&amp;":"&amp;X$3,'x - authors'!$B$3:$E$10000,4,FALSE)),"",VLOOKUP($B150&amp;":"&amp;X$3,'x - authors'!$B$3:$E$10000,4,FALSE))</f>
        <v>alexander_chang</v>
      </c>
      <c r="Y150" s="80" t="str">
        <f>IF(ISNA(VLOOKUP($B150&amp;":"&amp;Y$3,'x - authors'!$B$3:$E$10000,4,FALSE)),"",VLOOKUP($B150&amp;":"&amp;Y$3,'x - authors'!$B$3:$E$10000,4,FALSE))</f>
        <v>junho_choi</v>
      </c>
      <c r="Z150" s="80" t="str">
        <f>IF(ISNA(VLOOKUP($B150&amp;":"&amp;Z$3,'x - authors'!$B$3:$E$10000,4,FALSE)),"",VLOOKUP($B150&amp;":"&amp;Z$3,'x - authors'!$B$3:$E$10000,4,FALSE))</f>
        <v>mario_gerla</v>
      </c>
      <c r="AA150" s="80" t="str">
        <f>IF(ISNA(VLOOKUP($B150&amp;":"&amp;AA$3,'x - authors'!$B$3:$E$10000,4,FALSE)),"",VLOOKUP($B150&amp;":"&amp;AA$3,'x - authors'!$B$3:$E$10000,4,FALSE))</f>
        <v/>
      </c>
      <c r="AB150" s="80" t="str">
        <f>IF(ISNA(VLOOKUP($B150&amp;":"&amp;AB$3,'x - authors'!$B$3:$E$10000,4,FALSE)),"",VLOOKUP($B150&amp;":"&amp;AB$3,'x - authors'!$B$3:$E$10000,4,FALSE))</f>
        <v/>
      </c>
      <c r="AC150" s="80" t="str">
        <f>IF(ISNA(VLOOKUP($B150&amp;":"&amp;AC$3,'x - authors'!$B$3:$E$10000,4,FALSE)),"",VLOOKUP($B150&amp;":"&amp;AC$3,'x - authors'!$B$3:$E$10000,4,FALSE))</f>
        <v/>
      </c>
      <c r="AD150" s="80" t="str">
        <f>IF(ISNA(VLOOKUP($B150&amp;":"&amp;AD$3,'x - authors'!$B$3:$E$10000,4,FALSE)),"",VLOOKUP($B150&amp;":"&amp;AD$3,'x - authors'!$B$3:$E$10000,4,FALSE))</f>
        <v/>
      </c>
      <c r="AE150" s="80" t="str">
        <f>IF(ISNA(VLOOKUP($B150&amp;":"&amp;AE$3,'x - authors'!$B$3:$E$10000,4,FALSE)),"",VLOOKUP($B150&amp;":"&amp;AE$3,'x - authors'!$B$3:$E$10000,4,FALSE))</f>
        <v/>
      </c>
      <c r="AF150" s="80" t="str">
        <f>IF(ISNA(VLOOKUP($B150&amp;":"&amp;AF$3,'x - authors'!$B$3:$E$10000,4,FALSE)),"",VLOOKUP($B150&amp;":"&amp;AF$3,'x - authors'!$B$3:$E$10000,4,FALSE))</f>
        <v/>
      </c>
      <c r="AG150" s="80" t="str">
        <f>IF(ISNA(VLOOKUP($B150&amp;":"&amp;AG$3,'x - authors'!$B$3:$E$10000,4,FALSE)),"",VLOOKUP($B150&amp;":"&amp;AG$3,'x - authors'!$B$3:$E$10000,4,FALSE))</f>
        <v/>
      </c>
      <c r="AH150" s="80" t="str">
        <f>IF(ISNA(VLOOKUP($B150&amp;":"&amp;AH$3,'x - authors'!$B$3:$E$10000,4,FALSE)),"",VLOOKUP($B150&amp;":"&amp;AH$3,'x - authors'!$B$3:$E$10000,4,FALSE))</f>
        <v/>
      </c>
      <c r="AI150" s="80" t="str">
        <f>IF(ISNA(VLOOKUP($B150&amp;":"&amp;AI$3,'x - authors'!$B$3:$E$10000,4,FALSE)),"",VLOOKUP($B150&amp;":"&amp;AI$3,'x - authors'!$B$3:$E$10000,4,FALSE))</f>
        <v/>
      </c>
    </row>
    <row r="151" spans="2:35">
      <c r="B151" s="65" t="s">
        <v>6408</v>
      </c>
      <c r="C151" s="65" t="s">
        <v>129</v>
      </c>
      <c r="D151" s="65" t="s">
        <v>6409</v>
      </c>
      <c r="E151" s="83" t="s">
        <v>6761</v>
      </c>
      <c r="F151" s="65"/>
      <c r="G151" s="65"/>
      <c r="H151" s="65" t="s">
        <v>6410</v>
      </c>
      <c r="I151" s="65"/>
      <c r="J151" s="65" t="s">
        <v>6412</v>
      </c>
      <c r="K151" s="65"/>
      <c r="L151" s="65" t="s">
        <v>6413</v>
      </c>
      <c r="M151" s="65" t="s">
        <v>6414</v>
      </c>
      <c r="N151" s="65"/>
      <c r="O151" s="15" t="str">
        <f t="shared" si="2"/>
        <v>citation:doc-x0221-01</v>
      </c>
      <c r="Q151" s="15" t="str">
        <f>VLOOKUP($O151,'x - paper citations'!$B$3:$E$2000,2,FALSE)</f>
        <v>https://scholar.google.co.uk/scholar?q=%22Secure incentives for commercial ad dissemination in vehicular networks%22&amp;btnG=&amp;hl=en&amp;as_sdt=0%2C5</v>
      </c>
      <c r="R151" s="15">
        <f>VLOOKUP($O151,'x - paper citations'!$B$3:$E$2000,3,FALSE)</f>
        <v>24</v>
      </c>
      <c r="S151" s="15" t="str">
        <f>VLOOKUP($O151,'x - paper citations'!$B$3:$E$2000,4,FALSE)</f>
        <v>29/02/2016</v>
      </c>
      <c r="U151" s="80" t="str">
        <f>IF(ISNA(VLOOKUP($B151&amp;":"&amp;U$3,'x - authors'!$B$3:$E$10000,4,FALSE)),"",VLOOKUP($B151&amp;":"&amp;U$3,'x - authors'!$B$3:$E$10000,4,FALSE))</f>
        <v>suk-bok_lee</v>
      </c>
      <c r="V151" s="80" t="str">
        <f>IF(ISNA(VLOOKUP($B151&amp;":"&amp;V$3,'x - authors'!$B$3:$E$10000,4,FALSE)),"",VLOOKUP($B151&amp;":"&amp;V$3,'x - authors'!$B$3:$E$10000,4,FALSE))</f>
        <v>gabriel_pan</v>
      </c>
      <c r="W151" s="80" t="str">
        <f>IF(ISNA(VLOOKUP($B151&amp;":"&amp;W$3,'x - authors'!$B$3:$E$10000,4,FALSE)),"",VLOOKUP($B151&amp;":"&amp;W$3,'x - authors'!$B$3:$E$10000,4,FALSE))</f>
        <v>joon-sang_park</v>
      </c>
      <c r="X151" s="80" t="str">
        <f>IF(ISNA(VLOOKUP($B151&amp;":"&amp;X$3,'x - authors'!$B$3:$E$10000,4,FALSE)),"",VLOOKUP($B151&amp;":"&amp;X$3,'x - authors'!$B$3:$E$10000,4,FALSE))</f>
        <v>mario_gerla</v>
      </c>
      <c r="Y151" s="80" t="str">
        <f>IF(ISNA(VLOOKUP($B151&amp;":"&amp;Y$3,'x - authors'!$B$3:$E$10000,4,FALSE)),"",VLOOKUP($B151&amp;":"&amp;Y$3,'x - authors'!$B$3:$E$10000,4,FALSE))</f>
        <v>songwu_lu</v>
      </c>
      <c r="Z151" s="80" t="str">
        <f>IF(ISNA(VLOOKUP($B151&amp;":"&amp;Z$3,'x - authors'!$B$3:$E$10000,4,FALSE)),"",VLOOKUP($B151&amp;":"&amp;Z$3,'x - authors'!$B$3:$E$10000,4,FALSE))</f>
        <v/>
      </c>
      <c r="AA151" s="80" t="str">
        <f>IF(ISNA(VLOOKUP($B151&amp;":"&amp;AA$3,'x - authors'!$B$3:$E$10000,4,FALSE)),"",VLOOKUP($B151&amp;":"&amp;AA$3,'x - authors'!$B$3:$E$10000,4,FALSE))</f>
        <v/>
      </c>
      <c r="AB151" s="80" t="str">
        <f>IF(ISNA(VLOOKUP($B151&amp;":"&amp;AB$3,'x - authors'!$B$3:$E$10000,4,FALSE)),"",VLOOKUP($B151&amp;":"&amp;AB$3,'x - authors'!$B$3:$E$10000,4,FALSE))</f>
        <v/>
      </c>
      <c r="AC151" s="80" t="str">
        <f>IF(ISNA(VLOOKUP($B151&amp;":"&amp;AC$3,'x - authors'!$B$3:$E$10000,4,FALSE)),"",VLOOKUP($B151&amp;":"&amp;AC$3,'x - authors'!$B$3:$E$10000,4,FALSE))</f>
        <v/>
      </c>
      <c r="AD151" s="80" t="str">
        <f>IF(ISNA(VLOOKUP($B151&amp;":"&amp;AD$3,'x - authors'!$B$3:$E$10000,4,FALSE)),"",VLOOKUP($B151&amp;":"&amp;AD$3,'x - authors'!$B$3:$E$10000,4,FALSE))</f>
        <v/>
      </c>
      <c r="AE151" s="80" t="str">
        <f>IF(ISNA(VLOOKUP($B151&amp;":"&amp;AE$3,'x - authors'!$B$3:$E$10000,4,FALSE)),"",VLOOKUP($B151&amp;":"&amp;AE$3,'x - authors'!$B$3:$E$10000,4,FALSE))</f>
        <v/>
      </c>
      <c r="AF151" s="80" t="str">
        <f>IF(ISNA(VLOOKUP($B151&amp;":"&amp;AF$3,'x - authors'!$B$3:$E$10000,4,FALSE)),"",VLOOKUP($B151&amp;":"&amp;AF$3,'x - authors'!$B$3:$E$10000,4,FALSE))</f>
        <v/>
      </c>
      <c r="AG151" s="80" t="str">
        <f>IF(ISNA(VLOOKUP($B151&amp;":"&amp;AG$3,'x - authors'!$B$3:$E$10000,4,FALSE)),"",VLOOKUP($B151&amp;":"&amp;AG$3,'x - authors'!$B$3:$E$10000,4,FALSE))</f>
        <v/>
      </c>
      <c r="AH151" s="80" t="str">
        <f>IF(ISNA(VLOOKUP($B151&amp;":"&amp;AH$3,'x - authors'!$B$3:$E$10000,4,FALSE)),"",VLOOKUP($B151&amp;":"&amp;AH$3,'x - authors'!$B$3:$E$10000,4,FALSE))</f>
        <v/>
      </c>
      <c r="AI151" s="80" t="str">
        <f>IF(ISNA(VLOOKUP($B151&amp;":"&amp;AI$3,'x - authors'!$B$3:$E$10000,4,FALSE)),"",VLOOKUP($B151&amp;":"&amp;AI$3,'x - authors'!$B$3:$E$10000,4,FALSE))</f>
        <v/>
      </c>
    </row>
    <row r="152" spans="2:35">
      <c r="B152" s="65" t="s">
        <v>6415</v>
      </c>
      <c r="C152" s="65" t="s">
        <v>129</v>
      </c>
      <c r="D152" s="65" t="s">
        <v>6416</v>
      </c>
      <c r="E152" s="83" t="s">
        <v>6759</v>
      </c>
      <c r="F152" s="65"/>
      <c r="G152" s="65"/>
      <c r="H152" s="65" t="s">
        <v>6417</v>
      </c>
      <c r="I152" s="65"/>
      <c r="J152" s="65" t="s">
        <v>6419</v>
      </c>
      <c r="K152" s="65"/>
      <c r="L152" s="65" t="s">
        <v>6420</v>
      </c>
      <c r="M152" s="65"/>
      <c r="N152" s="65"/>
      <c r="O152" s="15" t="str">
        <f t="shared" si="2"/>
        <v>citation:doc-x0222-01</v>
      </c>
      <c r="Q152" s="15" t="str">
        <f>VLOOKUP($O152,'x - paper citations'!$B$3:$E$2000,2,FALSE)</f>
        <v>https://scholar.google.co.uk/scholar?q=%22Secure time synchronization in sensor networks%22&amp;btnG=&amp;hl=en&amp;as_sdt=0%2C5</v>
      </c>
      <c r="R152" s="15">
        <f>VLOOKUP($O152,'x - paper citations'!$B$3:$E$2000,3,FALSE)</f>
        <v>92</v>
      </c>
      <c r="S152" s="15" t="str">
        <f>VLOOKUP($O152,'x - paper citations'!$B$3:$E$2000,4,FALSE)</f>
        <v>29/02/2016</v>
      </c>
      <c r="U152" s="80" t="str">
        <f>IF(ISNA(VLOOKUP($B152&amp;":"&amp;U$3,'x - authors'!$B$3:$E$10000,4,FALSE)),"",VLOOKUP($B152&amp;":"&amp;U$3,'x - authors'!$B$3:$E$10000,4,FALSE))</f>
        <v>saurabh_ganeriwal</v>
      </c>
      <c r="V152" s="80" t="str">
        <f>IF(ISNA(VLOOKUP($B152&amp;":"&amp;V$3,'x - authors'!$B$3:$E$10000,4,FALSE)),"",VLOOKUP($B152&amp;":"&amp;V$3,'x - authors'!$B$3:$E$10000,4,FALSE))</f>
        <v>christina_popper</v>
      </c>
      <c r="W152" s="80" t="str">
        <f>IF(ISNA(VLOOKUP($B152&amp;":"&amp;W$3,'x - authors'!$B$3:$E$10000,4,FALSE)),"",VLOOKUP($B152&amp;":"&amp;W$3,'x - authors'!$B$3:$E$10000,4,FALSE))</f>
        <v>srdjan_capkun</v>
      </c>
      <c r="X152" s="80" t="str">
        <f>IF(ISNA(VLOOKUP($B152&amp;":"&amp;X$3,'x - authors'!$B$3:$E$10000,4,FALSE)),"",VLOOKUP($B152&amp;":"&amp;X$3,'x - authors'!$B$3:$E$10000,4,FALSE))</f>
        <v>mani_srivastava</v>
      </c>
      <c r="Y152" s="80" t="str">
        <f>IF(ISNA(VLOOKUP($B152&amp;":"&amp;Y$3,'x - authors'!$B$3:$E$10000,4,FALSE)),"",VLOOKUP($B152&amp;":"&amp;Y$3,'x - authors'!$B$3:$E$10000,4,FALSE))</f>
        <v/>
      </c>
      <c r="Z152" s="80" t="str">
        <f>IF(ISNA(VLOOKUP($B152&amp;":"&amp;Z$3,'x - authors'!$B$3:$E$10000,4,FALSE)),"",VLOOKUP($B152&amp;":"&amp;Z$3,'x - authors'!$B$3:$E$10000,4,FALSE))</f>
        <v/>
      </c>
      <c r="AA152" s="80" t="str">
        <f>IF(ISNA(VLOOKUP($B152&amp;":"&amp;AA$3,'x - authors'!$B$3:$E$10000,4,FALSE)),"",VLOOKUP($B152&amp;":"&amp;AA$3,'x - authors'!$B$3:$E$10000,4,FALSE))</f>
        <v/>
      </c>
      <c r="AB152" s="80" t="str">
        <f>IF(ISNA(VLOOKUP($B152&amp;":"&amp;AB$3,'x - authors'!$B$3:$E$10000,4,FALSE)),"",VLOOKUP($B152&amp;":"&amp;AB$3,'x - authors'!$B$3:$E$10000,4,FALSE))</f>
        <v/>
      </c>
      <c r="AC152" s="80" t="str">
        <f>IF(ISNA(VLOOKUP($B152&amp;":"&amp;AC$3,'x - authors'!$B$3:$E$10000,4,FALSE)),"",VLOOKUP($B152&amp;":"&amp;AC$3,'x - authors'!$B$3:$E$10000,4,FALSE))</f>
        <v/>
      </c>
      <c r="AD152" s="80" t="str">
        <f>IF(ISNA(VLOOKUP($B152&amp;":"&amp;AD$3,'x - authors'!$B$3:$E$10000,4,FALSE)),"",VLOOKUP($B152&amp;":"&amp;AD$3,'x - authors'!$B$3:$E$10000,4,FALSE))</f>
        <v/>
      </c>
      <c r="AE152" s="80" t="str">
        <f>IF(ISNA(VLOOKUP($B152&amp;":"&amp;AE$3,'x - authors'!$B$3:$E$10000,4,FALSE)),"",VLOOKUP($B152&amp;":"&amp;AE$3,'x - authors'!$B$3:$E$10000,4,FALSE))</f>
        <v/>
      </c>
      <c r="AF152" s="80" t="str">
        <f>IF(ISNA(VLOOKUP($B152&amp;":"&amp;AF$3,'x - authors'!$B$3:$E$10000,4,FALSE)),"",VLOOKUP($B152&amp;":"&amp;AF$3,'x - authors'!$B$3:$E$10000,4,FALSE))</f>
        <v/>
      </c>
      <c r="AG152" s="80" t="str">
        <f>IF(ISNA(VLOOKUP($B152&amp;":"&amp;AG$3,'x - authors'!$B$3:$E$10000,4,FALSE)),"",VLOOKUP($B152&amp;":"&amp;AG$3,'x - authors'!$B$3:$E$10000,4,FALSE))</f>
        <v/>
      </c>
      <c r="AH152" s="80" t="str">
        <f>IF(ISNA(VLOOKUP($B152&amp;":"&amp;AH$3,'x - authors'!$B$3:$E$10000,4,FALSE)),"",VLOOKUP($B152&amp;":"&amp;AH$3,'x - authors'!$B$3:$E$10000,4,FALSE))</f>
        <v/>
      </c>
      <c r="AI152" s="80" t="str">
        <f>IF(ISNA(VLOOKUP($B152&amp;":"&amp;AI$3,'x - authors'!$B$3:$E$10000,4,FALSE)),"",VLOOKUP($B152&amp;":"&amp;AI$3,'x - authors'!$B$3:$E$10000,4,FALSE))</f>
        <v/>
      </c>
    </row>
    <row r="153" spans="2:35">
      <c r="B153" s="65" t="s">
        <v>6421</v>
      </c>
      <c r="C153" s="65" t="s">
        <v>129</v>
      </c>
      <c r="D153" s="65" t="s">
        <v>6422</v>
      </c>
      <c r="E153" s="83" t="s">
        <v>6755</v>
      </c>
      <c r="F153" s="65"/>
      <c r="G153" s="65"/>
      <c r="H153" s="65" t="s">
        <v>6423</v>
      </c>
      <c r="I153" s="65"/>
      <c r="J153" s="65" t="s">
        <v>6425</v>
      </c>
      <c r="K153" s="65"/>
      <c r="L153" s="65" t="s">
        <v>6426</v>
      </c>
      <c r="M153" s="65"/>
      <c r="N153" s="65"/>
      <c r="O153" s="15" t="str">
        <f t="shared" si="2"/>
        <v>citation:doc-x0224-01</v>
      </c>
      <c r="Q153" s="15" t="str">
        <f>VLOOKUP($O153,'x - paper citations'!$B$3:$E$2000,2,FALSE)</f>
        <v>https://scholar.google.co.uk/scholar?q=%22Sensor-mission assignment in wireless sensor networks%22&amp;btnG=&amp;hl=en&amp;as_sdt=0%2C5</v>
      </c>
      <c r="R153" s="15">
        <f>VLOOKUP($O153,'x - paper citations'!$B$3:$E$2000,3,FALSE)</f>
        <v>20</v>
      </c>
      <c r="S153" s="15" t="str">
        <f>VLOOKUP($O153,'x - paper citations'!$B$3:$E$2000,4,FALSE)</f>
        <v>29/02/2016</v>
      </c>
      <c r="U153" s="80" t="str">
        <f>IF(ISNA(VLOOKUP($B153&amp;":"&amp;U$3,'x - authors'!$B$3:$E$10000,4,FALSE)),"",VLOOKUP($B153&amp;":"&amp;U$3,'x - authors'!$B$3:$E$10000,4,FALSE))</f>
        <v>hosam_rowaihy</v>
      </c>
      <c r="V153" s="80" t="str">
        <f>IF(ISNA(VLOOKUP($B153&amp;":"&amp;V$3,'x - authors'!$B$3:$E$10000,4,FALSE)),"",VLOOKUP($B153&amp;":"&amp;V$3,'x - authors'!$B$3:$E$10000,4,FALSE))</f>
        <v>matthew_johnson</v>
      </c>
      <c r="W153" s="80" t="str">
        <f>IF(ISNA(VLOOKUP($B153&amp;":"&amp;W$3,'x - authors'!$B$3:$E$10000,4,FALSE)),"",VLOOKUP($B153&amp;":"&amp;W$3,'x - authors'!$B$3:$E$10000,4,FALSE))</f>
        <v>ou_liu</v>
      </c>
      <c r="X153" s="80" t="str">
        <f>IF(ISNA(VLOOKUP($B153&amp;":"&amp;X$3,'x - authors'!$B$3:$E$10000,4,FALSE)),"",VLOOKUP($B153&amp;":"&amp;X$3,'x - authors'!$B$3:$E$10000,4,FALSE))</f>
        <v>amotz_bar_noy</v>
      </c>
      <c r="Y153" s="80" t="str">
        <f>IF(ISNA(VLOOKUP($B153&amp;":"&amp;Y$3,'x - authors'!$B$3:$E$10000,4,FALSE)),"",VLOOKUP($B153&amp;":"&amp;Y$3,'x - authors'!$B$3:$E$10000,4,FALSE))</f>
        <v>ted_brown</v>
      </c>
      <c r="Z153" s="80" t="str">
        <f>IF(ISNA(VLOOKUP($B153&amp;":"&amp;Z$3,'x - authors'!$B$3:$E$10000,4,FALSE)),"",VLOOKUP($B153&amp;":"&amp;Z$3,'x - authors'!$B$3:$E$10000,4,FALSE))</f>
        <v>thomas_laporta</v>
      </c>
      <c r="AA153" s="80" t="str">
        <f>IF(ISNA(VLOOKUP($B153&amp;":"&amp;AA$3,'x - authors'!$B$3:$E$10000,4,FALSE)),"",VLOOKUP($B153&amp;":"&amp;AA$3,'x - authors'!$B$3:$E$10000,4,FALSE))</f>
        <v/>
      </c>
      <c r="AB153" s="80" t="str">
        <f>IF(ISNA(VLOOKUP($B153&amp;":"&amp;AB$3,'x - authors'!$B$3:$E$10000,4,FALSE)),"",VLOOKUP($B153&amp;":"&amp;AB$3,'x - authors'!$B$3:$E$10000,4,FALSE))</f>
        <v/>
      </c>
      <c r="AC153" s="80" t="str">
        <f>IF(ISNA(VLOOKUP($B153&amp;":"&amp;AC$3,'x - authors'!$B$3:$E$10000,4,FALSE)),"",VLOOKUP($B153&amp;":"&amp;AC$3,'x - authors'!$B$3:$E$10000,4,FALSE))</f>
        <v/>
      </c>
      <c r="AD153" s="80" t="str">
        <f>IF(ISNA(VLOOKUP($B153&amp;":"&amp;AD$3,'x - authors'!$B$3:$E$10000,4,FALSE)),"",VLOOKUP($B153&amp;":"&amp;AD$3,'x - authors'!$B$3:$E$10000,4,FALSE))</f>
        <v/>
      </c>
      <c r="AE153" s="80" t="str">
        <f>IF(ISNA(VLOOKUP($B153&amp;":"&amp;AE$3,'x - authors'!$B$3:$E$10000,4,FALSE)),"",VLOOKUP($B153&amp;":"&amp;AE$3,'x - authors'!$B$3:$E$10000,4,FALSE))</f>
        <v/>
      </c>
      <c r="AF153" s="80" t="str">
        <f>IF(ISNA(VLOOKUP($B153&amp;":"&amp;AF$3,'x - authors'!$B$3:$E$10000,4,FALSE)),"",VLOOKUP($B153&amp;":"&amp;AF$3,'x - authors'!$B$3:$E$10000,4,FALSE))</f>
        <v/>
      </c>
      <c r="AG153" s="80" t="str">
        <f>IF(ISNA(VLOOKUP($B153&amp;":"&amp;AG$3,'x - authors'!$B$3:$E$10000,4,FALSE)),"",VLOOKUP($B153&amp;":"&amp;AG$3,'x - authors'!$B$3:$E$10000,4,FALSE))</f>
        <v/>
      </c>
      <c r="AH153" s="80" t="str">
        <f>IF(ISNA(VLOOKUP($B153&amp;":"&amp;AH$3,'x - authors'!$B$3:$E$10000,4,FALSE)),"",VLOOKUP($B153&amp;":"&amp;AH$3,'x - authors'!$B$3:$E$10000,4,FALSE))</f>
        <v/>
      </c>
      <c r="AI153" s="80" t="str">
        <f>IF(ISNA(VLOOKUP($B153&amp;":"&amp;AI$3,'x - authors'!$B$3:$E$10000,4,FALSE)),"",VLOOKUP($B153&amp;":"&amp;AI$3,'x - authors'!$B$3:$E$10000,4,FALSE))</f>
        <v/>
      </c>
    </row>
    <row r="154" spans="2:35">
      <c r="B154" s="65" t="s">
        <v>6427</v>
      </c>
      <c r="C154" s="65" t="s">
        <v>129</v>
      </c>
      <c r="D154" s="65" t="s">
        <v>6428</v>
      </c>
      <c r="E154" s="83" t="s">
        <v>6758</v>
      </c>
      <c r="F154" s="65"/>
      <c r="G154" s="65"/>
      <c r="H154" s="65" t="s">
        <v>6429</v>
      </c>
      <c r="I154" s="65"/>
      <c r="J154" s="65" t="s">
        <v>6431</v>
      </c>
      <c r="K154" s="65"/>
      <c r="L154" s="65" t="s">
        <v>6432</v>
      </c>
      <c r="M154" s="65"/>
      <c r="N154" s="65"/>
      <c r="O154" s="15" t="str">
        <f t="shared" si="2"/>
        <v>citation:doc-x0225-01</v>
      </c>
      <c r="Q154" s="15" t="str">
        <f>VLOOKUP($O154,'x - paper citations'!$B$3:$E$2000,2,FALSE)</f>
        <v>https://scholar.google.co.uk/scholar?q=%22Temperature compensated time synchronization%22&amp;btnG=&amp;hl=en&amp;as_sdt=0%2C5</v>
      </c>
      <c r="R154" s="15">
        <f>VLOOKUP($O154,'x - paper citations'!$B$3:$E$2000,3,FALSE)</f>
        <v>46</v>
      </c>
      <c r="S154" s="15" t="str">
        <f>VLOOKUP($O154,'x - paper citations'!$B$3:$E$2000,4,FALSE)</f>
        <v>29/02/2016</v>
      </c>
      <c r="U154" s="80" t="str">
        <f>IF(ISNA(VLOOKUP($B154&amp;":"&amp;U$3,'x - authors'!$B$3:$E$10000,4,FALSE)),"",VLOOKUP($B154&amp;":"&amp;U$3,'x - authors'!$B$3:$E$10000,4,FALSE))</f>
        <v>thomas_schmid</v>
      </c>
      <c r="V154" s="80" t="str">
        <f>IF(ISNA(VLOOKUP($B154&amp;":"&amp;V$3,'x - authors'!$B$3:$E$10000,4,FALSE)),"",VLOOKUP($B154&amp;":"&amp;V$3,'x - authors'!$B$3:$E$10000,4,FALSE))</f>
        <v>zainul_charbiwala</v>
      </c>
      <c r="W154" s="80" t="str">
        <f>IF(ISNA(VLOOKUP($B154&amp;":"&amp;W$3,'x - authors'!$B$3:$E$10000,4,FALSE)),"",VLOOKUP($B154&amp;":"&amp;W$3,'x - authors'!$B$3:$E$10000,4,FALSE))</f>
        <v>roy_shea</v>
      </c>
      <c r="X154" s="80" t="str">
        <f>IF(ISNA(VLOOKUP($B154&amp;":"&amp;X$3,'x - authors'!$B$3:$E$10000,4,FALSE)),"",VLOOKUP($B154&amp;":"&amp;X$3,'x - authors'!$B$3:$E$10000,4,FALSE))</f>
        <v>mani_srivastava</v>
      </c>
      <c r="Y154" s="80" t="str">
        <f>IF(ISNA(VLOOKUP($B154&amp;":"&amp;Y$3,'x - authors'!$B$3:$E$10000,4,FALSE)),"",VLOOKUP($B154&amp;":"&amp;Y$3,'x - authors'!$B$3:$E$10000,4,FALSE))</f>
        <v/>
      </c>
      <c r="Z154" s="80" t="str">
        <f>IF(ISNA(VLOOKUP($B154&amp;":"&amp;Z$3,'x - authors'!$B$3:$E$10000,4,FALSE)),"",VLOOKUP($B154&amp;":"&amp;Z$3,'x - authors'!$B$3:$E$10000,4,FALSE))</f>
        <v/>
      </c>
      <c r="AA154" s="80" t="str">
        <f>IF(ISNA(VLOOKUP($B154&amp;":"&amp;AA$3,'x - authors'!$B$3:$E$10000,4,FALSE)),"",VLOOKUP($B154&amp;":"&amp;AA$3,'x - authors'!$B$3:$E$10000,4,FALSE))</f>
        <v/>
      </c>
      <c r="AB154" s="80" t="str">
        <f>IF(ISNA(VLOOKUP($B154&amp;":"&amp;AB$3,'x - authors'!$B$3:$E$10000,4,FALSE)),"",VLOOKUP($B154&amp;":"&amp;AB$3,'x - authors'!$B$3:$E$10000,4,FALSE))</f>
        <v/>
      </c>
      <c r="AC154" s="80" t="str">
        <f>IF(ISNA(VLOOKUP($B154&amp;":"&amp;AC$3,'x - authors'!$B$3:$E$10000,4,FALSE)),"",VLOOKUP($B154&amp;":"&amp;AC$3,'x - authors'!$B$3:$E$10000,4,FALSE))</f>
        <v/>
      </c>
      <c r="AD154" s="80" t="str">
        <f>IF(ISNA(VLOOKUP($B154&amp;":"&amp;AD$3,'x - authors'!$B$3:$E$10000,4,FALSE)),"",VLOOKUP($B154&amp;":"&amp;AD$3,'x - authors'!$B$3:$E$10000,4,FALSE))</f>
        <v/>
      </c>
      <c r="AE154" s="80" t="str">
        <f>IF(ISNA(VLOOKUP($B154&amp;":"&amp;AE$3,'x - authors'!$B$3:$E$10000,4,FALSE)),"",VLOOKUP($B154&amp;":"&amp;AE$3,'x - authors'!$B$3:$E$10000,4,FALSE))</f>
        <v/>
      </c>
      <c r="AF154" s="80" t="str">
        <f>IF(ISNA(VLOOKUP($B154&amp;":"&amp;AF$3,'x - authors'!$B$3:$E$10000,4,FALSE)),"",VLOOKUP($B154&amp;":"&amp;AF$3,'x - authors'!$B$3:$E$10000,4,FALSE))</f>
        <v/>
      </c>
      <c r="AG154" s="80" t="str">
        <f>IF(ISNA(VLOOKUP($B154&amp;":"&amp;AG$3,'x - authors'!$B$3:$E$10000,4,FALSE)),"",VLOOKUP($B154&amp;":"&amp;AG$3,'x - authors'!$B$3:$E$10000,4,FALSE))</f>
        <v/>
      </c>
      <c r="AH154" s="80" t="str">
        <f>IF(ISNA(VLOOKUP($B154&amp;":"&amp;AH$3,'x - authors'!$B$3:$E$10000,4,FALSE)),"",VLOOKUP($B154&amp;":"&amp;AH$3,'x - authors'!$B$3:$E$10000,4,FALSE))</f>
        <v/>
      </c>
      <c r="AI154" s="80" t="str">
        <f>IF(ISNA(VLOOKUP($B154&amp;":"&amp;AI$3,'x - authors'!$B$3:$E$10000,4,FALSE)),"",VLOOKUP($B154&amp;":"&amp;AI$3,'x - authors'!$B$3:$E$10000,4,FALSE))</f>
        <v/>
      </c>
    </row>
    <row r="155" spans="2:35">
      <c r="B155" s="65" t="s">
        <v>6433</v>
      </c>
      <c r="C155" s="65" t="s">
        <v>129</v>
      </c>
      <c r="D155" s="65" t="s">
        <v>6434</v>
      </c>
      <c r="E155" s="83" t="s">
        <v>6759</v>
      </c>
      <c r="F155" s="65"/>
      <c r="G155" s="65"/>
      <c r="H155" s="65" t="s">
        <v>5703</v>
      </c>
      <c r="I155" s="65"/>
      <c r="J155" s="65" t="s">
        <v>6436</v>
      </c>
      <c r="K155" s="65"/>
      <c r="L155" s="65" t="s">
        <v>6437</v>
      </c>
      <c r="M155" s="65"/>
      <c r="N155" s="65"/>
      <c r="O155" s="15" t="str">
        <f t="shared" si="2"/>
        <v>citation:doc-x0226-01</v>
      </c>
      <c r="Q155" s="15" t="str">
        <f>VLOOKUP($O155,'x - paper citations'!$B$3:$E$2000,2,FALSE)</f>
        <v>https://scholar.google.co.uk/scholar?q=%22The Extended Mind and Network-Enabled Cognition%22&amp;btnG=&amp;hl=en&amp;as_sdt=0%2C5</v>
      </c>
      <c r="R155" s="15">
        <f>VLOOKUP($O155,'x - paper citations'!$B$3:$E$2000,3,FALSE)</f>
        <v>3</v>
      </c>
      <c r="S155" s="15" t="str">
        <f>VLOOKUP($O155,'x - paper citations'!$B$3:$E$2000,4,FALSE)</f>
        <v>29/02/2016</v>
      </c>
      <c r="U155" s="80" t="str">
        <f>IF(ISNA(VLOOKUP($B155&amp;":"&amp;U$3,'x - authors'!$B$3:$E$10000,4,FALSE)),"",VLOOKUP($B155&amp;":"&amp;U$3,'x - authors'!$B$3:$E$10000,4,FALSE))</f>
        <v>paul_smart</v>
      </c>
      <c r="V155" s="80" t="str">
        <f>IF(ISNA(VLOOKUP($B155&amp;":"&amp;V$3,'x - authors'!$B$3:$E$10000,4,FALSE)),"",VLOOKUP($B155&amp;":"&amp;V$3,'x - authors'!$B$3:$E$10000,4,FALSE))</f>
        <v>paula_engelbrecht</v>
      </c>
      <c r="W155" s="80" t="str">
        <f>IF(ISNA(VLOOKUP($B155&amp;":"&amp;W$3,'x - authors'!$B$3:$E$10000,4,FALSE)),"",VLOOKUP($B155&amp;":"&amp;W$3,'x - authors'!$B$3:$E$10000,4,FALSE))</f>
        <v>dave_braines</v>
      </c>
      <c r="X155" s="80" t="str">
        <f>IF(ISNA(VLOOKUP($B155&amp;":"&amp;X$3,'x - authors'!$B$3:$E$10000,4,FALSE)),"",VLOOKUP($B155&amp;":"&amp;X$3,'x - authors'!$B$3:$E$10000,4,FALSE))</f>
        <v>jim_hendler</v>
      </c>
      <c r="Y155" s="80" t="str">
        <f>IF(ISNA(VLOOKUP($B155&amp;":"&amp;Y$3,'x - authors'!$B$3:$E$10000,4,FALSE)),"",VLOOKUP($B155&amp;":"&amp;Y$3,'x - authors'!$B$3:$E$10000,4,FALSE))</f>
        <v>nigel_shadbolt</v>
      </c>
      <c r="Z155" s="80" t="str">
        <f>IF(ISNA(VLOOKUP($B155&amp;":"&amp;Z$3,'x - authors'!$B$3:$E$10000,4,FALSE)),"",VLOOKUP($B155&amp;":"&amp;Z$3,'x - authors'!$B$3:$E$10000,4,FALSE))</f>
        <v/>
      </c>
      <c r="AA155" s="80" t="str">
        <f>IF(ISNA(VLOOKUP($B155&amp;":"&amp;AA$3,'x - authors'!$B$3:$E$10000,4,FALSE)),"",VLOOKUP($B155&amp;":"&amp;AA$3,'x - authors'!$B$3:$E$10000,4,FALSE))</f>
        <v/>
      </c>
      <c r="AB155" s="80" t="str">
        <f>IF(ISNA(VLOOKUP($B155&amp;":"&amp;AB$3,'x - authors'!$B$3:$E$10000,4,FALSE)),"",VLOOKUP($B155&amp;":"&amp;AB$3,'x - authors'!$B$3:$E$10000,4,FALSE))</f>
        <v/>
      </c>
      <c r="AC155" s="80" t="str">
        <f>IF(ISNA(VLOOKUP($B155&amp;":"&amp;AC$3,'x - authors'!$B$3:$E$10000,4,FALSE)),"",VLOOKUP($B155&amp;":"&amp;AC$3,'x - authors'!$B$3:$E$10000,4,FALSE))</f>
        <v/>
      </c>
      <c r="AD155" s="80" t="str">
        <f>IF(ISNA(VLOOKUP($B155&amp;":"&amp;AD$3,'x - authors'!$B$3:$E$10000,4,FALSE)),"",VLOOKUP($B155&amp;":"&amp;AD$3,'x - authors'!$B$3:$E$10000,4,FALSE))</f>
        <v/>
      </c>
      <c r="AE155" s="80" t="str">
        <f>IF(ISNA(VLOOKUP($B155&amp;":"&amp;AE$3,'x - authors'!$B$3:$E$10000,4,FALSE)),"",VLOOKUP($B155&amp;":"&amp;AE$3,'x - authors'!$B$3:$E$10000,4,FALSE))</f>
        <v/>
      </c>
      <c r="AF155" s="80" t="str">
        <f>IF(ISNA(VLOOKUP($B155&amp;":"&amp;AF$3,'x - authors'!$B$3:$E$10000,4,FALSE)),"",VLOOKUP($B155&amp;":"&amp;AF$3,'x - authors'!$B$3:$E$10000,4,FALSE))</f>
        <v/>
      </c>
      <c r="AG155" s="80" t="str">
        <f>IF(ISNA(VLOOKUP($B155&amp;":"&amp;AG$3,'x - authors'!$B$3:$E$10000,4,FALSE)),"",VLOOKUP($B155&amp;":"&amp;AG$3,'x - authors'!$B$3:$E$10000,4,FALSE))</f>
        <v/>
      </c>
      <c r="AH155" s="80" t="str">
        <f>IF(ISNA(VLOOKUP($B155&amp;":"&amp;AH$3,'x - authors'!$B$3:$E$10000,4,FALSE)),"",VLOOKUP($B155&amp;":"&amp;AH$3,'x - authors'!$B$3:$E$10000,4,FALSE))</f>
        <v/>
      </c>
      <c r="AI155" s="80" t="str">
        <f>IF(ISNA(VLOOKUP($B155&amp;":"&amp;AI$3,'x - authors'!$B$3:$E$10000,4,FALSE)),"",VLOOKUP($B155&amp;":"&amp;AI$3,'x - authors'!$B$3:$E$10000,4,FALSE))</f>
        <v/>
      </c>
    </row>
    <row r="156" spans="2:35">
      <c r="B156" s="65" t="s">
        <v>6438</v>
      </c>
      <c r="C156" s="65" t="s">
        <v>129</v>
      </c>
      <c r="D156" s="65" t="s">
        <v>6439</v>
      </c>
      <c r="E156" s="83" t="s">
        <v>6757</v>
      </c>
      <c r="F156" s="65"/>
      <c r="G156" s="65"/>
      <c r="H156" s="65" t="s">
        <v>6440</v>
      </c>
      <c r="I156" s="65"/>
      <c r="J156" s="65" t="s">
        <v>6442</v>
      </c>
      <c r="K156" s="65"/>
      <c r="L156" s="65" t="s">
        <v>6443</v>
      </c>
      <c r="M156" s="65"/>
      <c r="N156" s="65"/>
      <c r="O156" s="15" t="str">
        <f t="shared" si="2"/>
        <v>citation:doc-x0227-01</v>
      </c>
      <c r="Q156" s="15" t="str">
        <f>VLOOKUP($O156,'x - paper citations'!$B$3:$E$2000,2,FALSE)</f>
        <v>https://scholar.google.co.uk/scholar?q=%22Time-critical underwater sensor diffusion with no proactive exchanges and negligible reactive floods%22&amp;btnG=&amp;hl=en&amp;as_sdt=0%2C5</v>
      </c>
      <c r="R156" s="15">
        <f>VLOOKUP($O156,'x - paper citations'!$B$3:$E$2000,3,FALSE)</f>
        <v>41</v>
      </c>
      <c r="S156" s="15" t="str">
        <f>VLOOKUP($O156,'x - paper citations'!$B$3:$E$2000,4,FALSE)</f>
        <v>29/02/2016</v>
      </c>
      <c r="U156" s="80" t="str">
        <f>IF(ISNA(VLOOKUP($B156&amp;":"&amp;U$3,'x - authors'!$B$3:$E$10000,4,FALSE)),"",VLOOKUP($B156&amp;":"&amp;U$3,'x - authors'!$B$3:$E$10000,4,FALSE))</f>
        <v>uichin_lee</v>
      </c>
      <c r="V156" s="80" t="str">
        <f>IF(ISNA(VLOOKUP($B156&amp;":"&amp;V$3,'x - authors'!$B$3:$E$10000,4,FALSE)),"",VLOOKUP($B156&amp;":"&amp;V$3,'x - authors'!$B$3:$E$10000,4,FALSE))</f>
        <v>jiejun_kong</v>
      </c>
      <c r="W156" s="80" t="str">
        <f>IF(ISNA(VLOOKUP($B156&amp;":"&amp;W$3,'x - authors'!$B$3:$E$10000,4,FALSE)),"",VLOOKUP($B156&amp;":"&amp;W$3,'x - authors'!$B$3:$E$10000,4,FALSE))</f>
        <v>mario_gerla</v>
      </c>
      <c r="X156" s="80" t="str">
        <f>IF(ISNA(VLOOKUP($B156&amp;":"&amp;X$3,'x - authors'!$B$3:$E$10000,4,FALSE)),"",VLOOKUP($B156&amp;":"&amp;X$3,'x - authors'!$B$3:$E$10000,4,FALSE))</f>
        <v>joon-sang_park</v>
      </c>
      <c r="Y156" s="80" t="str">
        <f>IF(ISNA(VLOOKUP($B156&amp;":"&amp;Y$3,'x - authors'!$B$3:$E$10000,4,FALSE)),"",VLOOKUP($B156&amp;":"&amp;Y$3,'x - authors'!$B$3:$E$10000,4,FALSE))</f>
        <v>eugenio_magistretti</v>
      </c>
      <c r="Z156" s="80" t="str">
        <f>IF(ISNA(VLOOKUP($B156&amp;":"&amp;Z$3,'x - authors'!$B$3:$E$10000,4,FALSE)),"",VLOOKUP($B156&amp;":"&amp;Z$3,'x - authors'!$B$3:$E$10000,4,FALSE))</f>
        <v/>
      </c>
      <c r="AA156" s="80" t="str">
        <f>IF(ISNA(VLOOKUP($B156&amp;":"&amp;AA$3,'x - authors'!$B$3:$E$10000,4,FALSE)),"",VLOOKUP($B156&amp;":"&amp;AA$3,'x - authors'!$B$3:$E$10000,4,FALSE))</f>
        <v/>
      </c>
      <c r="AB156" s="80" t="str">
        <f>IF(ISNA(VLOOKUP($B156&amp;":"&amp;AB$3,'x - authors'!$B$3:$E$10000,4,FALSE)),"",VLOOKUP($B156&amp;":"&amp;AB$3,'x - authors'!$B$3:$E$10000,4,FALSE))</f>
        <v/>
      </c>
      <c r="AC156" s="80" t="str">
        <f>IF(ISNA(VLOOKUP($B156&amp;":"&amp;AC$3,'x - authors'!$B$3:$E$10000,4,FALSE)),"",VLOOKUP($B156&amp;":"&amp;AC$3,'x - authors'!$B$3:$E$10000,4,FALSE))</f>
        <v/>
      </c>
      <c r="AD156" s="80" t="str">
        <f>IF(ISNA(VLOOKUP($B156&amp;":"&amp;AD$3,'x - authors'!$B$3:$E$10000,4,FALSE)),"",VLOOKUP($B156&amp;":"&amp;AD$3,'x - authors'!$B$3:$E$10000,4,FALSE))</f>
        <v/>
      </c>
      <c r="AE156" s="80" t="str">
        <f>IF(ISNA(VLOOKUP($B156&amp;":"&amp;AE$3,'x - authors'!$B$3:$E$10000,4,FALSE)),"",VLOOKUP($B156&amp;":"&amp;AE$3,'x - authors'!$B$3:$E$10000,4,FALSE))</f>
        <v/>
      </c>
      <c r="AF156" s="80" t="str">
        <f>IF(ISNA(VLOOKUP($B156&amp;":"&amp;AF$3,'x - authors'!$B$3:$E$10000,4,FALSE)),"",VLOOKUP($B156&amp;":"&amp;AF$3,'x - authors'!$B$3:$E$10000,4,FALSE))</f>
        <v/>
      </c>
      <c r="AG156" s="80" t="str">
        <f>IF(ISNA(VLOOKUP($B156&amp;":"&amp;AG$3,'x - authors'!$B$3:$E$10000,4,FALSE)),"",VLOOKUP($B156&amp;":"&amp;AG$3,'x - authors'!$B$3:$E$10000,4,FALSE))</f>
        <v/>
      </c>
      <c r="AH156" s="80" t="str">
        <f>IF(ISNA(VLOOKUP($B156&amp;":"&amp;AH$3,'x - authors'!$B$3:$E$10000,4,FALSE)),"",VLOOKUP($B156&amp;":"&amp;AH$3,'x - authors'!$B$3:$E$10000,4,FALSE))</f>
        <v/>
      </c>
      <c r="AI156" s="80" t="str">
        <f>IF(ISNA(VLOOKUP($B156&amp;":"&amp;AI$3,'x - authors'!$B$3:$E$10000,4,FALSE)),"",VLOOKUP($B156&amp;":"&amp;AI$3,'x - authors'!$B$3:$E$10000,4,FALSE))</f>
        <v/>
      </c>
    </row>
    <row r="157" spans="2:35">
      <c r="B157" s="65" t="s">
        <v>6444</v>
      </c>
      <c r="C157" s="65" t="s">
        <v>129</v>
      </c>
      <c r="D157" s="65" t="s">
        <v>6445</v>
      </c>
      <c r="E157" s="83" t="s">
        <v>6755</v>
      </c>
      <c r="F157" s="65"/>
      <c r="G157" s="65"/>
      <c r="H157" s="65" t="s">
        <v>6446</v>
      </c>
      <c r="I157" s="65"/>
      <c r="J157" s="65" t="s">
        <v>6448</v>
      </c>
      <c r="K157" s="65"/>
      <c r="L157" s="65" t="s">
        <v>6449</v>
      </c>
      <c r="M157" s="65"/>
      <c r="N157" s="65"/>
      <c r="O157" s="15" t="str">
        <f t="shared" si="2"/>
        <v>citation:doc-x0228-01</v>
      </c>
      <c r="Q157" s="15" t="str">
        <f>VLOOKUP($O157,'x - paper citations'!$B$3:$E$2000,2,FALSE)</f>
        <v>https://scholar.google.co.uk/scholar?q=%22Transmit power estimation using spatially diverse measurements under wireless fading%22&amp;btnG=&amp;hl=en&amp;as_sdt=0%2C5</v>
      </c>
      <c r="R157" s="15">
        <f>VLOOKUP($O157,'x - paper citations'!$B$3:$E$2000,3,FALSE)</f>
        <v>12</v>
      </c>
      <c r="S157" s="15" t="str">
        <f>VLOOKUP($O157,'x - paper citations'!$B$3:$E$2000,4,FALSE)</f>
        <v>29/02/2016</v>
      </c>
      <c r="U157" s="80" t="str">
        <f>IF(ISNA(VLOOKUP($B157&amp;":"&amp;U$3,'x - authors'!$B$3:$E$10000,4,FALSE)),"",VLOOKUP($B157&amp;":"&amp;U$3,'x - authors'!$B$3:$E$10000,4,FALSE))</f>
        <v>murtaza_zafer</v>
      </c>
      <c r="V157" s="80" t="str">
        <f>IF(ISNA(VLOOKUP($B157&amp;":"&amp;V$3,'x - authors'!$B$3:$E$10000,4,FALSE)),"",VLOOKUP($B157&amp;":"&amp;V$3,'x - authors'!$B$3:$E$10000,4,FALSE))</f>
        <v>bong_jun_ko</v>
      </c>
      <c r="W157" s="80" t="str">
        <f>IF(ISNA(VLOOKUP($B157&amp;":"&amp;W$3,'x - authors'!$B$3:$E$10000,4,FALSE)),"",VLOOKUP($B157&amp;":"&amp;W$3,'x - authors'!$B$3:$E$10000,4,FALSE))</f>
        <v>ivan_ho</v>
      </c>
      <c r="X157" s="80" t="str">
        <f>IF(ISNA(VLOOKUP($B157&amp;":"&amp;X$3,'x - authors'!$B$3:$E$10000,4,FALSE)),"",VLOOKUP($B157&amp;":"&amp;X$3,'x - authors'!$B$3:$E$10000,4,FALSE))</f>
        <v/>
      </c>
      <c r="Y157" s="80" t="str">
        <f>IF(ISNA(VLOOKUP($B157&amp;":"&amp;Y$3,'x - authors'!$B$3:$E$10000,4,FALSE)),"",VLOOKUP($B157&amp;":"&amp;Y$3,'x - authors'!$B$3:$E$10000,4,FALSE))</f>
        <v/>
      </c>
      <c r="Z157" s="80" t="str">
        <f>IF(ISNA(VLOOKUP($B157&amp;":"&amp;Z$3,'x - authors'!$B$3:$E$10000,4,FALSE)),"",VLOOKUP($B157&amp;":"&amp;Z$3,'x - authors'!$B$3:$E$10000,4,FALSE))</f>
        <v/>
      </c>
      <c r="AA157" s="80" t="str">
        <f>IF(ISNA(VLOOKUP($B157&amp;":"&amp;AA$3,'x - authors'!$B$3:$E$10000,4,FALSE)),"",VLOOKUP($B157&amp;":"&amp;AA$3,'x - authors'!$B$3:$E$10000,4,FALSE))</f>
        <v/>
      </c>
      <c r="AB157" s="80" t="str">
        <f>IF(ISNA(VLOOKUP($B157&amp;":"&amp;AB$3,'x - authors'!$B$3:$E$10000,4,FALSE)),"",VLOOKUP($B157&amp;":"&amp;AB$3,'x - authors'!$B$3:$E$10000,4,FALSE))</f>
        <v/>
      </c>
      <c r="AC157" s="80" t="str">
        <f>IF(ISNA(VLOOKUP($B157&amp;":"&amp;AC$3,'x - authors'!$B$3:$E$10000,4,FALSE)),"",VLOOKUP($B157&amp;":"&amp;AC$3,'x - authors'!$B$3:$E$10000,4,FALSE))</f>
        <v/>
      </c>
      <c r="AD157" s="80" t="str">
        <f>IF(ISNA(VLOOKUP($B157&amp;":"&amp;AD$3,'x - authors'!$B$3:$E$10000,4,FALSE)),"",VLOOKUP($B157&amp;":"&amp;AD$3,'x - authors'!$B$3:$E$10000,4,FALSE))</f>
        <v/>
      </c>
      <c r="AE157" s="80" t="str">
        <f>IF(ISNA(VLOOKUP($B157&amp;":"&amp;AE$3,'x - authors'!$B$3:$E$10000,4,FALSE)),"",VLOOKUP($B157&amp;":"&amp;AE$3,'x - authors'!$B$3:$E$10000,4,FALSE))</f>
        <v/>
      </c>
      <c r="AF157" s="80" t="str">
        <f>IF(ISNA(VLOOKUP($B157&amp;":"&amp;AF$3,'x - authors'!$B$3:$E$10000,4,FALSE)),"",VLOOKUP($B157&amp;":"&amp;AF$3,'x - authors'!$B$3:$E$10000,4,FALSE))</f>
        <v/>
      </c>
      <c r="AG157" s="80" t="str">
        <f>IF(ISNA(VLOOKUP($B157&amp;":"&amp;AG$3,'x - authors'!$B$3:$E$10000,4,FALSE)),"",VLOOKUP($B157&amp;":"&amp;AG$3,'x - authors'!$B$3:$E$10000,4,FALSE))</f>
        <v/>
      </c>
      <c r="AH157" s="80" t="str">
        <f>IF(ISNA(VLOOKUP($B157&amp;":"&amp;AH$3,'x - authors'!$B$3:$E$10000,4,FALSE)),"",VLOOKUP($B157&amp;":"&amp;AH$3,'x - authors'!$B$3:$E$10000,4,FALSE))</f>
        <v/>
      </c>
      <c r="AI157" s="80" t="str">
        <f>IF(ISNA(VLOOKUP($B157&amp;":"&amp;AI$3,'x - authors'!$B$3:$E$10000,4,FALSE)),"",VLOOKUP($B157&amp;":"&amp;AI$3,'x - authors'!$B$3:$E$10000,4,FALSE))</f>
        <v/>
      </c>
    </row>
    <row r="158" spans="2:35">
      <c r="B158" s="65" t="s">
        <v>6450</v>
      </c>
      <c r="C158" s="65" t="s">
        <v>129</v>
      </c>
      <c r="D158" s="65" t="s">
        <v>6451</v>
      </c>
      <c r="E158" s="83" t="s">
        <v>6757</v>
      </c>
      <c r="F158" s="65"/>
      <c r="G158" s="65"/>
      <c r="H158" s="65" t="s">
        <v>6452</v>
      </c>
      <c r="I158" s="65"/>
      <c r="J158" s="65" t="s">
        <v>6454</v>
      </c>
      <c r="K158" s="65"/>
      <c r="L158" s="65" t="s">
        <v>6455</v>
      </c>
      <c r="M158" s="65"/>
      <c r="N158" s="65"/>
      <c r="O158" s="15" t="str">
        <f t="shared" si="2"/>
        <v>citation:doc-x0229-01</v>
      </c>
      <c r="Q158" s="15" t="str">
        <f>VLOOKUP($O158,'x - paper citations'!$B$3:$E$2000,2,FALSE)</f>
        <v>https://scholar.google.co.uk/scholar?q=%22Two-Level ZigBee-4G Design for Secure and Efficient Communications in the Resources Constrained Military Environment%22&amp;btnG=&amp;hl=en&amp;as_sdt=0%2C5</v>
      </c>
      <c r="R158" s="15">
        <f>VLOOKUP($O158,'x - paper citations'!$B$3:$E$2000,3,FALSE)</f>
        <v>1</v>
      </c>
      <c r="S158" s="15" t="str">
        <f>VLOOKUP($O158,'x - paper citations'!$B$3:$E$2000,4,FALSE)</f>
        <v>29/02/2016</v>
      </c>
      <c r="U158" s="80" t="str">
        <f>IF(ISNA(VLOOKUP($B158&amp;":"&amp;U$3,'x - authors'!$B$3:$E$10000,4,FALSE)),"",VLOOKUP($B158&amp;":"&amp;U$3,'x - authors'!$B$3:$E$10000,4,FALSE))</f>
        <v>marcin_szczodrak</v>
      </c>
      <c r="V158" s="80" t="str">
        <f>IF(ISNA(VLOOKUP($B158&amp;":"&amp;V$3,'x - authors'!$B$3:$E$10000,4,FALSE)),"",VLOOKUP($B158&amp;":"&amp;V$3,'x - authors'!$B$3:$E$10000,4,FALSE))</f>
        <v>jinwoo_kim</v>
      </c>
      <c r="W158" s="80" t="str">
        <f>IF(ISNA(VLOOKUP($B158&amp;":"&amp;W$3,'x - authors'!$B$3:$E$10000,4,FALSE)),"",VLOOKUP($B158&amp;":"&amp;W$3,'x - authors'!$B$3:$E$10000,4,FALSE))</f>
        <v>yuncheol_baek</v>
      </c>
      <c r="X158" s="80" t="str">
        <f>IF(ISNA(VLOOKUP($B158&amp;":"&amp;X$3,'x - authors'!$B$3:$E$10000,4,FALSE)),"",VLOOKUP($B158&amp;":"&amp;X$3,'x - authors'!$B$3:$E$10000,4,FALSE))</f>
        <v/>
      </c>
      <c r="Y158" s="80" t="str">
        <f>IF(ISNA(VLOOKUP($B158&amp;":"&amp;Y$3,'x - authors'!$B$3:$E$10000,4,FALSE)),"",VLOOKUP($B158&amp;":"&amp;Y$3,'x - authors'!$B$3:$E$10000,4,FALSE))</f>
        <v/>
      </c>
      <c r="Z158" s="80" t="str">
        <f>IF(ISNA(VLOOKUP($B158&amp;":"&amp;Z$3,'x - authors'!$B$3:$E$10000,4,FALSE)),"",VLOOKUP($B158&amp;":"&amp;Z$3,'x - authors'!$B$3:$E$10000,4,FALSE))</f>
        <v/>
      </c>
      <c r="AA158" s="80" t="str">
        <f>IF(ISNA(VLOOKUP($B158&amp;":"&amp;AA$3,'x - authors'!$B$3:$E$10000,4,FALSE)),"",VLOOKUP($B158&amp;":"&amp;AA$3,'x - authors'!$B$3:$E$10000,4,FALSE))</f>
        <v/>
      </c>
      <c r="AB158" s="80" t="str">
        <f>IF(ISNA(VLOOKUP($B158&amp;":"&amp;AB$3,'x - authors'!$B$3:$E$10000,4,FALSE)),"",VLOOKUP($B158&amp;":"&amp;AB$3,'x - authors'!$B$3:$E$10000,4,FALSE))</f>
        <v/>
      </c>
      <c r="AC158" s="80" t="str">
        <f>IF(ISNA(VLOOKUP($B158&amp;":"&amp;AC$3,'x - authors'!$B$3:$E$10000,4,FALSE)),"",VLOOKUP($B158&amp;":"&amp;AC$3,'x - authors'!$B$3:$E$10000,4,FALSE))</f>
        <v/>
      </c>
      <c r="AD158" s="80" t="str">
        <f>IF(ISNA(VLOOKUP($B158&amp;":"&amp;AD$3,'x - authors'!$B$3:$E$10000,4,FALSE)),"",VLOOKUP($B158&amp;":"&amp;AD$3,'x - authors'!$B$3:$E$10000,4,FALSE))</f>
        <v/>
      </c>
      <c r="AE158" s="80" t="str">
        <f>IF(ISNA(VLOOKUP($B158&amp;":"&amp;AE$3,'x - authors'!$B$3:$E$10000,4,FALSE)),"",VLOOKUP($B158&amp;":"&amp;AE$3,'x - authors'!$B$3:$E$10000,4,FALSE))</f>
        <v/>
      </c>
      <c r="AF158" s="80" t="str">
        <f>IF(ISNA(VLOOKUP($B158&amp;":"&amp;AF$3,'x - authors'!$B$3:$E$10000,4,FALSE)),"",VLOOKUP($B158&amp;":"&amp;AF$3,'x - authors'!$B$3:$E$10000,4,FALSE))</f>
        <v/>
      </c>
      <c r="AG158" s="80" t="str">
        <f>IF(ISNA(VLOOKUP($B158&amp;":"&amp;AG$3,'x - authors'!$B$3:$E$10000,4,FALSE)),"",VLOOKUP($B158&amp;":"&amp;AG$3,'x - authors'!$B$3:$E$10000,4,FALSE))</f>
        <v/>
      </c>
      <c r="AH158" s="80" t="str">
        <f>IF(ISNA(VLOOKUP($B158&amp;":"&amp;AH$3,'x - authors'!$B$3:$E$10000,4,FALSE)),"",VLOOKUP($B158&amp;":"&amp;AH$3,'x - authors'!$B$3:$E$10000,4,FALSE))</f>
        <v/>
      </c>
      <c r="AI158" s="80" t="str">
        <f>IF(ISNA(VLOOKUP($B158&amp;":"&amp;AI$3,'x - authors'!$B$3:$E$10000,4,FALSE)),"",VLOOKUP($B158&amp;":"&amp;AI$3,'x - authors'!$B$3:$E$10000,4,FALSE))</f>
        <v/>
      </c>
    </row>
    <row r="159" spans="2:35">
      <c r="B159" s="65" t="s">
        <v>6456</v>
      </c>
      <c r="C159" s="65" t="s">
        <v>129</v>
      </c>
      <c r="D159" s="65" t="s">
        <v>6457</v>
      </c>
      <c r="E159" s="83" t="s">
        <v>6756</v>
      </c>
      <c r="F159" s="65"/>
      <c r="G159" s="65"/>
      <c r="H159" s="65" t="s">
        <v>6458</v>
      </c>
      <c r="I159" s="65"/>
      <c r="J159" s="65" t="s">
        <v>6460</v>
      </c>
      <c r="K159" s="65"/>
      <c r="L159" s="65" t="s">
        <v>6461</v>
      </c>
      <c r="M159" s="65"/>
      <c r="N159" s="65"/>
      <c r="O159" s="15" t="str">
        <f t="shared" si="2"/>
        <v>citation:doc-x0318-01</v>
      </c>
      <c r="Q159" s="15" t="str">
        <f>VLOOKUP($O159,'x - paper citations'!$B$3:$E$2000,2,FALSE)</f>
        <v>https://scholar.google.co.uk/scholar?q=%22A Generic Admission-Control Methodology for Packet Networks%22&amp;btnG=&amp;hl=en&amp;as_sdt=0%2C5</v>
      </c>
      <c r="R159" s="15">
        <f>VLOOKUP($O159,'x - paper citations'!$B$3:$E$2000,3,FALSE)</f>
        <v>1</v>
      </c>
      <c r="S159" s="15" t="str">
        <f>VLOOKUP($O159,'x - paper citations'!$B$3:$E$2000,4,FALSE)</f>
        <v>06/03/2016</v>
      </c>
      <c r="U159" s="80" t="str">
        <f>IF(ISNA(VLOOKUP($B159&amp;":"&amp;U$3,'x - authors'!$B$3:$E$10000,4,FALSE)),"",VLOOKUP($B159&amp;":"&amp;U$3,'x - authors'!$B$3:$E$10000,4,FALSE))</f>
        <v>chi_harold_liu</v>
      </c>
      <c r="V159" s="80" t="str">
        <f>IF(ISNA(VLOOKUP($B159&amp;":"&amp;V$3,'x - authors'!$B$3:$E$10000,4,FALSE)),"",VLOOKUP($B159&amp;":"&amp;V$3,'x - authors'!$B$3:$E$10000,4,FALSE))</f>
        <v>kin_leung</v>
      </c>
      <c r="W159" s="80" t="str">
        <f>IF(ISNA(VLOOKUP($B159&amp;":"&amp;W$3,'x - authors'!$B$3:$E$10000,4,FALSE)),"",VLOOKUP($B159&amp;":"&amp;W$3,'x - authors'!$B$3:$E$10000,4,FALSE))</f>
        <v>athanasios_gkelias</v>
      </c>
      <c r="X159" s="80" t="str">
        <f>IF(ISNA(VLOOKUP($B159&amp;":"&amp;X$3,'x - authors'!$B$3:$E$10000,4,FALSE)),"",VLOOKUP($B159&amp;":"&amp;X$3,'x - authors'!$B$3:$E$10000,4,FALSE))</f>
        <v/>
      </c>
      <c r="Y159" s="80" t="str">
        <f>IF(ISNA(VLOOKUP($B159&amp;":"&amp;Y$3,'x - authors'!$B$3:$E$10000,4,FALSE)),"",VLOOKUP($B159&amp;":"&amp;Y$3,'x - authors'!$B$3:$E$10000,4,FALSE))</f>
        <v/>
      </c>
      <c r="Z159" s="80" t="str">
        <f>IF(ISNA(VLOOKUP($B159&amp;":"&amp;Z$3,'x - authors'!$B$3:$E$10000,4,FALSE)),"",VLOOKUP($B159&amp;":"&amp;Z$3,'x - authors'!$B$3:$E$10000,4,FALSE))</f>
        <v/>
      </c>
      <c r="AA159" s="80" t="str">
        <f>IF(ISNA(VLOOKUP($B159&amp;":"&amp;AA$3,'x - authors'!$B$3:$E$10000,4,FALSE)),"",VLOOKUP($B159&amp;":"&amp;AA$3,'x - authors'!$B$3:$E$10000,4,FALSE))</f>
        <v/>
      </c>
      <c r="AB159" s="80" t="str">
        <f>IF(ISNA(VLOOKUP($B159&amp;":"&amp;AB$3,'x - authors'!$B$3:$E$10000,4,FALSE)),"",VLOOKUP($B159&amp;":"&amp;AB$3,'x - authors'!$B$3:$E$10000,4,FALSE))</f>
        <v/>
      </c>
      <c r="AC159" s="80" t="str">
        <f>IF(ISNA(VLOOKUP($B159&amp;":"&amp;AC$3,'x - authors'!$B$3:$E$10000,4,FALSE)),"",VLOOKUP($B159&amp;":"&amp;AC$3,'x - authors'!$B$3:$E$10000,4,FALSE))</f>
        <v/>
      </c>
      <c r="AD159" s="80" t="str">
        <f>IF(ISNA(VLOOKUP($B159&amp;":"&amp;AD$3,'x - authors'!$B$3:$E$10000,4,FALSE)),"",VLOOKUP($B159&amp;":"&amp;AD$3,'x - authors'!$B$3:$E$10000,4,FALSE))</f>
        <v/>
      </c>
      <c r="AE159" s="80" t="str">
        <f>IF(ISNA(VLOOKUP($B159&amp;":"&amp;AE$3,'x - authors'!$B$3:$E$10000,4,FALSE)),"",VLOOKUP($B159&amp;":"&amp;AE$3,'x - authors'!$B$3:$E$10000,4,FALSE))</f>
        <v/>
      </c>
      <c r="AF159" s="80" t="str">
        <f>IF(ISNA(VLOOKUP($B159&amp;":"&amp;AF$3,'x - authors'!$B$3:$E$10000,4,FALSE)),"",VLOOKUP($B159&amp;":"&amp;AF$3,'x - authors'!$B$3:$E$10000,4,FALSE))</f>
        <v/>
      </c>
      <c r="AG159" s="80" t="str">
        <f>IF(ISNA(VLOOKUP($B159&amp;":"&amp;AG$3,'x - authors'!$B$3:$E$10000,4,FALSE)),"",VLOOKUP($B159&amp;":"&amp;AG$3,'x - authors'!$B$3:$E$10000,4,FALSE))</f>
        <v/>
      </c>
      <c r="AH159" s="80" t="str">
        <f>IF(ISNA(VLOOKUP($B159&amp;":"&amp;AH$3,'x - authors'!$B$3:$E$10000,4,FALSE)),"",VLOOKUP($B159&amp;":"&amp;AH$3,'x - authors'!$B$3:$E$10000,4,FALSE))</f>
        <v/>
      </c>
      <c r="AI159" s="80" t="str">
        <f>IF(ISNA(VLOOKUP($B159&amp;":"&amp;AI$3,'x - authors'!$B$3:$E$10000,4,FALSE)),"",VLOOKUP($B159&amp;":"&amp;AI$3,'x - authors'!$B$3:$E$10000,4,FALSE))</f>
        <v/>
      </c>
    </row>
    <row r="160" spans="2:35">
      <c r="B160" s="65" t="s">
        <v>6462</v>
      </c>
      <c r="C160" s="65" t="s">
        <v>129</v>
      </c>
      <c r="D160" s="65" t="s">
        <v>6463</v>
      </c>
      <c r="E160" s="83" t="s">
        <v>6760</v>
      </c>
      <c r="F160" s="65"/>
      <c r="G160" s="65"/>
      <c r="H160" s="65" t="s">
        <v>6464</v>
      </c>
      <c r="I160" s="65"/>
      <c r="J160" s="65"/>
      <c r="K160" s="65"/>
      <c r="L160" s="65" t="s">
        <v>6261</v>
      </c>
      <c r="M160" s="65"/>
      <c r="N160" s="65"/>
      <c r="O160" s="15" t="str">
        <f t="shared" si="2"/>
        <v>citation:doc-x0321-01</v>
      </c>
      <c r="Q160" s="15" t="str">
        <f>VLOOKUP($O160,'x - paper citations'!$B$3:$E$2000,2,FALSE)</f>
        <v>https://scholar.google.co.uk/scholar?q=%22A history of graph entropy measures%22&amp;btnG=&amp;hl=en&amp;as_sdt=0%2C5</v>
      </c>
      <c r="R160" s="15">
        <f>VLOOKUP($O160,'x - paper citations'!$B$3:$E$2000,3,FALSE)</f>
        <v>162</v>
      </c>
      <c r="S160" s="15" t="str">
        <f>VLOOKUP($O160,'x - paper citations'!$B$3:$E$2000,4,FALSE)</f>
        <v>06/03/2016</v>
      </c>
      <c r="U160" s="80" t="str">
        <f>IF(ISNA(VLOOKUP($B160&amp;":"&amp;U$3,'x - authors'!$B$3:$E$10000,4,FALSE)),"",VLOOKUP($B160&amp;":"&amp;U$3,'x - authors'!$B$3:$E$10000,4,FALSE))</f>
        <v>matthias_dehmer</v>
      </c>
      <c r="V160" s="80" t="str">
        <f>IF(ISNA(VLOOKUP($B160&amp;":"&amp;V$3,'x - authors'!$B$3:$E$10000,4,FALSE)),"",VLOOKUP($B160&amp;":"&amp;V$3,'x - authors'!$B$3:$E$10000,4,FALSE))</f>
        <v>abbe_mowshowitz</v>
      </c>
      <c r="W160" s="80" t="str">
        <f>IF(ISNA(VLOOKUP($B160&amp;":"&amp;W$3,'x - authors'!$B$3:$E$10000,4,FALSE)),"",VLOOKUP($B160&amp;":"&amp;W$3,'x - authors'!$B$3:$E$10000,4,FALSE))</f>
        <v/>
      </c>
      <c r="X160" s="80" t="str">
        <f>IF(ISNA(VLOOKUP($B160&amp;":"&amp;X$3,'x - authors'!$B$3:$E$10000,4,FALSE)),"",VLOOKUP($B160&amp;":"&amp;X$3,'x - authors'!$B$3:$E$10000,4,FALSE))</f>
        <v/>
      </c>
      <c r="Y160" s="80" t="str">
        <f>IF(ISNA(VLOOKUP($B160&amp;":"&amp;Y$3,'x - authors'!$B$3:$E$10000,4,FALSE)),"",VLOOKUP($B160&amp;":"&amp;Y$3,'x - authors'!$B$3:$E$10000,4,FALSE))</f>
        <v/>
      </c>
      <c r="Z160" s="80" t="str">
        <f>IF(ISNA(VLOOKUP($B160&amp;":"&amp;Z$3,'x - authors'!$B$3:$E$10000,4,FALSE)),"",VLOOKUP($B160&amp;":"&amp;Z$3,'x - authors'!$B$3:$E$10000,4,FALSE))</f>
        <v/>
      </c>
      <c r="AA160" s="80" t="str">
        <f>IF(ISNA(VLOOKUP($B160&amp;":"&amp;AA$3,'x - authors'!$B$3:$E$10000,4,FALSE)),"",VLOOKUP($B160&amp;":"&amp;AA$3,'x - authors'!$B$3:$E$10000,4,FALSE))</f>
        <v/>
      </c>
      <c r="AB160" s="80" t="str">
        <f>IF(ISNA(VLOOKUP($B160&amp;":"&amp;AB$3,'x - authors'!$B$3:$E$10000,4,FALSE)),"",VLOOKUP($B160&amp;":"&amp;AB$3,'x - authors'!$B$3:$E$10000,4,FALSE))</f>
        <v/>
      </c>
      <c r="AC160" s="80" t="str">
        <f>IF(ISNA(VLOOKUP($B160&amp;":"&amp;AC$3,'x - authors'!$B$3:$E$10000,4,FALSE)),"",VLOOKUP($B160&amp;":"&amp;AC$3,'x - authors'!$B$3:$E$10000,4,FALSE))</f>
        <v/>
      </c>
      <c r="AD160" s="80" t="str">
        <f>IF(ISNA(VLOOKUP($B160&amp;":"&amp;AD$3,'x - authors'!$B$3:$E$10000,4,FALSE)),"",VLOOKUP($B160&amp;":"&amp;AD$3,'x - authors'!$B$3:$E$10000,4,FALSE))</f>
        <v/>
      </c>
      <c r="AE160" s="80" t="str">
        <f>IF(ISNA(VLOOKUP($B160&amp;":"&amp;AE$3,'x - authors'!$B$3:$E$10000,4,FALSE)),"",VLOOKUP($B160&amp;":"&amp;AE$3,'x - authors'!$B$3:$E$10000,4,FALSE))</f>
        <v/>
      </c>
      <c r="AF160" s="80" t="str">
        <f>IF(ISNA(VLOOKUP($B160&amp;":"&amp;AF$3,'x - authors'!$B$3:$E$10000,4,FALSE)),"",VLOOKUP($B160&amp;":"&amp;AF$3,'x - authors'!$B$3:$E$10000,4,FALSE))</f>
        <v/>
      </c>
      <c r="AG160" s="80" t="str">
        <f>IF(ISNA(VLOOKUP($B160&amp;":"&amp;AG$3,'x - authors'!$B$3:$E$10000,4,FALSE)),"",VLOOKUP($B160&amp;":"&amp;AG$3,'x - authors'!$B$3:$E$10000,4,FALSE))</f>
        <v/>
      </c>
      <c r="AH160" s="80" t="str">
        <f>IF(ISNA(VLOOKUP($B160&amp;":"&amp;AH$3,'x - authors'!$B$3:$E$10000,4,FALSE)),"",VLOOKUP($B160&amp;":"&amp;AH$3,'x - authors'!$B$3:$E$10000,4,FALSE))</f>
        <v/>
      </c>
      <c r="AI160" s="80" t="str">
        <f>IF(ISNA(VLOOKUP($B160&amp;":"&amp;AI$3,'x - authors'!$B$3:$E$10000,4,FALSE)),"",VLOOKUP($B160&amp;":"&amp;AI$3,'x - authors'!$B$3:$E$10000,4,FALSE))</f>
        <v/>
      </c>
    </row>
    <row r="161" spans="2:35">
      <c r="B161" s="65" t="s">
        <v>6466</v>
      </c>
      <c r="C161" s="65" t="s">
        <v>129</v>
      </c>
      <c r="D161" s="65" t="s">
        <v>6467</v>
      </c>
      <c r="E161" s="83" t="s">
        <v>6762</v>
      </c>
      <c r="F161" s="65"/>
      <c r="G161" s="65"/>
      <c r="H161" s="65" t="s">
        <v>6468</v>
      </c>
      <c r="I161" s="65"/>
      <c r="J161" s="65" t="s">
        <v>6470</v>
      </c>
      <c r="K161" s="65"/>
      <c r="L161" s="65" t="s">
        <v>6471</v>
      </c>
      <c r="M161" s="65"/>
      <c r="N161" s="65"/>
      <c r="O161" s="15" t="str">
        <f t="shared" si="2"/>
        <v>citation:doc-x0325-01</v>
      </c>
      <c r="Q161" s="15" t="str">
        <f>VLOOKUP($O161,'x - paper citations'!$B$3:$E$2000,2,FALSE)</f>
        <v>https://scholar.google.co.uk/scholar?q=%22A Markovian Model for Coarse Timescale Channel Variation in Wireless Networks%22&amp;btnG=&amp;hl=en&amp;as_sdt=0%2C5</v>
      </c>
      <c r="R161" s="15">
        <f>VLOOKUP($O161,'x - paper citations'!$B$3:$E$2000,3,FALSE)</f>
        <v>0</v>
      </c>
      <c r="S161" s="15" t="str">
        <f>VLOOKUP($O161,'x - paper citations'!$B$3:$E$2000,4,FALSE)</f>
        <v>29/02/2016</v>
      </c>
      <c r="U161" s="80" t="str">
        <f>IF(ISNA(VLOOKUP($B161&amp;":"&amp;U$3,'x - authors'!$B$3:$E$10000,4,FALSE)),"",VLOOKUP($B161&amp;":"&amp;U$3,'x - authors'!$B$3:$E$10000,4,FALSE))</f>
        <v>anand_seetharam</v>
      </c>
      <c r="V161" s="80" t="str">
        <f>IF(ISNA(VLOOKUP($B161&amp;":"&amp;V$3,'x - authors'!$B$3:$E$10000,4,FALSE)),"",VLOOKUP($B161&amp;":"&amp;V$3,'x - authors'!$B$3:$E$10000,4,FALSE))</f>
        <v>jim_kurose</v>
      </c>
      <c r="W161" s="80" t="str">
        <f>IF(ISNA(VLOOKUP($B161&amp;":"&amp;W$3,'x - authors'!$B$3:$E$10000,4,FALSE)),"",VLOOKUP($B161&amp;":"&amp;W$3,'x - authors'!$B$3:$E$10000,4,FALSE))</f>
        <v>dennis_goeckel</v>
      </c>
      <c r="X161" s="80" t="str">
        <f>IF(ISNA(VLOOKUP($B161&amp;":"&amp;X$3,'x - authors'!$B$3:$E$10000,4,FALSE)),"",VLOOKUP($B161&amp;":"&amp;X$3,'x - authors'!$B$3:$E$10000,4,FALSE))</f>
        <v/>
      </c>
      <c r="Y161" s="80" t="str">
        <f>IF(ISNA(VLOOKUP($B161&amp;":"&amp;Y$3,'x - authors'!$B$3:$E$10000,4,FALSE)),"",VLOOKUP($B161&amp;":"&amp;Y$3,'x - authors'!$B$3:$E$10000,4,FALSE))</f>
        <v/>
      </c>
      <c r="Z161" s="80" t="str">
        <f>IF(ISNA(VLOOKUP($B161&amp;":"&amp;Z$3,'x - authors'!$B$3:$E$10000,4,FALSE)),"",VLOOKUP($B161&amp;":"&amp;Z$3,'x - authors'!$B$3:$E$10000,4,FALSE))</f>
        <v/>
      </c>
      <c r="AA161" s="80" t="str">
        <f>IF(ISNA(VLOOKUP($B161&amp;":"&amp;AA$3,'x - authors'!$B$3:$E$10000,4,FALSE)),"",VLOOKUP($B161&amp;":"&amp;AA$3,'x - authors'!$B$3:$E$10000,4,FALSE))</f>
        <v/>
      </c>
      <c r="AB161" s="80" t="str">
        <f>IF(ISNA(VLOOKUP($B161&amp;":"&amp;AB$3,'x - authors'!$B$3:$E$10000,4,FALSE)),"",VLOOKUP($B161&amp;":"&amp;AB$3,'x - authors'!$B$3:$E$10000,4,FALSE))</f>
        <v/>
      </c>
      <c r="AC161" s="80" t="str">
        <f>IF(ISNA(VLOOKUP($B161&amp;":"&amp;AC$3,'x - authors'!$B$3:$E$10000,4,FALSE)),"",VLOOKUP($B161&amp;":"&amp;AC$3,'x - authors'!$B$3:$E$10000,4,FALSE))</f>
        <v/>
      </c>
      <c r="AD161" s="80" t="str">
        <f>IF(ISNA(VLOOKUP($B161&amp;":"&amp;AD$3,'x - authors'!$B$3:$E$10000,4,FALSE)),"",VLOOKUP($B161&amp;":"&amp;AD$3,'x - authors'!$B$3:$E$10000,4,FALSE))</f>
        <v/>
      </c>
      <c r="AE161" s="80" t="str">
        <f>IF(ISNA(VLOOKUP($B161&amp;":"&amp;AE$3,'x - authors'!$B$3:$E$10000,4,FALSE)),"",VLOOKUP($B161&amp;":"&amp;AE$3,'x - authors'!$B$3:$E$10000,4,FALSE))</f>
        <v/>
      </c>
      <c r="AF161" s="80" t="str">
        <f>IF(ISNA(VLOOKUP($B161&amp;":"&amp;AF$3,'x - authors'!$B$3:$E$10000,4,FALSE)),"",VLOOKUP($B161&amp;":"&amp;AF$3,'x - authors'!$B$3:$E$10000,4,FALSE))</f>
        <v/>
      </c>
      <c r="AG161" s="80" t="str">
        <f>IF(ISNA(VLOOKUP($B161&amp;":"&amp;AG$3,'x - authors'!$B$3:$E$10000,4,FALSE)),"",VLOOKUP($B161&amp;":"&amp;AG$3,'x - authors'!$B$3:$E$10000,4,FALSE))</f>
        <v/>
      </c>
      <c r="AH161" s="80" t="str">
        <f>IF(ISNA(VLOOKUP($B161&amp;":"&amp;AH$3,'x - authors'!$B$3:$E$10000,4,FALSE)),"",VLOOKUP($B161&amp;":"&amp;AH$3,'x - authors'!$B$3:$E$10000,4,FALSE))</f>
        <v/>
      </c>
      <c r="AI161" s="80" t="str">
        <f>IF(ISNA(VLOOKUP($B161&amp;":"&amp;AI$3,'x - authors'!$B$3:$E$10000,4,FALSE)),"",VLOOKUP($B161&amp;":"&amp;AI$3,'x - authors'!$B$3:$E$10000,4,FALSE))</f>
        <v/>
      </c>
    </row>
    <row r="162" spans="2:35">
      <c r="B162" s="65" t="s">
        <v>6472</v>
      </c>
      <c r="C162" s="65" t="s">
        <v>129</v>
      </c>
      <c r="D162" s="65" t="s">
        <v>6473</v>
      </c>
      <c r="E162" s="83" t="s">
        <v>142</v>
      </c>
      <c r="F162" s="65"/>
      <c r="G162" s="65"/>
      <c r="H162" s="65" t="s">
        <v>6474</v>
      </c>
      <c r="I162" s="65"/>
      <c r="J162" s="65" t="s">
        <v>6476</v>
      </c>
      <c r="K162" s="65"/>
      <c r="L162" s="65" t="s">
        <v>6477</v>
      </c>
      <c r="M162" s="65"/>
      <c r="N162" s="65"/>
      <c r="O162" s="15" t="str">
        <f t="shared" si="2"/>
        <v>citation:doc-x0332-01</v>
      </c>
      <c r="Q162" s="15" t="str">
        <f>VLOOKUP($O162,'x - paper citations'!$B$3:$E$2000,2,FALSE)</f>
        <v>https://scholar.google.co.uk/scholar?q=%22A non-convex distributed optimization framework and its application to wireless ad-hoc networks%22&amp;btnG=&amp;hl=en&amp;as_sdt=0%2C5</v>
      </c>
      <c r="R162" s="15">
        <f>VLOOKUP($O162,'x - paper citations'!$B$3:$E$2000,3,FALSE)</f>
        <v>4</v>
      </c>
      <c r="S162" s="15" t="str">
        <f>VLOOKUP($O162,'x - paper citations'!$B$3:$E$2000,4,FALSE)</f>
        <v>29/02/2016</v>
      </c>
      <c r="U162" s="80" t="str">
        <f>IF(ISNA(VLOOKUP($B162&amp;":"&amp;U$3,'x - authors'!$B$3:$E$10000,4,FALSE)),"",VLOOKUP($B162&amp;":"&amp;U$3,'x - authors'!$B$3:$E$10000,4,FALSE))</f>
        <v>george_tychogiorgos</v>
      </c>
      <c r="V162" s="80" t="str">
        <f>IF(ISNA(VLOOKUP($B162&amp;":"&amp;V$3,'x - authors'!$B$3:$E$10000,4,FALSE)),"",VLOOKUP($B162&amp;":"&amp;V$3,'x - authors'!$B$3:$E$10000,4,FALSE))</f>
        <v>athanasios_gkelias</v>
      </c>
      <c r="W162" s="80" t="str">
        <f>IF(ISNA(VLOOKUP($B162&amp;":"&amp;W$3,'x - authors'!$B$3:$E$10000,4,FALSE)),"",VLOOKUP($B162&amp;":"&amp;W$3,'x - authors'!$B$3:$E$10000,4,FALSE))</f>
        <v>kin_leung</v>
      </c>
      <c r="X162" s="80" t="str">
        <f>IF(ISNA(VLOOKUP($B162&amp;":"&amp;X$3,'x - authors'!$B$3:$E$10000,4,FALSE)),"",VLOOKUP($B162&amp;":"&amp;X$3,'x - authors'!$B$3:$E$10000,4,FALSE))</f>
        <v/>
      </c>
      <c r="Y162" s="80" t="str">
        <f>IF(ISNA(VLOOKUP($B162&amp;":"&amp;Y$3,'x - authors'!$B$3:$E$10000,4,FALSE)),"",VLOOKUP($B162&amp;":"&amp;Y$3,'x - authors'!$B$3:$E$10000,4,FALSE))</f>
        <v/>
      </c>
      <c r="Z162" s="80" t="str">
        <f>IF(ISNA(VLOOKUP($B162&amp;":"&amp;Z$3,'x - authors'!$B$3:$E$10000,4,FALSE)),"",VLOOKUP($B162&amp;":"&amp;Z$3,'x - authors'!$B$3:$E$10000,4,FALSE))</f>
        <v/>
      </c>
      <c r="AA162" s="80" t="str">
        <f>IF(ISNA(VLOOKUP($B162&amp;":"&amp;AA$3,'x - authors'!$B$3:$E$10000,4,FALSE)),"",VLOOKUP($B162&amp;":"&amp;AA$3,'x - authors'!$B$3:$E$10000,4,FALSE))</f>
        <v/>
      </c>
      <c r="AB162" s="80" t="str">
        <f>IF(ISNA(VLOOKUP($B162&amp;":"&amp;AB$3,'x - authors'!$B$3:$E$10000,4,FALSE)),"",VLOOKUP($B162&amp;":"&amp;AB$3,'x - authors'!$B$3:$E$10000,4,FALSE))</f>
        <v/>
      </c>
      <c r="AC162" s="80" t="str">
        <f>IF(ISNA(VLOOKUP($B162&amp;":"&amp;AC$3,'x - authors'!$B$3:$E$10000,4,FALSE)),"",VLOOKUP($B162&amp;":"&amp;AC$3,'x - authors'!$B$3:$E$10000,4,FALSE))</f>
        <v/>
      </c>
      <c r="AD162" s="80" t="str">
        <f>IF(ISNA(VLOOKUP($B162&amp;":"&amp;AD$3,'x - authors'!$B$3:$E$10000,4,FALSE)),"",VLOOKUP($B162&amp;":"&amp;AD$3,'x - authors'!$B$3:$E$10000,4,FALSE))</f>
        <v/>
      </c>
      <c r="AE162" s="80" t="str">
        <f>IF(ISNA(VLOOKUP($B162&amp;":"&amp;AE$3,'x - authors'!$B$3:$E$10000,4,FALSE)),"",VLOOKUP($B162&amp;":"&amp;AE$3,'x - authors'!$B$3:$E$10000,4,FALSE))</f>
        <v/>
      </c>
      <c r="AF162" s="80" t="str">
        <f>IF(ISNA(VLOOKUP($B162&amp;":"&amp;AF$3,'x - authors'!$B$3:$E$10000,4,FALSE)),"",VLOOKUP($B162&amp;":"&amp;AF$3,'x - authors'!$B$3:$E$10000,4,FALSE))</f>
        <v/>
      </c>
      <c r="AG162" s="80" t="str">
        <f>IF(ISNA(VLOOKUP($B162&amp;":"&amp;AG$3,'x - authors'!$B$3:$E$10000,4,FALSE)),"",VLOOKUP($B162&amp;":"&amp;AG$3,'x - authors'!$B$3:$E$10000,4,FALSE))</f>
        <v/>
      </c>
      <c r="AH162" s="80" t="str">
        <f>IF(ISNA(VLOOKUP($B162&amp;":"&amp;AH$3,'x - authors'!$B$3:$E$10000,4,FALSE)),"",VLOOKUP($B162&amp;":"&amp;AH$3,'x - authors'!$B$3:$E$10000,4,FALSE))</f>
        <v/>
      </c>
      <c r="AI162" s="80" t="str">
        <f>IF(ISNA(VLOOKUP($B162&amp;":"&amp;AI$3,'x - authors'!$B$3:$E$10000,4,FALSE)),"",VLOOKUP($B162&amp;":"&amp;AI$3,'x - authors'!$B$3:$E$10000,4,FALSE))</f>
        <v/>
      </c>
    </row>
    <row r="163" spans="2:35">
      <c r="B163" s="65" t="s">
        <v>6478</v>
      </c>
      <c r="C163" s="65" t="s">
        <v>129</v>
      </c>
      <c r="D163" s="65" t="s">
        <v>6479</v>
      </c>
      <c r="E163" s="83" t="s">
        <v>6761</v>
      </c>
      <c r="F163" s="65"/>
      <c r="G163" s="65"/>
      <c r="H163" s="65" t="s">
        <v>6480</v>
      </c>
      <c r="I163" s="65"/>
      <c r="J163" s="65"/>
      <c r="K163" s="65"/>
      <c r="L163" s="65" t="s">
        <v>6261</v>
      </c>
      <c r="M163" s="65"/>
      <c r="N163" s="65"/>
      <c r="O163" s="15" t="str">
        <f t="shared" si="2"/>
        <v>citation:doc-x0347-01</v>
      </c>
      <c r="Q163" s="15" t="str">
        <f>VLOOKUP($O163,'x - paper citations'!$B$3:$E$2000,2,FALSE)</f>
        <v>https://scholar.google.co.uk/scholar?q=%22Adaptive in-network processing for bandwidth and energy constrained mission-oriented multihop wireless networks%22&amp;btnG=&amp;hl=en&amp;as_sdt=0%2C5</v>
      </c>
      <c r="R163" s="15">
        <f>VLOOKUP($O163,'x - paper citations'!$B$3:$E$2000,3,FALSE)</f>
        <v>23</v>
      </c>
      <c r="S163" s="15" t="str">
        <f>VLOOKUP($O163,'x - paper citations'!$B$3:$E$2000,4,FALSE)</f>
        <v>06/03/2016</v>
      </c>
      <c r="U163" s="80" t="str">
        <f>IF(ISNA(VLOOKUP($B163&amp;":"&amp;U$3,'x - authors'!$B$3:$E$10000,4,FALSE)),"",VLOOKUP($B163&amp;":"&amp;U$3,'x - authors'!$B$3:$E$10000,4,FALSE))</f>
        <v>sharanya_eswaran</v>
      </c>
      <c r="V163" s="80" t="str">
        <f>IF(ISNA(VLOOKUP($B163&amp;":"&amp;V$3,'x - authors'!$B$3:$E$10000,4,FALSE)),"",VLOOKUP($B163&amp;":"&amp;V$3,'x - authors'!$B$3:$E$10000,4,FALSE))</f>
        <v>james_edwards</v>
      </c>
      <c r="W163" s="80" t="str">
        <f>IF(ISNA(VLOOKUP($B163&amp;":"&amp;W$3,'x - authors'!$B$3:$E$10000,4,FALSE)),"",VLOOKUP($B163&amp;":"&amp;W$3,'x - authors'!$B$3:$E$10000,4,FALSE))</f>
        <v>archan_misra</v>
      </c>
      <c r="X163" s="80" t="str">
        <f>IF(ISNA(VLOOKUP($B163&amp;":"&amp;X$3,'x - authors'!$B$3:$E$10000,4,FALSE)),"",VLOOKUP($B163&amp;":"&amp;X$3,'x - authors'!$B$3:$E$10000,4,FALSE))</f>
        <v>thomas_laporta</v>
      </c>
      <c r="Y163" s="80" t="str">
        <f>IF(ISNA(VLOOKUP($B163&amp;":"&amp;Y$3,'x - authors'!$B$3:$E$10000,4,FALSE)),"",VLOOKUP($B163&amp;":"&amp;Y$3,'x - authors'!$B$3:$E$10000,4,FALSE))</f>
        <v/>
      </c>
      <c r="Z163" s="80" t="str">
        <f>IF(ISNA(VLOOKUP($B163&amp;":"&amp;Z$3,'x - authors'!$B$3:$E$10000,4,FALSE)),"",VLOOKUP($B163&amp;":"&amp;Z$3,'x - authors'!$B$3:$E$10000,4,FALSE))</f>
        <v/>
      </c>
      <c r="AA163" s="80" t="str">
        <f>IF(ISNA(VLOOKUP($B163&amp;":"&amp;AA$3,'x - authors'!$B$3:$E$10000,4,FALSE)),"",VLOOKUP($B163&amp;":"&amp;AA$3,'x - authors'!$B$3:$E$10000,4,FALSE))</f>
        <v/>
      </c>
      <c r="AB163" s="80" t="str">
        <f>IF(ISNA(VLOOKUP($B163&amp;":"&amp;AB$3,'x - authors'!$B$3:$E$10000,4,FALSE)),"",VLOOKUP($B163&amp;":"&amp;AB$3,'x - authors'!$B$3:$E$10000,4,FALSE))</f>
        <v/>
      </c>
      <c r="AC163" s="80" t="str">
        <f>IF(ISNA(VLOOKUP($B163&amp;":"&amp;AC$3,'x - authors'!$B$3:$E$10000,4,FALSE)),"",VLOOKUP($B163&amp;":"&amp;AC$3,'x - authors'!$B$3:$E$10000,4,FALSE))</f>
        <v/>
      </c>
      <c r="AD163" s="80" t="str">
        <f>IF(ISNA(VLOOKUP($B163&amp;":"&amp;AD$3,'x - authors'!$B$3:$E$10000,4,FALSE)),"",VLOOKUP($B163&amp;":"&amp;AD$3,'x - authors'!$B$3:$E$10000,4,FALSE))</f>
        <v/>
      </c>
      <c r="AE163" s="80" t="str">
        <f>IF(ISNA(VLOOKUP($B163&amp;":"&amp;AE$3,'x - authors'!$B$3:$E$10000,4,FALSE)),"",VLOOKUP($B163&amp;":"&amp;AE$3,'x - authors'!$B$3:$E$10000,4,FALSE))</f>
        <v/>
      </c>
      <c r="AF163" s="80" t="str">
        <f>IF(ISNA(VLOOKUP($B163&amp;":"&amp;AF$3,'x - authors'!$B$3:$E$10000,4,FALSE)),"",VLOOKUP($B163&amp;":"&amp;AF$3,'x - authors'!$B$3:$E$10000,4,FALSE))</f>
        <v/>
      </c>
      <c r="AG163" s="80" t="str">
        <f>IF(ISNA(VLOOKUP($B163&amp;":"&amp;AG$3,'x - authors'!$B$3:$E$10000,4,FALSE)),"",VLOOKUP($B163&amp;":"&amp;AG$3,'x - authors'!$B$3:$E$10000,4,FALSE))</f>
        <v/>
      </c>
      <c r="AH163" s="80" t="str">
        <f>IF(ISNA(VLOOKUP($B163&amp;":"&amp;AH$3,'x - authors'!$B$3:$E$10000,4,FALSE)),"",VLOOKUP($B163&amp;":"&amp;AH$3,'x - authors'!$B$3:$E$10000,4,FALSE))</f>
        <v/>
      </c>
      <c r="AI163" s="80" t="str">
        <f>IF(ISNA(VLOOKUP($B163&amp;":"&amp;AI$3,'x - authors'!$B$3:$E$10000,4,FALSE)),"",VLOOKUP($B163&amp;":"&amp;AI$3,'x - authors'!$B$3:$E$10000,4,FALSE))</f>
        <v/>
      </c>
    </row>
    <row r="164" spans="2:35">
      <c r="B164" s="65" t="s">
        <v>6482</v>
      </c>
      <c r="C164" s="65" t="s">
        <v>129</v>
      </c>
      <c r="D164" s="65" t="s">
        <v>6483</v>
      </c>
      <c r="E164" s="83" t="s">
        <v>6760</v>
      </c>
      <c r="F164" s="65"/>
      <c r="G164" s="65"/>
      <c r="H164" s="65" t="s">
        <v>6484</v>
      </c>
      <c r="I164" s="65"/>
      <c r="J164" s="65"/>
      <c r="K164" s="65"/>
      <c r="L164" s="65" t="s">
        <v>6261</v>
      </c>
      <c r="M164" s="65"/>
      <c r="N164" s="65"/>
      <c r="O164" s="15" t="str">
        <f t="shared" si="2"/>
        <v>citation:doc-x0348-01</v>
      </c>
      <c r="Q164" s="15" t="str">
        <f>VLOOKUP($O164,'x - paper citations'!$B$3:$E$2000,2,FALSE)</f>
        <v>https://scholar.google.co.uk/scholar?q=%22Adaptive packet prioritisation for large wireless sensor networks%22&amp;btnG=&amp;hl=en&amp;as_sdt=0%2C5</v>
      </c>
      <c r="R164" s="15">
        <f>VLOOKUP($O164,'x - paper citations'!$B$3:$E$2000,3,FALSE)</f>
        <v>2</v>
      </c>
      <c r="S164" s="15" t="str">
        <f>VLOOKUP($O164,'x - paper citations'!$B$3:$E$2000,4,FALSE)</f>
        <v>06/03/2016</v>
      </c>
      <c r="U164" s="80" t="str">
        <f>IF(ISNA(VLOOKUP($B164&amp;":"&amp;U$3,'x - authors'!$B$3:$E$10000,4,FALSE)),"",VLOOKUP($B164&amp;":"&amp;U$3,'x - authors'!$B$3:$E$10000,4,FALSE))</f>
        <v>laurence_hey</v>
      </c>
      <c r="V164" s="80" t="str">
        <f>IF(ISNA(VLOOKUP($B164&amp;":"&amp;V$3,'x - authors'!$B$3:$E$10000,4,FALSE)),"",VLOOKUP($B164&amp;":"&amp;V$3,'x - authors'!$B$3:$E$10000,4,FALSE))</f>
        <v>erol_gelenbe</v>
      </c>
      <c r="W164" s="80" t="str">
        <f>IF(ISNA(VLOOKUP($B164&amp;":"&amp;W$3,'x - authors'!$B$3:$E$10000,4,FALSE)),"",VLOOKUP($B164&amp;":"&amp;W$3,'x - authors'!$B$3:$E$10000,4,FALSE))</f>
        <v/>
      </c>
      <c r="X164" s="80" t="str">
        <f>IF(ISNA(VLOOKUP($B164&amp;":"&amp;X$3,'x - authors'!$B$3:$E$10000,4,FALSE)),"",VLOOKUP($B164&amp;":"&amp;X$3,'x - authors'!$B$3:$E$10000,4,FALSE))</f>
        <v/>
      </c>
      <c r="Y164" s="80" t="str">
        <f>IF(ISNA(VLOOKUP($B164&amp;":"&amp;Y$3,'x - authors'!$B$3:$E$10000,4,FALSE)),"",VLOOKUP($B164&amp;":"&amp;Y$3,'x - authors'!$B$3:$E$10000,4,FALSE))</f>
        <v/>
      </c>
      <c r="Z164" s="80" t="str">
        <f>IF(ISNA(VLOOKUP($B164&amp;":"&amp;Z$3,'x - authors'!$B$3:$E$10000,4,FALSE)),"",VLOOKUP($B164&amp;":"&amp;Z$3,'x - authors'!$B$3:$E$10000,4,FALSE))</f>
        <v/>
      </c>
      <c r="AA164" s="80" t="str">
        <f>IF(ISNA(VLOOKUP($B164&amp;":"&amp;AA$3,'x - authors'!$B$3:$E$10000,4,FALSE)),"",VLOOKUP($B164&amp;":"&amp;AA$3,'x - authors'!$B$3:$E$10000,4,FALSE))</f>
        <v/>
      </c>
      <c r="AB164" s="80" t="str">
        <f>IF(ISNA(VLOOKUP($B164&amp;":"&amp;AB$3,'x - authors'!$B$3:$E$10000,4,FALSE)),"",VLOOKUP($B164&amp;":"&amp;AB$3,'x - authors'!$B$3:$E$10000,4,FALSE))</f>
        <v/>
      </c>
      <c r="AC164" s="80" t="str">
        <f>IF(ISNA(VLOOKUP($B164&amp;":"&amp;AC$3,'x - authors'!$B$3:$E$10000,4,FALSE)),"",VLOOKUP($B164&amp;":"&amp;AC$3,'x - authors'!$B$3:$E$10000,4,FALSE))</f>
        <v/>
      </c>
      <c r="AD164" s="80" t="str">
        <f>IF(ISNA(VLOOKUP($B164&amp;":"&amp;AD$3,'x - authors'!$B$3:$E$10000,4,FALSE)),"",VLOOKUP($B164&amp;":"&amp;AD$3,'x - authors'!$B$3:$E$10000,4,FALSE))</f>
        <v/>
      </c>
      <c r="AE164" s="80" t="str">
        <f>IF(ISNA(VLOOKUP($B164&amp;":"&amp;AE$3,'x - authors'!$B$3:$E$10000,4,FALSE)),"",VLOOKUP($B164&amp;":"&amp;AE$3,'x - authors'!$B$3:$E$10000,4,FALSE))</f>
        <v/>
      </c>
      <c r="AF164" s="80" t="str">
        <f>IF(ISNA(VLOOKUP($B164&amp;":"&amp;AF$3,'x - authors'!$B$3:$E$10000,4,FALSE)),"",VLOOKUP($B164&amp;":"&amp;AF$3,'x - authors'!$B$3:$E$10000,4,FALSE))</f>
        <v/>
      </c>
      <c r="AG164" s="80" t="str">
        <f>IF(ISNA(VLOOKUP($B164&amp;":"&amp;AG$3,'x - authors'!$B$3:$E$10000,4,FALSE)),"",VLOOKUP($B164&amp;":"&amp;AG$3,'x - authors'!$B$3:$E$10000,4,FALSE))</f>
        <v/>
      </c>
      <c r="AH164" s="80" t="str">
        <f>IF(ISNA(VLOOKUP($B164&amp;":"&amp;AH$3,'x - authors'!$B$3:$E$10000,4,FALSE)),"",VLOOKUP($B164&amp;":"&amp;AH$3,'x - authors'!$B$3:$E$10000,4,FALSE))</f>
        <v/>
      </c>
      <c r="AI164" s="80" t="str">
        <f>IF(ISNA(VLOOKUP($B164&amp;":"&amp;AI$3,'x - authors'!$B$3:$E$10000,4,FALSE)),"",VLOOKUP($B164&amp;":"&amp;AI$3,'x - authors'!$B$3:$E$10000,4,FALSE))</f>
        <v/>
      </c>
    </row>
    <row r="165" spans="2:35">
      <c r="B165" s="65" t="s">
        <v>6486</v>
      </c>
      <c r="C165" s="65" t="s">
        <v>129</v>
      </c>
      <c r="D165" s="65" t="s">
        <v>6487</v>
      </c>
      <c r="E165" s="83" t="s">
        <v>6760</v>
      </c>
      <c r="F165" s="65"/>
      <c r="G165" s="65"/>
      <c r="H165" s="65" t="s">
        <v>6488</v>
      </c>
      <c r="I165" s="65"/>
      <c r="J165" s="65" t="s">
        <v>6490</v>
      </c>
      <c r="K165" s="65"/>
      <c r="L165" s="65" t="s">
        <v>6491</v>
      </c>
      <c r="M165" s="65"/>
      <c r="N165" s="65"/>
      <c r="O165" s="15" t="str">
        <f t="shared" si="2"/>
        <v>citation:doc-x0382-01</v>
      </c>
      <c r="Q165" s="15" t="str">
        <f>VLOOKUP($O165,'x - paper citations'!$B$3:$E$2000,2,FALSE)</f>
        <v>https://scholar.google.co.uk/scholar?q=%22Anomaly detection in information streams without prior domain knowledge%22&amp;btnG=&amp;hl=en&amp;as_sdt=0%2C5</v>
      </c>
      <c r="R165" s="15">
        <f>VLOOKUP($O165,'x - paper citations'!$B$3:$E$2000,3,FALSE)</f>
        <v>9</v>
      </c>
      <c r="S165" s="15" t="str">
        <f>VLOOKUP($O165,'x - paper citations'!$B$3:$E$2000,4,FALSE)</f>
        <v>29/02/2016</v>
      </c>
      <c r="U165" s="80" t="str">
        <f>IF(ISNA(VLOOKUP($B165&amp;":"&amp;U$3,'x - authors'!$B$3:$E$10000,4,FALSE)),"",VLOOKUP($B165&amp;":"&amp;U$3,'x - authors'!$B$3:$E$10000,4,FALSE))</f>
        <v>mandis_beigi</v>
      </c>
      <c r="V165" s="80" t="str">
        <f>IF(ISNA(VLOOKUP($B165&amp;":"&amp;V$3,'x - authors'!$B$3:$E$10000,4,FALSE)),"",VLOOKUP($B165&amp;":"&amp;V$3,'x - authors'!$B$3:$E$10000,4,FALSE))</f>
        <v>shih-fu_chang</v>
      </c>
      <c r="W165" s="80" t="str">
        <f>IF(ISNA(VLOOKUP($B165&amp;":"&amp;W$3,'x - authors'!$B$3:$E$10000,4,FALSE)),"",VLOOKUP($B165&amp;":"&amp;W$3,'x - authors'!$B$3:$E$10000,4,FALSE))</f>
        <v>shahram_ebadollahi</v>
      </c>
      <c r="X165" s="80" t="str">
        <f>IF(ISNA(VLOOKUP($B165&amp;":"&amp;X$3,'x - authors'!$B$3:$E$10000,4,FALSE)),"",VLOOKUP($B165&amp;":"&amp;X$3,'x - authors'!$B$3:$E$10000,4,FALSE))</f>
        <v>dinesh_verma</v>
      </c>
      <c r="Y165" s="80" t="str">
        <f>IF(ISNA(VLOOKUP($B165&amp;":"&amp;Y$3,'x - authors'!$B$3:$E$10000,4,FALSE)),"",VLOOKUP($B165&amp;":"&amp;Y$3,'x - authors'!$B$3:$E$10000,4,FALSE))</f>
        <v/>
      </c>
      <c r="Z165" s="80" t="str">
        <f>IF(ISNA(VLOOKUP($B165&amp;":"&amp;Z$3,'x - authors'!$B$3:$E$10000,4,FALSE)),"",VLOOKUP($B165&amp;":"&amp;Z$3,'x - authors'!$B$3:$E$10000,4,FALSE))</f>
        <v/>
      </c>
      <c r="AA165" s="80" t="str">
        <f>IF(ISNA(VLOOKUP($B165&amp;":"&amp;AA$3,'x - authors'!$B$3:$E$10000,4,FALSE)),"",VLOOKUP($B165&amp;":"&amp;AA$3,'x - authors'!$B$3:$E$10000,4,FALSE))</f>
        <v/>
      </c>
      <c r="AB165" s="80" t="str">
        <f>IF(ISNA(VLOOKUP($B165&amp;":"&amp;AB$3,'x - authors'!$B$3:$E$10000,4,FALSE)),"",VLOOKUP($B165&amp;":"&amp;AB$3,'x - authors'!$B$3:$E$10000,4,FALSE))</f>
        <v/>
      </c>
      <c r="AC165" s="80" t="str">
        <f>IF(ISNA(VLOOKUP($B165&amp;":"&amp;AC$3,'x - authors'!$B$3:$E$10000,4,FALSE)),"",VLOOKUP($B165&amp;":"&amp;AC$3,'x - authors'!$B$3:$E$10000,4,FALSE))</f>
        <v/>
      </c>
      <c r="AD165" s="80" t="str">
        <f>IF(ISNA(VLOOKUP($B165&amp;":"&amp;AD$3,'x - authors'!$B$3:$E$10000,4,FALSE)),"",VLOOKUP($B165&amp;":"&amp;AD$3,'x - authors'!$B$3:$E$10000,4,FALSE))</f>
        <v/>
      </c>
      <c r="AE165" s="80" t="str">
        <f>IF(ISNA(VLOOKUP($B165&amp;":"&amp;AE$3,'x - authors'!$B$3:$E$10000,4,FALSE)),"",VLOOKUP($B165&amp;":"&amp;AE$3,'x - authors'!$B$3:$E$10000,4,FALSE))</f>
        <v/>
      </c>
      <c r="AF165" s="80" t="str">
        <f>IF(ISNA(VLOOKUP($B165&amp;":"&amp;AF$3,'x - authors'!$B$3:$E$10000,4,FALSE)),"",VLOOKUP($B165&amp;":"&amp;AF$3,'x - authors'!$B$3:$E$10000,4,FALSE))</f>
        <v/>
      </c>
      <c r="AG165" s="80" t="str">
        <f>IF(ISNA(VLOOKUP($B165&amp;":"&amp;AG$3,'x - authors'!$B$3:$E$10000,4,FALSE)),"",VLOOKUP($B165&amp;":"&amp;AG$3,'x - authors'!$B$3:$E$10000,4,FALSE))</f>
        <v/>
      </c>
      <c r="AH165" s="80" t="str">
        <f>IF(ISNA(VLOOKUP($B165&amp;":"&amp;AH$3,'x - authors'!$B$3:$E$10000,4,FALSE)),"",VLOOKUP($B165&amp;":"&amp;AH$3,'x - authors'!$B$3:$E$10000,4,FALSE))</f>
        <v/>
      </c>
      <c r="AI165" s="80" t="str">
        <f>IF(ISNA(VLOOKUP($B165&amp;":"&amp;AI$3,'x - authors'!$B$3:$E$10000,4,FALSE)),"",VLOOKUP($B165&amp;":"&amp;AI$3,'x - authors'!$B$3:$E$10000,4,FALSE))</f>
        <v/>
      </c>
    </row>
    <row r="166" spans="2:35">
      <c r="B166" s="65" t="s">
        <v>6492</v>
      </c>
      <c r="C166" s="65" t="s">
        <v>129</v>
      </c>
      <c r="D166" s="65" t="s">
        <v>6493</v>
      </c>
      <c r="E166" s="83" t="s">
        <v>6760</v>
      </c>
      <c r="F166" s="65"/>
      <c r="G166" s="65"/>
      <c r="H166" s="65" t="s">
        <v>6494</v>
      </c>
      <c r="I166" s="65"/>
      <c r="J166" s="65" t="s">
        <v>6496</v>
      </c>
      <c r="K166" s="65"/>
      <c r="L166" s="65" t="s">
        <v>6497</v>
      </c>
      <c r="M166" s="65"/>
      <c r="N166" s="65"/>
      <c r="O166" s="15" t="str">
        <f t="shared" si="2"/>
        <v>citation:doc-x0395-01</v>
      </c>
      <c r="Q166" s="15" t="str">
        <f>VLOOKUP($O166,'x - paper citations'!$B$3:$E$2000,2,FALSE)</f>
        <v>https://scholar.google.co.uk/scholar?q=%22Artificial noise generation from cooperative relays for everlasting secrecy in two-hop wireless networks%22&amp;btnG=&amp;hl=en&amp;as_sdt=0%2C5</v>
      </c>
      <c r="R166" s="15">
        <f>VLOOKUP($O166,'x - paper citations'!$B$3:$E$2000,3,FALSE)</f>
        <v>65</v>
      </c>
      <c r="S166" s="15" t="str">
        <f>VLOOKUP($O166,'x - paper citations'!$B$3:$E$2000,4,FALSE)</f>
        <v>29/02/2016</v>
      </c>
      <c r="U166" s="80" t="str">
        <f>IF(ISNA(VLOOKUP($B166&amp;":"&amp;U$3,'x - authors'!$B$3:$E$10000,4,FALSE)),"",VLOOKUP($B166&amp;":"&amp;U$3,'x - authors'!$B$3:$E$10000,4,FALSE))</f>
        <v>dennis_goeckel</v>
      </c>
      <c r="V166" s="80" t="str">
        <f>IF(ISNA(VLOOKUP($B166&amp;":"&amp;V$3,'x - authors'!$B$3:$E$10000,4,FALSE)),"",VLOOKUP($B166&amp;":"&amp;V$3,'x - authors'!$B$3:$E$10000,4,FALSE))</f>
        <v>sudarshan_vasudevan</v>
      </c>
      <c r="W166" s="80" t="str">
        <f>IF(ISNA(VLOOKUP($B166&amp;":"&amp;W$3,'x - authors'!$B$3:$E$10000,4,FALSE)),"",VLOOKUP($B166&amp;":"&amp;W$3,'x - authors'!$B$3:$E$10000,4,FALSE))</f>
        <v>don_towsley</v>
      </c>
      <c r="X166" s="80" t="str">
        <f>IF(ISNA(VLOOKUP($B166&amp;":"&amp;X$3,'x - authors'!$B$3:$E$10000,4,FALSE)),"",VLOOKUP($B166&amp;":"&amp;X$3,'x - authors'!$B$3:$E$10000,4,FALSE))</f>
        <v>stephan_adams</v>
      </c>
      <c r="Y166" s="80" t="str">
        <f>IF(ISNA(VLOOKUP($B166&amp;":"&amp;Y$3,'x - authors'!$B$3:$E$10000,4,FALSE)),"",VLOOKUP($B166&amp;":"&amp;Y$3,'x - authors'!$B$3:$E$10000,4,FALSE))</f>
        <v>zhiguo_ding</v>
      </c>
      <c r="Z166" s="80" t="str">
        <f>IF(ISNA(VLOOKUP($B166&amp;":"&amp;Z$3,'x - authors'!$B$3:$E$10000,4,FALSE)),"",VLOOKUP($B166&amp;":"&amp;Z$3,'x - authors'!$B$3:$E$10000,4,FALSE))</f>
        <v>kin_leung</v>
      </c>
      <c r="AA166" s="80" t="str">
        <f>IF(ISNA(VLOOKUP($B166&amp;":"&amp;AA$3,'x - authors'!$B$3:$E$10000,4,FALSE)),"",VLOOKUP($B166&amp;":"&amp;AA$3,'x - authors'!$B$3:$E$10000,4,FALSE))</f>
        <v/>
      </c>
      <c r="AB166" s="80" t="str">
        <f>IF(ISNA(VLOOKUP($B166&amp;":"&amp;AB$3,'x - authors'!$B$3:$E$10000,4,FALSE)),"",VLOOKUP($B166&amp;":"&amp;AB$3,'x - authors'!$B$3:$E$10000,4,FALSE))</f>
        <v/>
      </c>
      <c r="AC166" s="80" t="str">
        <f>IF(ISNA(VLOOKUP($B166&amp;":"&amp;AC$3,'x - authors'!$B$3:$E$10000,4,FALSE)),"",VLOOKUP($B166&amp;":"&amp;AC$3,'x - authors'!$B$3:$E$10000,4,FALSE))</f>
        <v/>
      </c>
      <c r="AD166" s="80" t="str">
        <f>IF(ISNA(VLOOKUP($B166&amp;":"&amp;AD$3,'x - authors'!$B$3:$E$10000,4,FALSE)),"",VLOOKUP($B166&amp;":"&amp;AD$3,'x - authors'!$B$3:$E$10000,4,FALSE))</f>
        <v/>
      </c>
      <c r="AE166" s="80" t="str">
        <f>IF(ISNA(VLOOKUP($B166&amp;":"&amp;AE$3,'x - authors'!$B$3:$E$10000,4,FALSE)),"",VLOOKUP($B166&amp;":"&amp;AE$3,'x - authors'!$B$3:$E$10000,4,FALSE))</f>
        <v/>
      </c>
      <c r="AF166" s="80" t="str">
        <f>IF(ISNA(VLOOKUP($B166&amp;":"&amp;AF$3,'x - authors'!$B$3:$E$10000,4,FALSE)),"",VLOOKUP($B166&amp;":"&amp;AF$3,'x - authors'!$B$3:$E$10000,4,FALSE))</f>
        <v/>
      </c>
      <c r="AG166" s="80" t="str">
        <f>IF(ISNA(VLOOKUP($B166&amp;":"&amp;AG$3,'x - authors'!$B$3:$E$10000,4,FALSE)),"",VLOOKUP($B166&amp;":"&amp;AG$3,'x - authors'!$B$3:$E$10000,4,FALSE))</f>
        <v/>
      </c>
      <c r="AH166" s="80" t="str">
        <f>IF(ISNA(VLOOKUP($B166&amp;":"&amp;AH$3,'x - authors'!$B$3:$E$10000,4,FALSE)),"",VLOOKUP($B166&amp;":"&amp;AH$3,'x - authors'!$B$3:$E$10000,4,FALSE))</f>
        <v/>
      </c>
      <c r="AI166" s="80" t="str">
        <f>IF(ISNA(VLOOKUP($B166&amp;":"&amp;AI$3,'x - authors'!$B$3:$E$10000,4,FALSE)),"",VLOOKUP($B166&amp;":"&amp;AI$3,'x - authors'!$B$3:$E$10000,4,FALSE))</f>
        <v/>
      </c>
    </row>
    <row r="167" spans="2:35">
      <c r="B167" s="65" t="s">
        <v>6498</v>
      </c>
      <c r="C167" s="65" t="s">
        <v>129</v>
      </c>
      <c r="D167" s="65" t="s">
        <v>6499</v>
      </c>
      <c r="E167" s="83" t="s">
        <v>6760</v>
      </c>
      <c r="F167" s="65"/>
      <c r="G167" s="65"/>
      <c r="H167" s="65" t="s">
        <v>6500</v>
      </c>
      <c r="I167" s="65"/>
      <c r="J167" s="65" t="s">
        <v>6502</v>
      </c>
      <c r="K167" s="65"/>
      <c r="L167" s="65" t="s">
        <v>6503</v>
      </c>
      <c r="M167" s="65"/>
      <c r="N167" s="65"/>
      <c r="O167" s="15" t="str">
        <f t="shared" si="2"/>
        <v>citation:doc-x0417-01</v>
      </c>
      <c r="Q167" s="15" t="str">
        <f>VLOOKUP($O167,'x - paper citations'!$B$3:$E$2000,2,FALSE)</f>
        <v>https://scholar.google.co.uk/scholar?q=%22Bounds on the moduli of polynomial zeros%22&amp;btnG=&amp;hl=en&amp;as_sdt=0%2C5</v>
      </c>
      <c r="R167" s="15">
        <f>VLOOKUP($O167,'x - paper citations'!$B$3:$E$2000,3,FALSE)</f>
        <v>13</v>
      </c>
      <c r="S167" s="15" t="str">
        <f>VLOOKUP($O167,'x - paper citations'!$B$3:$E$2000,4,FALSE)</f>
        <v>06/03/2016</v>
      </c>
      <c r="U167" s="80" t="str">
        <f>IF(ISNA(VLOOKUP($B167&amp;":"&amp;U$3,'x - authors'!$B$3:$E$10000,4,FALSE)),"",VLOOKUP($B167&amp;":"&amp;U$3,'x - authors'!$B$3:$E$10000,4,FALSE))</f>
        <v>matthias_dehmer</v>
      </c>
      <c r="V167" s="80" t="str">
        <f>IF(ISNA(VLOOKUP($B167&amp;":"&amp;V$3,'x - authors'!$B$3:$E$10000,4,FALSE)),"",VLOOKUP($B167&amp;":"&amp;V$3,'x - authors'!$B$3:$E$10000,4,FALSE))</f>
        <v>abbe_mowshowitz</v>
      </c>
      <c r="W167" s="80" t="str">
        <f>IF(ISNA(VLOOKUP($B167&amp;":"&amp;W$3,'x - authors'!$B$3:$E$10000,4,FALSE)),"",VLOOKUP($B167&amp;":"&amp;W$3,'x - authors'!$B$3:$E$10000,4,FALSE))</f>
        <v/>
      </c>
      <c r="X167" s="80" t="str">
        <f>IF(ISNA(VLOOKUP($B167&amp;":"&amp;X$3,'x - authors'!$B$3:$E$10000,4,FALSE)),"",VLOOKUP($B167&amp;":"&amp;X$3,'x - authors'!$B$3:$E$10000,4,FALSE))</f>
        <v/>
      </c>
      <c r="Y167" s="80" t="str">
        <f>IF(ISNA(VLOOKUP($B167&amp;":"&amp;Y$3,'x - authors'!$B$3:$E$10000,4,FALSE)),"",VLOOKUP($B167&amp;":"&amp;Y$3,'x - authors'!$B$3:$E$10000,4,FALSE))</f>
        <v/>
      </c>
      <c r="Z167" s="80" t="str">
        <f>IF(ISNA(VLOOKUP($B167&amp;":"&amp;Z$3,'x - authors'!$B$3:$E$10000,4,FALSE)),"",VLOOKUP($B167&amp;":"&amp;Z$3,'x - authors'!$B$3:$E$10000,4,FALSE))</f>
        <v/>
      </c>
      <c r="AA167" s="80" t="str">
        <f>IF(ISNA(VLOOKUP($B167&amp;":"&amp;AA$3,'x - authors'!$B$3:$E$10000,4,FALSE)),"",VLOOKUP($B167&amp;":"&amp;AA$3,'x - authors'!$B$3:$E$10000,4,FALSE))</f>
        <v/>
      </c>
      <c r="AB167" s="80" t="str">
        <f>IF(ISNA(VLOOKUP($B167&amp;":"&amp;AB$3,'x - authors'!$B$3:$E$10000,4,FALSE)),"",VLOOKUP($B167&amp;":"&amp;AB$3,'x - authors'!$B$3:$E$10000,4,FALSE))</f>
        <v/>
      </c>
      <c r="AC167" s="80" t="str">
        <f>IF(ISNA(VLOOKUP($B167&amp;":"&amp;AC$3,'x - authors'!$B$3:$E$10000,4,FALSE)),"",VLOOKUP($B167&amp;":"&amp;AC$3,'x - authors'!$B$3:$E$10000,4,FALSE))</f>
        <v/>
      </c>
      <c r="AD167" s="80" t="str">
        <f>IF(ISNA(VLOOKUP($B167&amp;":"&amp;AD$3,'x - authors'!$B$3:$E$10000,4,FALSE)),"",VLOOKUP($B167&amp;":"&amp;AD$3,'x - authors'!$B$3:$E$10000,4,FALSE))</f>
        <v/>
      </c>
      <c r="AE167" s="80" t="str">
        <f>IF(ISNA(VLOOKUP($B167&amp;":"&amp;AE$3,'x - authors'!$B$3:$E$10000,4,FALSE)),"",VLOOKUP($B167&amp;":"&amp;AE$3,'x - authors'!$B$3:$E$10000,4,FALSE))</f>
        <v/>
      </c>
      <c r="AF167" s="80" t="str">
        <f>IF(ISNA(VLOOKUP($B167&amp;":"&amp;AF$3,'x - authors'!$B$3:$E$10000,4,FALSE)),"",VLOOKUP($B167&amp;":"&amp;AF$3,'x - authors'!$B$3:$E$10000,4,FALSE))</f>
        <v/>
      </c>
      <c r="AG167" s="80" t="str">
        <f>IF(ISNA(VLOOKUP($B167&amp;":"&amp;AG$3,'x - authors'!$B$3:$E$10000,4,FALSE)),"",VLOOKUP($B167&amp;":"&amp;AG$3,'x - authors'!$B$3:$E$10000,4,FALSE))</f>
        <v/>
      </c>
      <c r="AH167" s="80" t="str">
        <f>IF(ISNA(VLOOKUP($B167&amp;":"&amp;AH$3,'x - authors'!$B$3:$E$10000,4,FALSE)),"",VLOOKUP($B167&amp;":"&amp;AH$3,'x - authors'!$B$3:$E$10000,4,FALSE))</f>
        <v/>
      </c>
      <c r="AI167" s="80" t="str">
        <f>IF(ISNA(VLOOKUP($B167&amp;":"&amp;AI$3,'x - authors'!$B$3:$E$10000,4,FALSE)),"",VLOOKUP($B167&amp;":"&amp;AI$3,'x - authors'!$B$3:$E$10000,4,FALSE))</f>
        <v/>
      </c>
    </row>
    <row r="168" spans="2:35">
      <c r="B168" s="65" t="s">
        <v>6504</v>
      </c>
      <c r="C168" s="65" t="s">
        <v>129</v>
      </c>
      <c r="D168" s="65" t="s">
        <v>6505</v>
      </c>
      <c r="E168" s="83" t="s">
        <v>6760</v>
      </c>
      <c r="F168" s="65"/>
      <c r="G168" s="65"/>
      <c r="H168" s="65" t="s">
        <v>6506</v>
      </c>
      <c r="I168" s="65"/>
      <c r="J168" s="65"/>
      <c r="K168" s="65"/>
      <c r="L168" s="65" t="s">
        <v>6261</v>
      </c>
      <c r="M168" s="65" t="s">
        <v>6508</v>
      </c>
      <c r="N168" s="65"/>
      <c r="O168" s="15" t="str">
        <f t="shared" si="2"/>
        <v>citation:doc-x0420-01</v>
      </c>
      <c r="Q168" s="15" t="str">
        <f>VLOOKUP($O168,'x - paper citations'!$B$3:$E$2000,2,FALSE)</f>
        <v>https://scholar.google.co.uk/scholar?q=%22Broadcasting info-pages to sensors: efficiency versus energy conservation%22&amp;btnG=&amp;hl=en&amp;as_sdt=0%2C5</v>
      </c>
      <c r="R168" s="15">
        <f>VLOOKUP($O168,'x - paper citations'!$B$3:$E$2000,3,FALSE)</f>
        <v>0</v>
      </c>
      <c r="S168" s="15" t="str">
        <f>VLOOKUP($O168,'x - paper citations'!$B$3:$E$2000,4,FALSE)</f>
        <v>29/02/2016</v>
      </c>
      <c r="U168" s="80" t="str">
        <f>IF(ISNA(VLOOKUP($B168&amp;":"&amp;U$3,'x - authors'!$B$3:$E$10000,4,FALSE)),"",VLOOKUP($B168&amp;":"&amp;U$3,'x - authors'!$B$3:$E$10000,4,FALSE))</f>
        <v>yosef_alayev</v>
      </c>
      <c r="V168" s="80" t="str">
        <f>IF(ISNA(VLOOKUP($B168&amp;":"&amp;V$3,'x - authors'!$B$3:$E$10000,4,FALSE)),"",VLOOKUP($B168&amp;":"&amp;V$3,'x - authors'!$B$3:$E$10000,4,FALSE))</f>
        <v>amotz_bar_noy</v>
      </c>
      <c r="W168" s="80" t="str">
        <f>IF(ISNA(VLOOKUP($B168&amp;":"&amp;W$3,'x - authors'!$B$3:$E$10000,4,FALSE)),"",VLOOKUP($B168&amp;":"&amp;W$3,'x - authors'!$B$3:$E$10000,4,FALSE))</f>
        <v>thomas_laporta</v>
      </c>
      <c r="X168" s="80" t="str">
        <f>IF(ISNA(VLOOKUP($B168&amp;":"&amp;X$3,'x - authors'!$B$3:$E$10000,4,FALSE)),"",VLOOKUP($B168&amp;":"&amp;X$3,'x - authors'!$B$3:$E$10000,4,FALSE))</f>
        <v/>
      </c>
      <c r="Y168" s="80" t="str">
        <f>IF(ISNA(VLOOKUP($B168&amp;":"&amp;Y$3,'x - authors'!$B$3:$E$10000,4,FALSE)),"",VLOOKUP($B168&amp;":"&amp;Y$3,'x - authors'!$B$3:$E$10000,4,FALSE))</f>
        <v/>
      </c>
      <c r="Z168" s="80" t="str">
        <f>IF(ISNA(VLOOKUP($B168&amp;":"&amp;Z$3,'x - authors'!$B$3:$E$10000,4,FALSE)),"",VLOOKUP($B168&amp;":"&amp;Z$3,'x - authors'!$B$3:$E$10000,4,FALSE))</f>
        <v/>
      </c>
      <c r="AA168" s="80" t="str">
        <f>IF(ISNA(VLOOKUP($B168&amp;":"&amp;AA$3,'x - authors'!$B$3:$E$10000,4,FALSE)),"",VLOOKUP($B168&amp;":"&amp;AA$3,'x - authors'!$B$3:$E$10000,4,FALSE))</f>
        <v/>
      </c>
      <c r="AB168" s="80" t="str">
        <f>IF(ISNA(VLOOKUP($B168&amp;":"&amp;AB$3,'x - authors'!$B$3:$E$10000,4,FALSE)),"",VLOOKUP($B168&amp;":"&amp;AB$3,'x - authors'!$B$3:$E$10000,4,FALSE))</f>
        <v/>
      </c>
      <c r="AC168" s="80" t="str">
        <f>IF(ISNA(VLOOKUP($B168&amp;":"&amp;AC$3,'x - authors'!$B$3:$E$10000,4,FALSE)),"",VLOOKUP($B168&amp;":"&amp;AC$3,'x - authors'!$B$3:$E$10000,4,FALSE))</f>
        <v/>
      </c>
      <c r="AD168" s="80" t="str">
        <f>IF(ISNA(VLOOKUP($B168&amp;":"&amp;AD$3,'x - authors'!$B$3:$E$10000,4,FALSE)),"",VLOOKUP($B168&amp;":"&amp;AD$3,'x - authors'!$B$3:$E$10000,4,FALSE))</f>
        <v/>
      </c>
      <c r="AE168" s="80" t="str">
        <f>IF(ISNA(VLOOKUP($B168&amp;":"&amp;AE$3,'x - authors'!$B$3:$E$10000,4,FALSE)),"",VLOOKUP($B168&amp;":"&amp;AE$3,'x - authors'!$B$3:$E$10000,4,FALSE))</f>
        <v/>
      </c>
      <c r="AF168" s="80" t="str">
        <f>IF(ISNA(VLOOKUP($B168&amp;":"&amp;AF$3,'x - authors'!$B$3:$E$10000,4,FALSE)),"",VLOOKUP($B168&amp;":"&amp;AF$3,'x - authors'!$B$3:$E$10000,4,FALSE))</f>
        <v/>
      </c>
      <c r="AG168" s="80" t="str">
        <f>IF(ISNA(VLOOKUP($B168&amp;":"&amp;AG$3,'x - authors'!$B$3:$E$10000,4,FALSE)),"",VLOOKUP($B168&amp;":"&amp;AG$3,'x - authors'!$B$3:$E$10000,4,FALSE))</f>
        <v/>
      </c>
      <c r="AH168" s="80" t="str">
        <f>IF(ISNA(VLOOKUP($B168&amp;":"&amp;AH$3,'x - authors'!$B$3:$E$10000,4,FALSE)),"",VLOOKUP($B168&amp;":"&amp;AH$3,'x - authors'!$B$3:$E$10000,4,FALSE))</f>
        <v/>
      </c>
      <c r="AI168" s="80" t="str">
        <f>IF(ISNA(VLOOKUP($B168&amp;":"&amp;AI$3,'x - authors'!$B$3:$E$10000,4,FALSE)),"",VLOOKUP($B168&amp;":"&amp;AI$3,'x - authors'!$B$3:$E$10000,4,FALSE))</f>
        <v/>
      </c>
    </row>
    <row r="169" spans="2:35">
      <c r="B169" s="65" t="s">
        <v>6509</v>
      </c>
      <c r="C169" s="65" t="s">
        <v>129</v>
      </c>
      <c r="D169" s="65" t="s">
        <v>6510</v>
      </c>
      <c r="E169" s="83" t="s">
        <v>6760</v>
      </c>
      <c r="F169" s="65"/>
      <c r="G169" s="65"/>
      <c r="H169" s="65" t="s">
        <v>6511</v>
      </c>
      <c r="I169" s="65"/>
      <c r="J169" s="65" t="s">
        <v>6513</v>
      </c>
      <c r="K169" s="65"/>
      <c r="L169" s="65" t="s">
        <v>6514</v>
      </c>
      <c r="M169" s="65"/>
      <c r="N169" s="65"/>
      <c r="O169" s="15" t="str">
        <f t="shared" si="2"/>
        <v>citation:doc-x0431-01</v>
      </c>
      <c r="Q169" s="15" t="str">
        <f>VLOOKUP($O169,'x - paper citations'!$B$3:$E$2000,2,FALSE)</f>
        <v>https://scholar.google.co.uk/scholar?q=%22Cognitive and self-selective routing for sensor networks%22&amp;btnG=&amp;hl=en&amp;as_sdt=0%2C5</v>
      </c>
      <c r="R169" s="15">
        <f>VLOOKUP($O169,'x - paper citations'!$B$3:$E$2000,3,FALSE)</f>
        <v>5</v>
      </c>
      <c r="S169" s="15" t="str">
        <f>VLOOKUP($O169,'x - paper citations'!$B$3:$E$2000,4,FALSE)</f>
        <v>29/02/2016</v>
      </c>
      <c r="U169" s="80" t="str">
        <f>IF(ISNA(VLOOKUP($B169&amp;":"&amp;U$3,'x - authors'!$B$3:$E$10000,4,FALSE)),"",VLOOKUP($B169&amp;":"&amp;U$3,'x - authors'!$B$3:$E$10000,4,FALSE))</f>
        <v>erol_gelenbe</v>
      </c>
      <c r="V169" s="80" t="str">
        <f>IF(ISNA(VLOOKUP($B169&amp;":"&amp;V$3,'x - authors'!$B$3:$E$10000,4,FALSE)),"",VLOOKUP($B169&amp;":"&amp;V$3,'x - authors'!$B$3:$E$10000,4,FALSE))</f>
        <v>peng_liu</v>
      </c>
      <c r="W169" s="80" t="str">
        <f>IF(ISNA(VLOOKUP($B169&amp;":"&amp;W$3,'x - authors'!$B$3:$E$10000,4,FALSE)),"",VLOOKUP($B169&amp;":"&amp;W$3,'x - authors'!$B$3:$E$10000,4,FALSE))</f>
        <v>boleslaw_szymanski</v>
      </c>
      <c r="X169" s="80" t="str">
        <f>IF(ISNA(VLOOKUP($B169&amp;":"&amp;X$3,'x - authors'!$B$3:$E$10000,4,FALSE)),"",VLOOKUP($B169&amp;":"&amp;X$3,'x - authors'!$B$3:$E$10000,4,FALSE))</f>
        <v>christopher_morrell</v>
      </c>
      <c r="Y169" s="80" t="str">
        <f>IF(ISNA(VLOOKUP($B169&amp;":"&amp;Y$3,'x - authors'!$B$3:$E$10000,4,FALSE)),"",VLOOKUP($B169&amp;":"&amp;Y$3,'x - authors'!$B$3:$E$10000,4,FALSE))</f>
        <v/>
      </c>
      <c r="Z169" s="80" t="str">
        <f>IF(ISNA(VLOOKUP($B169&amp;":"&amp;Z$3,'x - authors'!$B$3:$E$10000,4,FALSE)),"",VLOOKUP($B169&amp;":"&amp;Z$3,'x - authors'!$B$3:$E$10000,4,FALSE))</f>
        <v/>
      </c>
      <c r="AA169" s="80" t="str">
        <f>IF(ISNA(VLOOKUP($B169&amp;":"&amp;AA$3,'x - authors'!$B$3:$E$10000,4,FALSE)),"",VLOOKUP($B169&amp;":"&amp;AA$3,'x - authors'!$B$3:$E$10000,4,FALSE))</f>
        <v/>
      </c>
      <c r="AB169" s="80" t="str">
        <f>IF(ISNA(VLOOKUP($B169&amp;":"&amp;AB$3,'x - authors'!$B$3:$E$10000,4,FALSE)),"",VLOOKUP($B169&amp;":"&amp;AB$3,'x - authors'!$B$3:$E$10000,4,FALSE))</f>
        <v/>
      </c>
      <c r="AC169" s="80" t="str">
        <f>IF(ISNA(VLOOKUP($B169&amp;":"&amp;AC$3,'x - authors'!$B$3:$E$10000,4,FALSE)),"",VLOOKUP($B169&amp;":"&amp;AC$3,'x - authors'!$B$3:$E$10000,4,FALSE))</f>
        <v/>
      </c>
      <c r="AD169" s="80" t="str">
        <f>IF(ISNA(VLOOKUP($B169&amp;":"&amp;AD$3,'x - authors'!$B$3:$E$10000,4,FALSE)),"",VLOOKUP($B169&amp;":"&amp;AD$3,'x - authors'!$B$3:$E$10000,4,FALSE))</f>
        <v/>
      </c>
      <c r="AE169" s="80" t="str">
        <f>IF(ISNA(VLOOKUP($B169&amp;":"&amp;AE$3,'x - authors'!$B$3:$E$10000,4,FALSE)),"",VLOOKUP($B169&amp;":"&amp;AE$3,'x - authors'!$B$3:$E$10000,4,FALSE))</f>
        <v/>
      </c>
      <c r="AF169" s="80" t="str">
        <f>IF(ISNA(VLOOKUP($B169&amp;":"&amp;AF$3,'x - authors'!$B$3:$E$10000,4,FALSE)),"",VLOOKUP($B169&amp;":"&amp;AF$3,'x - authors'!$B$3:$E$10000,4,FALSE))</f>
        <v/>
      </c>
      <c r="AG169" s="80" t="str">
        <f>IF(ISNA(VLOOKUP($B169&amp;":"&amp;AG$3,'x - authors'!$B$3:$E$10000,4,FALSE)),"",VLOOKUP($B169&amp;":"&amp;AG$3,'x - authors'!$B$3:$E$10000,4,FALSE))</f>
        <v/>
      </c>
      <c r="AH169" s="80" t="str">
        <f>IF(ISNA(VLOOKUP($B169&amp;":"&amp;AH$3,'x - authors'!$B$3:$E$10000,4,FALSE)),"",VLOOKUP($B169&amp;":"&amp;AH$3,'x - authors'!$B$3:$E$10000,4,FALSE))</f>
        <v/>
      </c>
      <c r="AI169" s="80" t="str">
        <f>IF(ISNA(VLOOKUP($B169&amp;":"&amp;AI$3,'x - authors'!$B$3:$E$10000,4,FALSE)),"",VLOOKUP($B169&amp;":"&amp;AI$3,'x - authors'!$B$3:$E$10000,4,FALSE))</f>
        <v/>
      </c>
    </row>
    <row r="170" spans="2:35">
      <c r="B170" s="65" t="s">
        <v>6515</v>
      </c>
      <c r="C170" s="65" t="s">
        <v>129</v>
      </c>
      <c r="D170" s="65" t="s">
        <v>6516</v>
      </c>
      <c r="E170" s="83" t="s">
        <v>6760</v>
      </c>
      <c r="F170" s="65"/>
      <c r="G170" s="65"/>
      <c r="H170" s="65" t="s">
        <v>6517</v>
      </c>
      <c r="I170" s="65"/>
      <c r="J170" s="65" t="s">
        <v>6519</v>
      </c>
      <c r="K170" s="65"/>
      <c r="L170" s="65" t="s">
        <v>6520</v>
      </c>
      <c r="M170" s="65"/>
      <c r="N170" s="65"/>
      <c r="O170" s="15" t="str">
        <f t="shared" si="2"/>
        <v>citation:doc-x0436-01</v>
      </c>
      <c r="Q170" s="15" t="str">
        <f>VLOOKUP($O170,'x - paper citations'!$B$3:$E$2000,2,FALSE)</f>
        <v>https://scholar.google.co.uk/scholar?q=%22ComboCoding: Combined Intra/Inter-Flow Network Coding for TCP over Multihop Lossy Wireless Networks%22&amp;btnG=&amp;hl=en&amp;as_sdt=0%2C5</v>
      </c>
      <c r="R170" s="15">
        <f>VLOOKUP($O170,'x - paper citations'!$B$3:$E$2000,3,FALSE)</f>
        <v>2</v>
      </c>
      <c r="S170" s="15" t="str">
        <f>VLOOKUP($O170,'x - paper citations'!$B$3:$E$2000,4,FALSE)</f>
        <v>06/03/2016</v>
      </c>
      <c r="U170" s="80" t="str">
        <f>IF(ISNA(VLOOKUP($B170&amp;":"&amp;U$3,'x - authors'!$B$3:$E$10000,4,FALSE)),"",VLOOKUP($B170&amp;":"&amp;U$3,'x - authors'!$B$3:$E$10000,4,FALSE))</f>
        <v>chien_chia_chen</v>
      </c>
      <c r="V170" s="80" t="str">
        <f>IF(ISNA(VLOOKUP($B170&amp;":"&amp;V$3,'x - authors'!$B$3:$E$10000,4,FALSE)),"",VLOOKUP($B170&amp;":"&amp;V$3,'x - authors'!$B$3:$E$10000,4,FALSE))</f>
        <v>clifford_chen</v>
      </c>
      <c r="W170" s="80" t="str">
        <f>IF(ISNA(VLOOKUP($B170&amp;":"&amp;W$3,'x - authors'!$B$3:$E$10000,4,FALSE)),"",VLOOKUP($B170&amp;":"&amp;W$3,'x - authors'!$B$3:$E$10000,4,FALSE))</f>
        <v>soon_young_oh</v>
      </c>
      <c r="X170" s="80" t="str">
        <f>IF(ISNA(VLOOKUP($B170&amp;":"&amp;X$3,'x - authors'!$B$3:$E$10000,4,FALSE)),"",VLOOKUP($B170&amp;":"&amp;X$3,'x - authors'!$B$3:$E$10000,4,FALSE))</f>
        <v>joon-sang_park</v>
      </c>
      <c r="Y170" s="80" t="str">
        <f>IF(ISNA(VLOOKUP($B170&amp;":"&amp;Y$3,'x - authors'!$B$3:$E$10000,4,FALSE)),"",VLOOKUP($B170&amp;":"&amp;Y$3,'x - authors'!$B$3:$E$10000,4,FALSE))</f>
        <v>mario_gerla</v>
      </c>
      <c r="Z170" s="80" t="str">
        <f>IF(ISNA(VLOOKUP($B170&amp;":"&amp;Z$3,'x - authors'!$B$3:$E$10000,4,FALSE)),"",VLOOKUP($B170&amp;":"&amp;Z$3,'x - authors'!$B$3:$E$10000,4,FALSE))</f>
        <v>medy_sanadidi</v>
      </c>
      <c r="AA170" s="80" t="str">
        <f>IF(ISNA(VLOOKUP($B170&amp;":"&amp;AA$3,'x - authors'!$B$3:$E$10000,4,FALSE)),"",VLOOKUP($B170&amp;":"&amp;AA$3,'x - authors'!$B$3:$E$10000,4,FALSE))</f>
        <v/>
      </c>
      <c r="AB170" s="80" t="str">
        <f>IF(ISNA(VLOOKUP($B170&amp;":"&amp;AB$3,'x - authors'!$B$3:$E$10000,4,FALSE)),"",VLOOKUP($B170&amp;":"&amp;AB$3,'x - authors'!$B$3:$E$10000,4,FALSE))</f>
        <v/>
      </c>
      <c r="AC170" s="80" t="str">
        <f>IF(ISNA(VLOOKUP($B170&amp;":"&amp;AC$3,'x - authors'!$B$3:$E$10000,4,FALSE)),"",VLOOKUP($B170&amp;":"&amp;AC$3,'x - authors'!$B$3:$E$10000,4,FALSE))</f>
        <v/>
      </c>
      <c r="AD170" s="80" t="str">
        <f>IF(ISNA(VLOOKUP($B170&amp;":"&amp;AD$3,'x - authors'!$B$3:$E$10000,4,FALSE)),"",VLOOKUP($B170&amp;":"&amp;AD$3,'x - authors'!$B$3:$E$10000,4,FALSE))</f>
        <v/>
      </c>
      <c r="AE170" s="80" t="str">
        <f>IF(ISNA(VLOOKUP($B170&amp;":"&amp;AE$3,'x - authors'!$B$3:$E$10000,4,FALSE)),"",VLOOKUP($B170&amp;":"&amp;AE$3,'x - authors'!$B$3:$E$10000,4,FALSE))</f>
        <v/>
      </c>
      <c r="AF170" s="80" t="str">
        <f>IF(ISNA(VLOOKUP($B170&amp;":"&amp;AF$3,'x - authors'!$B$3:$E$10000,4,FALSE)),"",VLOOKUP($B170&amp;":"&amp;AF$3,'x - authors'!$B$3:$E$10000,4,FALSE))</f>
        <v/>
      </c>
      <c r="AG170" s="80" t="str">
        <f>IF(ISNA(VLOOKUP($B170&amp;":"&amp;AG$3,'x - authors'!$B$3:$E$10000,4,FALSE)),"",VLOOKUP($B170&amp;":"&amp;AG$3,'x - authors'!$B$3:$E$10000,4,FALSE))</f>
        <v/>
      </c>
      <c r="AH170" s="80" t="str">
        <f>IF(ISNA(VLOOKUP($B170&amp;":"&amp;AH$3,'x - authors'!$B$3:$E$10000,4,FALSE)),"",VLOOKUP($B170&amp;":"&amp;AH$3,'x - authors'!$B$3:$E$10000,4,FALSE))</f>
        <v/>
      </c>
      <c r="AI170" s="80" t="str">
        <f>IF(ISNA(VLOOKUP($B170&amp;":"&amp;AI$3,'x - authors'!$B$3:$E$10000,4,FALSE)),"",VLOOKUP($B170&amp;":"&amp;AI$3,'x - authors'!$B$3:$E$10000,4,FALSE))</f>
        <v/>
      </c>
    </row>
    <row r="171" spans="2:35">
      <c r="B171" s="65" t="s">
        <v>6521</v>
      </c>
      <c r="C171" s="65" t="s">
        <v>129</v>
      </c>
      <c r="D171" s="65" t="s">
        <v>6522</v>
      </c>
      <c r="E171" s="83" t="s">
        <v>6761</v>
      </c>
      <c r="F171" s="65"/>
      <c r="G171" s="65"/>
      <c r="H171" s="65" t="s">
        <v>6523</v>
      </c>
      <c r="I171" s="65"/>
      <c r="J171" s="65"/>
      <c r="K171" s="65"/>
      <c r="L171" s="65" t="s">
        <v>6261</v>
      </c>
      <c r="M171" s="65"/>
      <c r="N171" s="65"/>
      <c r="O171" s="15" t="str">
        <f t="shared" si="2"/>
        <v>citation:doc-x0448-01</v>
      </c>
      <c r="Q171" s="15" t="str">
        <f>VLOOKUP($O171,'x - paper citations'!$B$3:$E$2000,2,FALSE)</f>
        <v>https://scholar.google.co.uk/scholar?q=%22Control-theoretic utility maximization in multihop wireless networks under mission dynamics%22&amp;btnG=&amp;hl=en&amp;as_sdt=0%2C5</v>
      </c>
      <c r="R171" s="15">
        <f>VLOOKUP($O171,'x - paper citations'!$B$3:$E$2000,3,FALSE)</f>
        <v>0</v>
      </c>
      <c r="S171" s="15" t="str">
        <f>VLOOKUP($O171,'x - paper citations'!$B$3:$E$2000,4,FALSE)</f>
        <v>29/02/2016</v>
      </c>
      <c r="U171" s="80" t="str">
        <f>IF(ISNA(VLOOKUP($B171&amp;":"&amp;U$3,'x - authors'!$B$3:$E$10000,4,FALSE)),"",VLOOKUP($B171&amp;":"&amp;U$3,'x - authors'!$B$3:$E$10000,4,FALSE))</f>
        <v>sharanya_eswaran</v>
      </c>
      <c r="V171" s="80" t="str">
        <f>IF(ISNA(VLOOKUP($B171&amp;":"&amp;V$3,'x - authors'!$B$3:$E$10000,4,FALSE)),"",VLOOKUP($B171&amp;":"&amp;V$3,'x - authors'!$B$3:$E$10000,4,FALSE))</f>
        <v>archan_misra</v>
      </c>
      <c r="W171" s="80" t="str">
        <f>IF(ISNA(VLOOKUP($B171&amp;":"&amp;W$3,'x - authors'!$B$3:$E$10000,4,FALSE)),"",VLOOKUP($B171&amp;":"&amp;W$3,'x - authors'!$B$3:$E$10000,4,FALSE))</f>
        <v>thomas_laporta</v>
      </c>
      <c r="X171" s="80" t="str">
        <f>IF(ISNA(VLOOKUP($B171&amp;":"&amp;X$3,'x - authors'!$B$3:$E$10000,4,FALSE)),"",VLOOKUP($B171&amp;":"&amp;X$3,'x - authors'!$B$3:$E$10000,4,FALSE))</f>
        <v/>
      </c>
      <c r="Y171" s="80" t="str">
        <f>IF(ISNA(VLOOKUP($B171&amp;":"&amp;Y$3,'x - authors'!$B$3:$E$10000,4,FALSE)),"",VLOOKUP($B171&amp;":"&amp;Y$3,'x - authors'!$B$3:$E$10000,4,FALSE))</f>
        <v/>
      </c>
      <c r="Z171" s="80" t="str">
        <f>IF(ISNA(VLOOKUP($B171&amp;":"&amp;Z$3,'x - authors'!$B$3:$E$10000,4,FALSE)),"",VLOOKUP($B171&amp;":"&amp;Z$3,'x - authors'!$B$3:$E$10000,4,FALSE))</f>
        <v/>
      </c>
      <c r="AA171" s="80" t="str">
        <f>IF(ISNA(VLOOKUP($B171&amp;":"&amp;AA$3,'x - authors'!$B$3:$E$10000,4,FALSE)),"",VLOOKUP($B171&amp;":"&amp;AA$3,'x - authors'!$B$3:$E$10000,4,FALSE))</f>
        <v/>
      </c>
      <c r="AB171" s="80" t="str">
        <f>IF(ISNA(VLOOKUP($B171&amp;":"&amp;AB$3,'x - authors'!$B$3:$E$10000,4,FALSE)),"",VLOOKUP($B171&amp;":"&amp;AB$3,'x - authors'!$B$3:$E$10000,4,FALSE))</f>
        <v/>
      </c>
      <c r="AC171" s="80" t="str">
        <f>IF(ISNA(VLOOKUP($B171&amp;":"&amp;AC$3,'x - authors'!$B$3:$E$10000,4,FALSE)),"",VLOOKUP($B171&amp;":"&amp;AC$3,'x - authors'!$B$3:$E$10000,4,FALSE))</f>
        <v/>
      </c>
      <c r="AD171" s="80" t="str">
        <f>IF(ISNA(VLOOKUP($B171&amp;":"&amp;AD$3,'x - authors'!$B$3:$E$10000,4,FALSE)),"",VLOOKUP($B171&amp;":"&amp;AD$3,'x - authors'!$B$3:$E$10000,4,FALSE))</f>
        <v/>
      </c>
      <c r="AE171" s="80" t="str">
        <f>IF(ISNA(VLOOKUP($B171&amp;":"&amp;AE$3,'x - authors'!$B$3:$E$10000,4,FALSE)),"",VLOOKUP($B171&amp;":"&amp;AE$3,'x - authors'!$B$3:$E$10000,4,FALSE))</f>
        <v/>
      </c>
      <c r="AF171" s="80" t="str">
        <f>IF(ISNA(VLOOKUP($B171&amp;":"&amp;AF$3,'x - authors'!$B$3:$E$10000,4,FALSE)),"",VLOOKUP($B171&amp;":"&amp;AF$3,'x - authors'!$B$3:$E$10000,4,FALSE))</f>
        <v/>
      </c>
      <c r="AG171" s="80" t="str">
        <f>IF(ISNA(VLOOKUP($B171&amp;":"&amp;AG$3,'x - authors'!$B$3:$E$10000,4,FALSE)),"",VLOOKUP($B171&amp;":"&amp;AG$3,'x - authors'!$B$3:$E$10000,4,FALSE))</f>
        <v/>
      </c>
      <c r="AH171" s="80" t="str">
        <f>IF(ISNA(VLOOKUP($B171&amp;":"&amp;AH$3,'x - authors'!$B$3:$E$10000,4,FALSE)),"",VLOOKUP($B171&amp;":"&amp;AH$3,'x - authors'!$B$3:$E$10000,4,FALSE))</f>
        <v/>
      </c>
      <c r="AI171" s="80" t="str">
        <f>IF(ISNA(VLOOKUP($B171&amp;":"&amp;AI$3,'x - authors'!$B$3:$E$10000,4,FALSE)),"",VLOOKUP($B171&amp;":"&amp;AI$3,'x - authors'!$B$3:$E$10000,4,FALSE))</f>
        <v/>
      </c>
    </row>
    <row r="172" spans="2:35">
      <c r="B172" s="65" t="s">
        <v>6525</v>
      </c>
      <c r="C172" s="65" t="s">
        <v>129</v>
      </c>
      <c r="D172" s="65" t="s">
        <v>6526</v>
      </c>
      <c r="E172" s="83" t="s">
        <v>142</v>
      </c>
      <c r="F172" s="65"/>
      <c r="G172" s="65"/>
      <c r="H172" s="65" t="s">
        <v>6527</v>
      </c>
      <c r="I172" s="65"/>
      <c r="J172" s="65" t="s">
        <v>6529</v>
      </c>
      <c r="K172" s="65"/>
      <c r="L172" s="65" t="s">
        <v>6530</v>
      </c>
      <c r="M172" s="65"/>
      <c r="N172" s="65"/>
      <c r="O172" s="15" t="str">
        <f t="shared" si="2"/>
        <v>citation:doc-x0460-01</v>
      </c>
      <c r="Q172" s="15" t="str">
        <f>VLOOKUP($O172,'x - paper citations'!$B$3:$E$2000,2,FALSE)</f>
        <v>https://scholar.google.co.uk/scholar?q=%22Cooperative sensor anomaly detection using global information%22&amp;btnG=&amp;hl=en&amp;as_sdt=0%2C5</v>
      </c>
      <c r="R172" s="15">
        <f>VLOOKUP($O172,'x - paper citations'!$B$3:$E$2000,3,FALSE)</f>
        <v>4</v>
      </c>
      <c r="S172" s="15" t="str">
        <f>VLOOKUP($O172,'x - paper citations'!$B$3:$E$2000,4,FALSE)</f>
        <v>06/03/2016</v>
      </c>
      <c r="U172" s="80" t="str">
        <f>IF(ISNA(VLOOKUP($B172&amp;":"&amp;U$3,'x - authors'!$B$3:$E$10000,4,FALSE)),"",VLOOKUP($B172&amp;":"&amp;U$3,'x - authors'!$B$3:$E$10000,4,FALSE))</f>
        <v>rui_zhang</v>
      </c>
      <c r="V172" s="80" t="str">
        <f>IF(ISNA(VLOOKUP($B172&amp;":"&amp;V$3,'x - authors'!$B$3:$E$10000,4,FALSE)),"",VLOOKUP($B172&amp;":"&amp;V$3,'x - authors'!$B$3:$E$10000,4,FALSE))</f>
        <v>ping_ji</v>
      </c>
      <c r="W172" s="80" t="str">
        <f>IF(ISNA(VLOOKUP($B172&amp;":"&amp;W$3,'x - authors'!$B$3:$E$10000,4,FALSE)),"",VLOOKUP($B172&amp;":"&amp;W$3,'x - authors'!$B$3:$E$10000,4,FALSE))</f>
        <v>dinkar_mylaraswamy</v>
      </c>
      <c r="X172" s="80" t="str">
        <f>IF(ISNA(VLOOKUP($B172&amp;":"&amp;X$3,'x - authors'!$B$3:$E$10000,4,FALSE)),"",VLOOKUP($B172&amp;":"&amp;X$3,'x - authors'!$B$3:$E$10000,4,FALSE))</f>
        <v>mani_srivastava</v>
      </c>
      <c r="Y172" s="80" t="str">
        <f>IF(ISNA(VLOOKUP($B172&amp;":"&amp;Y$3,'x - authors'!$B$3:$E$10000,4,FALSE)),"",VLOOKUP($B172&amp;":"&amp;Y$3,'x - authors'!$B$3:$E$10000,4,FALSE))</f>
        <v>sadaf_zahedi</v>
      </c>
      <c r="Z172" s="80" t="str">
        <f>IF(ISNA(VLOOKUP($B172&amp;":"&amp;Z$3,'x - authors'!$B$3:$E$10000,4,FALSE)),"",VLOOKUP($B172&amp;":"&amp;Z$3,'x - authors'!$B$3:$E$10000,4,FALSE))</f>
        <v/>
      </c>
      <c r="AA172" s="80" t="str">
        <f>IF(ISNA(VLOOKUP($B172&amp;":"&amp;AA$3,'x - authors'!$B$3:$E$10000,4,FALSE)),"",VLOOKUP($B172&amp;":"&amp;AA$3,'x - authors'!$B$3:$E$10000,4,FALSE))</f>
        <v/>
      </c>
      <c r="AB172" s="80" t="str">
        <f>IF(ISNA(VLOOKUP($B172&amp;":"&amp;AB$3,'x - authors'!$B$3:$E$10000,4,FALSE)),"",VLOOKUP($B172&amp;":"&amp;AB$3,'x - authors'!$B$3:$E$10000,4,FALSE))</f>
        <v/>
      </c>
      <c r="AC172" s="80" t="str">
        <f>IF(ISNA(VLOOKUP($B172&amp;":"&amp;AC$3,'x - authors'!$B$3:$E$10000,4,FALSE)),"",VLOOKUP($B172&amp;":"&amp;AC$3,'x - authors'!$B$3:$E$10000,4,FALSE))</f>
        <v/>
      </c>
      <c r="AD172" s="80" t="str">
        <f>IF(ISNA(VLOOKUP($B172&amp;":"&amp;AD$3,'x - authors'!$B$3:$E$10000,4,FALSE)),"",VLOOKUP($B172&amp;":"&amp;AD$3,'x - authors'!$B$3:$E$10000,4,FALSE))</f>
        <v/>
      </c>
      <c r="AE172" s="80" t="str">
        <f>IF(ISNA(VLOOKUP($B172&amp;":"&amp;AE$3,'x - authors'!$B$3:$E$10000,4,FALSE)),"",VLOOKUP($B172&amp;":"&amp;AE$3,'x - authors'!$B$3:$E$10000,4,FALSE))</f>
        <v/>
      </c>
      <c r="AF172" s="80" t="str">
        <f>IF(ISNA(VLOOKUP($B172&amp;":"&amp;AF$3,'x - authors'!$B$3:$E$10000,4,FALSE)),"",VLOOKUP($B172&amp;":"&amp;AF$3,'x - authors'!$B$3:$E$10000,4,FALSE))</f>
        <v/>
      </c>
      <c r="AG172" s="80" t="str">
        <f>IF(ISNA(VLOOKUP($B172&amp;":"&amp;AG$3,'x - authors'!$B$3:$E$10000,4,FALSE)),"",VLOOKUP($B172&amp;":"&amp;AG$3,'x - authors'!$B$3:$E$10000,4,FALSE))</f>
        <v/>
      </c>
      <c r="AH172" s="80" t="str">
        <f>IF(ISNA(VLOOKUP($B172&amp;":"&amp;AH$3,'x - authors'!$B$3:$E$10000,4,FALSE)),"",VLOOKUP($B172&amp;":"&amp;AH$3,'x - authors'!$B$3:$E$10000,4,FALSE))</f>
        <v/>
      </c>
      <c r="AI172" s="80" t="str">
        <f>IF(ISNA(VLOOKUP($B172&amp;":"&amp;AI$3,'x - authors'!$B$3:$E$10000,4,FALSE)),"",VLOOKUP($B172&amp;":"&amp;AI$3,'x - authors'!$B$3:$E$10000,4,FALSE))</f>
        <v/>
      </c>
    </row>
    <row r="173" spans="2:35">
      <c r="B173" s="65" t="s">
        <v>6531</v>
      </c>
      <c r="C173" s="65" t="s">
        <v>129</v>
      </c>
      <c r="D173" s="65" t="s">
        <v>6532</v>
      </c>
      <c r="E173" s="83" t="s">
        <v>991</v>
      </c>
      <c r="F173" s="65"/>
      <c r="G173" s="65"/>
      <c r="H173" s="65" t="s">
        <v>6533</v>
      </c>
      <c r="I173" s="65"/>
      <c r="J173" s="65"/>
      <c r="K173" s="65"/>
      <c r="L173" s="65" t="s">
        <v>6261</v>
      </c>
      <c r="M173" s="65"/>
      <c r="N173" s="65"/>
      <c r="O173" s="15" t="str">
        <f t="shared" si="2"/>
        <v>citation:doc-x0461-01</v>
      </c>
      <c r="Q173" s="15" t="str">
        <f>VLOOKUP($O173,'x - paper citations'!$B$3:$E$2000,2,FALSE)</f>
        <v>https://scholar.google.co.uk/scholar?q=%22Cooperative wireless networks: from radio to network protocol designs%22&amp;btnG=&amp;hl=en&amp;as_sdt=0%2C5</v>
      </c>
      <c r="R173" s="15">
        <f>VLOOKUP($O173,'x - paper citations'!$B$3:$E$2000,3,FALSE)</f>
        <v>61</v>
      </c>
      <c r="S173" s="15" t="str">
        <f>VLOOKUP($O173,'x - paper citations'!$B$3:$E$2000,4,FALSE)</f>
        <v>06/03/2016</v>
      </c>
      <c r="U173" s="80" t="str">
        <f>IF(ISNA(VLOOKUP($B173&amp;":"&amp;U$3,'x - authors'!$B$3:$E$10000,4,FALSE)),"",VLOOKUP($B173&amp;":"&amp;U$3,'x - authors'!$B$3:$E$10000,4,FALSE))</f>
        <v>zhengguo_sheng</v>
      </c>
      <c r="V173" s="80" t="str">
        <f>IF(ISNA(VLOOKUP($B173&amp;":"&amp;V$3,'x - authors'!$B$3:$E$10000,4,FALSE)),"",VLOOKUP($B173&amp;":"&amp;V$3,'x - authors'!$B$3:$E$10000,4,FALSE))</f>
        <v>kin_leung</v>
      </c>
      <c r="W173" s="80" t="str">
        <f>IF(ISNA(VLOOKUP($B173&amp;":"&amp;W$3,'x - authors'!$B$3:$E$10000,4,FALSE)),"",VLOOKUP($B173&amp;":"&amp;W$3,'x - authors'!$B$3:$E$10000,4,FALSE))</f>
        <v>zhiguo_ding</v>
      </c>
      <c r="X173" s="80" t="str">
        <f>IF(ISNA(VLOOKUP($B173&amp;":"&amp;X$3,'x - authors'!$B$3:$E$10000,4,FALSE)),"",VLOOKUP($B173&amp;":"&amp;X$3,'x - authors'!$B$3:$E$10000,4,FALSE))</f>
        <v/>
      </c>
      <c r="Y173" s="80" t="str">
        <f>IF(ISNA(VLOOKUP($B173&amp;":"&amp;Y$3,'x - authors'!$B$3:$E$10000,4,FALSE)),"",VLOOKUP($B173&amp;":"&amp;Y$3,'x - authors'!$B$3:$E$10000,4,FALSE))</f>
        <v/>
      </c>
      <c r="Z173" s="80" t="str">
        <f>IF(ISNA(VLOOKUP($B173&amp;":"&amp;Z$3,'x - authors'!$B$3:$E$10000,4,FALSE)),"",VLOOKUP($B173&amp;":"&amp;Z$3,'x - authors'!$B$3:$E$10000,4,FALSE))</f>
        <v/>
      </c>
      <c r="AA173" s="80" t="str">
        <f>IF(ISNA(VLOOKUP($B173&amp;":"&amp;AA$3,'x - authors'!$B$3:$E$10000,4,FALSE)),"",VLOOKUP($B173&amp;":"&amp;AA$3,'x - authors'!$B$3:$E$10000,4,FALSE))</f>
        <v/>
      </c>
      <c r="AB173" s="80" t="str">
        <f>IF(ISNA(VLOOKUP($B173&amp;":"&amp;AB$3,'x - authors'!$B$3:$E$10000,4,FALSE)),"",VLOOKUP($B173&amp;":"&amp;AB$3,'x - authors'!$B$3:$E$10000,4,FALSE))</f>
        <v/>
      </c>
      <c r="AC173" s="80" t="str">
        <f>IF(ISNA(VLOOKUP($B173&amp;":"&amp;AC$3,'x - authors'!$B$3:$E$10000,4,FALSE)),"",VLOOKUP($B173&amp;":"&amp;AC$3,'x - authors'!$B$3:$E$10000,4,FALSE))</f>
        <v/>
      </c>
      <c r="AD173" s="80" t="str">
        <f>IF(ISNA(VLOOKUP($B173&amp;":"&amp;AD$3,'x - authors'!$B$3:$E$10000,4,FALSE)),"",VLOOKUP($B173&amp;":"&amp;AD$3,'x - authors'!$B$3:$E$10000,4,FALSE))</f>
        <v/>
      </c>
      <c r="AE173" s="80" t="str">
        <f>IF(ISNA(VLOOKUP($B173&amp;":"&amp;AE$3,'x - authors'!$B$3:$E$10000,4,FALSE)),"",VLOOKUP($B173&amp;":"&amp;AE$3,'x - authors'!$B$3:$E$10000,4,FALSE))</f>
        <v/>
      </c>
      <c r="AF173" s="80" t="str">
        <f>IF(ISNA(VLOOKUP($B173&amp;":"&amp;AF$3,'x - authors'!$B$3:$E$10000,4,FALSE)),"",VLOOKUP($B173&amp;":"&amp;AF$3,'x - authors'!$B$3:$E$10000,4,FALSE))</f>
        <v/>
      </c>
      <c r="AG173" s="80" t="str">
        <f>IF(ISNA(VLOOKUP($B173&amp;":"&amp;AG$3,'x - authors'!$B$3:$E$10000,4,FALSE)),"",VLOOKUP($B173&amp;":"&amp;AG$3,'x - authors'!$B$3:$E$10000,4,FALSE))</f>
        <v/>
      </c>
      <c r="AH173" s="80" t="str">
        <f>IF(ISNA(VLOOKUP($B173&amp;":"&amp;AH$3,'x - authors'!$B$3:$E$10000,4,FALSE)),"",VLOOKUP($B173&amp;":"&amp;AH$3,'x - authors'!$B$3:$E$10000,4,FALSE))</f>
        <v/>
      </c>
      <c r="AI173" s="80" t="str">
        <f>IF(ISNA(VLOOKUP($B173&amp;":"&amp;AI$3,'x - authors'!$B$3:$E$10000,4,FALSE)),"",VLOOKUP($B173&amp;":"&amp;AI$3,'x - authors'!$B$3:$E$10000,4,FALSE))</f>
        <v/>
      </c>
    </row>
    <row r="174" spans="2:35">
      <c r="B174" s="65" t="s">
        <v>6535</v>
      </c>
      <c r="C174" s="65" t="s">
        <v>129</v>
      </c>
      <c r="D174" s="65" t="s">
        <v>6536</v>
      </c>
      <c r="E174" s="83" t="s">
        <v>6756</v>
      </c>
      <c r="F174" s="65"/>
      <c r="G174" s="65"/>
      <c r="H174" s="65" t="s">
        <v>6537</v>
      </c>
      <c r="I174" s="65"/>
      <c r="J174" s="65" t="s">
        <v>6539</v>
      </c>
      <c r="K174" s="65"/>
      <c r="L174" s="65" t="s">
        <v>6540</v>
      </c>
      <c r="M174" s="65"/>
      <c r="N174" s="65"/>
      <c r="O174" s="15" t="str">
        <f t="shared" si="2"/>
        <v>citation:doc-x0501-01</v>
      </c>
      <c r="Q174" s="15" t="str">
        <f>VLOOKUP($O174,'x - paper citations'!$B$3:$E$2000,2,FALSE)</f>
        <v>https://scholar.google.co.uk/scholar?q=%22Distributed stochastic cross-layer optimization for multi-hop wireless networks with cooperative communications%22&amp;btnG=&amp;hl=en&amp;as_sdt=0%2C5</v>
      </c>
      <c r="R174" s="15">
        <f>VLOOKUP($O174,'x - paper citations'!$B$3:$E$2000,3,FALSE)</f>
        <v>5</v>
      </c>
      <c r="S174" s="15" t="str">
        <f>VLOOKUP($O174,'x - paper citations'!$B$3:$E$2000,4,FALSE)</f>
        <v>29/02/2016</v>
      </c>
      <c r="U174" s="80" t="str">
        <f>IF(ISNA(VLOOKUP($B174&amp;":"&amp;U$3,'x - authors'!$B$3:$E$10000,4,FALSE)),"",VLOOKUP($B174&amp;":"&amp;U$3,'x - authors'!$B$3:$E$10000,4,FALSE))</f>
        <v>shusen_yang</v>
      </c>
      <c r="V174" s="80" t="str">
        <f>IF(ISNA(VLOOKUP($B174&amp;":"&amp;V$3,'x - authors'!$B$3:$E$10000,4,FALSE)),"",VLOOKUP($B174&amp;":"&amp;V$3,'x - authors'!$B$3:$E$10000,4,FALSE))</f>
        <v>zhengguo_sheng</v>
      </c>
      <c r="W174" s="80" t="str">
        <f>IF(ISNA(VLOOKUP($B174&amp;":"&amp;W$3,'x - authors'!$B$3:$E$10000,4,FALSE)),"",VLOOKUP($B174&amp;":"&amp;W$3,'x - authors'!$B$3:$E$10000,4,FALSE))</f>
        <v>julie_mccann</v>
      </c>
      <c r="X174" s="80" t="str">
        <f>IF(ISNA(VLOOKUP($B174&amp;":"&amp;X$3,'x - authors'!$B$3:$E$10000,4,FALSE)),"",VLOOKUP($B174&amp;":"&amp;X$3,'x - authors'!$B$3:$E$10000,4,FALSE))</f>
        <v>kin_leung</v>
      </c>
      <c r="Y174" s="80" t="str">
        <f>IF(ISNA(VLOOKUP($B174&amp;":"&amp;Y$3,'x - authors'!$B$3:$E$10000,4,FALSE)),"",VLOOKUP($B174&amp;":"&amp;Y$3,'x - authors'!$B$3:$E$10000,4,FALSE))</f>
        <v/>
      </c>
      <c r="Z174" s="80" t="str">
        <f>IF(ISNA(VLOOKUP($B174&amp;":"&amp;Z$3,'x - authors'!$B$3:$E$10000,4,FALSE)),"",VLOOKUP($B174&amp;":"&amp;Z$3,'x - authors'!$B$3:$E$10000,4,FALSE))</f>
        <v/>
      </c>
      <c r="AA174" s="80" t="str">
        <f>IF(ISNA(VLOOKUP($B174&amp;":"&amp;AA$3,'x - authors'!$B$3:$E$10000,4,FALSE)),"",VLOOKUP($B174&amp;":"&amp;AA$3,'x - authors'!$B$3:$E$10000,4,FALSE))</f>
        <v/>
      </c>
      <c r="AB174" s="80" t="str">
        <f>IF(ISNA(VLOOKUP($B174&amp;":"&amp;AB$3,'x - authors'!$B$3:$E$10000,4,FALSE)),"",VLOOKUP($B174&amp;":"&amp;AB$3,'x - authors'!$B$3:$E$10000,4,FALSE))</f>
        <v/>
      </c>
      <c r="AC174" s="80" t="str">
        <f>IF(ISNA(VLOOKUP($B174&amp;":"&amp;AC$3,'x - authors'!$B$3:$E$10000,4,FALSE)),"",VLOOKUP($B174&amp;":"&amp;AC$3,'x - authors'!$B$3:$E$10000,4,FALSE))</f>
        <v/>
      </c>
      <c r="AD174" s="80" t="str">
        <f>IF(ISNA(VLOOKUP($B174&amp;":"&amp;AD$3,'x - authors'!$B$3:$E$10000,4,FALSE)),"",VLOOKUP($B174&amp;":"&amp;AD$3,'x - authors'!$B$3:$E$10000,4,FALSE))</f>
        <v/>
      </c>
      <c r="AE174" s="80" t="str">
        <f>IF(ISNA(VLOOKUP($B174&amp;":"&amp;AE$3,'x - authors'!$B$3:$E$10000,4,FALSE)),"",VLOOKUP($B174&amp;":"&amp;AE$3,'x - authors'!$B$3:$E$10000,4,FALSE))</f>
        <v/>
      </c>
      <c r="AF174" s="80" t="str">
        <f>IF(ISNA(VLOOKUP($B174&amp;":"&amp;AF$3,'x - authors'!$B$3:$E$10000,4,FALSE)),"",VLOOKUP($B174&amp;":"&amp;AF$3,'x - authors'!$B$3:$E$10000,4,FALSE))</f>
        <v/>
      </c>
      <c r="AG174" s="80" t="str">
        <f>IF(ISNA(VLOOKUP($B174&amp;":"&amp;AG$3,'x - authors'!$B$3:$E$10000,4,FALSE)),"",VLOOKUP($B174&amp;":"&amp;AG$3,'x - authors'!$B$3:$E$10000,4,FALSE))</f>
        <v/>
      </c>
      <c r="AH174" s="80" t="str">
        <f>IF(ISNA(VLOOKUP($B174&amp;":"&amp;AH$3,'x - authors'!$B$3:$E$10000,4,FALSE)),"",VLOOKUP($B174&amp;":"&amp;AH$3,'x - authors'!$B$3:$E$10000,4,FALSE))</f>
        <v/>
      </c>
      <c r="AI174" s="80" t="str">
        <f>IF(ISNA(VLOOKUP($B174&amp;":"&amp;AI$3,'x - authors'!$B$3:$E$10000,4,FALSE)),"",VLOOKUP($B174&amp;":"&amp;AI$3,'x - authors'!$B$3:$E$10000,4,FALSE))</f>
        <v/>
      </c>
    </row>
    <row r="175" spans="2:35">
      <c r="B175" s="65" t="s">
        <v>6541</v>
      </c>
      <c r="C175" s="65" t="s">
        <v>129</v>
      </c>
      <c r="D175" s="65" t="s">
        <v>6542</v>
      </c>
      <c r="E175" s="83" t="s">
        <v>142</v>
      </c>
      <c r="F175" s="65"/>
      <c r="G175" s="65"/>
      <c r="H175" s="65" t="s">
        <v>6543</v>
      </c>
      <c r="I175" s="65"/>
      <c r="J175" s="65" t="s">
        <v>6545</v>
      </c>
      <c r="K175" s="65"/>
      <c r="L175" s="65" t="s">
        <v>6546</v>
      </c>
      <c r="M175" s="65"/>
      <c r="N175" s="65"/>
      <c r="O175" s="15" t="str">
        <f t="shared" si="2"/>
        <v>citation:doc-x0535-01</v>
      </c>
      <c r="Q175" s="15" t="str">
        <f>VLOOKUP($O175,'x - paper citations'!$B$3:$E$2000,2,FALSE)</f>
        <v>https://scholar.google.co.uk/scholar?q=%22Evaluating temporal robustness of mobile networks%22&amp;btnG=&amp;hl=en&amp;as_sdt=0%2C5</v>
      </c>
      <c r="R175" s="15">
        <f>VLOOKUP($O175,'x - paper citations'!$B$3:$E$2000,3,FALSE)</f>
        <v>25</v>
      </c>
      <c r="S175" s="15" t="str">
        <f>VLOOKUP($O175,'x - paper citations'!$B$3:$E$2000,4,FALSE)</f>
        <v>29/02/2016</v>
      </c>
      <c r="U175" s="80" t="str">
        <f>IF(ISNA(VLOOKUP($B175&amp;":"&amp;U$3,'x - authors'!$B$3:$E$10000,4,FALSE)),"",VLOOKUP($B175&amp;":"&amp;U$3,'x - authors'!$B$3:$E$10000,4,FALSE))</f>
        <v>salvatore_scellato</v>
      </c>
      <c r="V175" s="80" t="str">
        <f>IF(ISNA(VLOOKUP($B175&amp;":"&amp;V$3,'x - authors'!$B$3:$E$10000,4,FALSE)),"",VLOOKUP($B175&amp;":"&amp;V$3,'x - authors'!$B$3:$E$10000,4,FALSE))</f>
        <v>ilias_leontiadis</v>
      </c>
      <c r="W175" s="80" t="str">
        <f>IF(ISNA(VLOOKUP($B175&amp;":"&amp;W$3,'x - authors'!$B$3:$E$10000,4,FALSE)),"",VLOOKUP($B175&amp;":"&amp;W$3,'x - authors'!$B$3:$E$10000,4,FALSE))</f>
        <v>cecilia_mascolo</v>
      </c>
      <c r="X175" s="80" t="str">
        <f>IF(ISNA(VLOOKUP($B175&amp;":"&amp;X$3,'x - authors'!$B$3:$E$10000,4,FALSE)),"",VLOOKUP($B175&amp;":"&amp;X$3,'x - authors'!$B$3:$E$10000,4,FALSE))</f>
        <v>prithwish_basu</v>
      </c>
      <c r="Y175" s="80" t="str">
        <f>IF(ISNA(VLOOKUP($B175&amp;":"&amp;Y$3,'x - authors'!$B$3:$E$10000,4,FALSE)),"",VLOOKUP($B175&amp;":"&amp;Y$3,'x - authors'!$B$3:$E$10000,4,FALSE))</f>
        <v>murtaza_zafer</v>
      </c>
      <c r="Z175" s="80" t="str">
        <f>IF(ISNA(VLOOKUP($B175&amp;":"&amp;Z$3,'x - authors'!$B$3:$E$10000,4,FALSE)),"",VLOOKUP($B175&amp;":"&amp;Z$3,'x - authors'!$B$3:$E$10000,4,FALSE))</f>
        <v/>
      </c>
      <c r="AA175" s="80" t="str">
        <f>IF(ISNA(VLOOKUP($B175&amp;":"&amp;AA$3,'x - authors'!$B$3:$E$10000,4,FALSE)),"",VLOOKUP($B175&amp;":"&amp;AA$3,'x - authors'!$B$3:$E$10000,4,FALSE))</f>
        <v/>
      </c>
      <c r="AB175" s="80" t="str">
        <f>IF(ISNA(VLOOKUP($B175&amp;":"&amp;AB$3,'x - authors'!$B$3:$E$10000,4,FALSE)),"",VLOOKUP($B175&amp;":"&amp;AB$3,'x - authors'!$B$3:$E$10000,4,FALSE))</f>
        <v/>
      </c>
      <c r="AC175" s="80" t="str">
        <f>IF(ISNA(VLOOKUP($B175&amp;":"&amp;AC$3,'x - authors'!$B$3:$E$10000,4,FALSE)),"",VLOOKUP($B175&amp;":"&amp;AC$3,'x - authors'!$B$3:$E$10000,4,FALSE))</f>
        <v/>
      </c>
      <c r="AD175" s="80" t="str">
        <f>IF(ISNA(VLOOKUP($B175&amp;":"&amp;AD$3,'x - authors'!$B$3:$E$10000,4,FALSE)),"",VLOOKUP($B175&amp;":"&amp;AD$3,'x - authors'!$B$3:$E$10000,4,FALSE))</f>
        <v/>
      </c>
      <c r="AE175" s="80" t="str">
        <f>IF(ISNA(VLOOKUP($B175&amp;":"&amp;AE$3,'x - authors'!$B$3:$E$10000,4,FALSE)),"",VLOOKUP($B175&amp;":"&amp;AE$3,'x - authors'!$B$3:$E$10000,4,FALSE))</f>
        <v/>
      </c>
      <c r="AF175" s="80" t="str">
        <f>IF(ISNA(VLOOKUP($B175&amp;":"&amp;AF$3,'x - authors'!$B$3:$E$10000,4,FALSE)),"",VLOOKUP($B175&amp;":"&amp;AF$3,'x - authors'!$B$3:$E$10000,4,FALSE))</f>
        <v/>
      </c>
      <c r="AG175" s="80" t="str">
        <f>IF(ISNA(VLOOKUP($B175&amp;":"&amp;AG$3,'x - authors'!$B$3:$E$10000,4,FALSE)),"",VLOOKUP($B175&amp;":"&amp;AG$3,'x - authors'!$B$3:$E$10000,4,FALSE))</f>
        <v/>
      </c>
      <c r="AH175" s="80" t="str">
        <f>IF(ISNA(VLOOKUP($B175&amp;":"&amp;AH$3,'x - authors'!$B$3:$E$10000,4,FALSE)),"",VLOOKUP($B175&amp;":"&amp;AH$3,'x - authors'!$B$3:$E$10000,4,FALSE))</f>
        <v/>
      </c>
      <c r="AI175" s="80" t="str">
        <f>IF(ISNA(VLOOKUP($B175&amp;":"&amp;AI$3,'x - authors'!$B$3:$E$10000,4,FALSE)),"",VLOOKUP($B175&amp;":"&amp;AI$3,'x - authors'!$B$3:$E$10000,4,FALSE))</f>
        <v/>
      </c>
    </row>
    <row r="176" spans="2:35">
      <c r="B176" s="65" t="s">
        <v>6547</v>
      </c>
      <c r="C176" s="65" t="s">
        <v>129</v>
      </c>
      <c r="D176" s="65" t="s">
        <v>6548</v>
      </c>
      <c r="E176" s="83" t="s">
        <v>6763</v>
      </c>
      <c r="F176" s="65"/>
      <c r="G176" s="65"/>
      <c r="H176" s="65" t="s">
        <v>6549</v>
      </c>
      <c r="I176" s="65"/>
      <c r="J176" s="65"/>
      <c r="K176" s="65"/>
      <c r="L176" s="65" t="s">
        <v>6261</v>
      </c>
      <c r="M176" s="65"/>
      <c r="N176" s="65"/>
      <c r="O176" s="15" t="str">
        <f t="shared" si="2"/>
        <v>citation:doc-x0559-01</v>
      </c>
      <c r="Q176" s="15" t="str">
        <f>VLOOKUP($O176,'x - paper citations'!$B$3:$E$2000,2,FALSE)</f>
        <v>https://scholar.google.co.uk/scholar?q=%22Federating Policy-Driven Autonomous Systems: Interaction Specification and Management Patterns%22&amp;btnG=&amp;hl=en&amp;as_sdt=0%2C5</v>
      </c>
      <c r="R176" s="15">
        <f>VLOOKUP($O176,'x - paper citations'!$B$3:$E$2000,3,FALSE)</f>
        <v>0</v>
      </c>
      <c r="S176" s="15" t="str">
        <f>VLOOKUP($O176,'x - paper citations'!$B$3:$E$2000,4,FALSE)</f>
        <v>29/02/2016</v>
      </c>
      <c r="U176" s="80" t="str">
        <f>IF(ISNA(VLOOKUP($B176&amp;":"&amp;U$3,'x - authors'!$B$3:$E$10000,4,FALSE)),"",VLOOKUP($B176&amp;":"&amp;U$3,'x - authors'!$B$3:$E$10000,4,FALSE))</f>
        <v>alberto_schaeffer-filho</v>
      </c>
      <c r="V176" s="80" t="str">
        <f>IF(ISNA(VLOOKUP($B176&amp;":"&amp;V$3,'x - authors'!$B$3:$E$10000,4,FALSE)),"",VLOOKUP($B176&amp;":"&amp;V$3,'x - authors'!$B$3:$E$10000,4,FALSE))</f>
        <v>emil_lupu</v>
      </c>
      <c r="W176" s="80" t="str">
        <f>IF(ISNA(VLOOKUP($B176&amp;":"&amp;W$3,'x - authors'!$B$3:$E$10000,4,FALSE)),"",VLOOKUP($B176&amp;":"&amp;W$3,'x - authors'!$B$3:$E$10000,4,FALSE))</f>
        <v>morris_sloman</v>
      </c>
      <c r="X176" s="80" t="str">
        <f>IF(ISNA(VLOOKUP($B176&amp;":"&amp;X$3,'x - authors'!$B$3:$E$10000,4,FALSE)),"",VLOOKUP($B176&amp;":"&amp;X$3,'x - authors'!$B$3:$E$10000,4,FALSE))</f>
        <v/>
      </c>
      <c r="Y176" s="80" t="str">
        <f>IF(ISNA(VLOOKUP($B176&amp;":"&amp;Y$3,'x - authors'!$B$3:$E$10000,4,FALSE)),"",VLOOKUP($B176&amp;":"&amp;Y$3,'x - authors'!$B$3:$E$10000,4,FALSE))</f>
        <v/>
      </c>
      <c r="Z176" s="80" t="str">
        <f>IF(ISNA(VLOOKUP($B176&amp;":"&amp;Z$3,'x - authors'!$B$3:$E$10000,4,FALSE)),"",VLOOKUP($B176&amp;":"&amp;Z$3,'x - authors'!$B$3:$E$10000,4,FALSE))</f>
        <v/>
      </c>
      <c r="AA176" s="80" t="str">
        <f>IF(ISNA(VLOOKUP($B176&amp;":"&amp;AA$3,'x - authors'!$B$3:$E$10000,4,FALSE)),"",VLOOKUP($B176&amp;":"&amp;AA$3,'x - authors'!$B$3:$E$10000,4,FALSE))</f>
        <v/>
      </c>
      <c r="AB176" s="80" t="str">
        <f>IF(ISNA(VLOOKUP($B176&amp;":"&amp;AB$3,'x - authors'!$B$3:$E$10000,4,FALSE)),"",VLOOKUP($B176&amp;":"&amp;AB$3,'x - authors'!$B$3:$E$10000,4,FALSE))</f>
        <v/>
      </c>
      <c r="AC176" s="80" t="str">
        <f>IF(ISNA(VLOOKUP($B176&amp;":"&amp;AC$3,'x - authors'!$B$3:$E$10000,4,FALSE)),"",VLOOKUP($B176&amp;":"&amp;AC$3,'x - authors'!$B$3:$E$10000,4,FALSE))</f>
        <v/>
      </c>
      <c r="AD176" s="80" t="str">
        <f>IF(ISNA(VLOOKUP($B176&amp;":"&amp;AD$3,'x - authors'!$B$3:$E$10000,4,FALSE)),"",VLOOKUP($B176&amp;":"&amp;AD$3,'x - authors'!$B$3:$E$10000,4,FALSE))</f>
        <v/>
      </c>
      <c r="AE176" s="80" t="str">
        <f>IF(ISNA(VLOOKUP($B176&amp;":"&amp;AE$3,'x - authors'!$B$3:$E$10000,4,FALSE)),"",VLOOKUP($B176&amp;":"&amp;AE$3,'x - authors'!$B$3:$E$10000,4,FALSE))</f>
        <v/>
      </c>
      <c r="AF176" s="80" t="str">
        <f>IF(ISNA(VLOOKUP($B176&amp;":"&amp;AF$3,'x - authors'!$B$3:$E$10000,4,FALSE)),"",VLOOKUP($B176&amp;":"&amp;AF$3,'x - authors'!$B$3:$E$10000,4,FALSE))</f>
        <v/>
      </c>
      <c r="AG176" s="80" t="str">
        <f>IF(ISNA(VLOOKUP($B176&amp;":"&amp;AG$3,'x - authors'!$B$3:$E$10000,4,FALSE)),"",VLOOKUP($B176&amp;":"&amp;AG$3,'x - authors'!$B$3:$E$10000,4,FALSE))</f>
        <v/>
      </c>
      <c r="AH176" s="80" t="str">
        <f>IF(ISNA(VLOOKUP($B176&amp;":"&amp;AH$3,'x - authors'!$B$3:$E$10000,4,FALSE)),"",VLOOKUP($B176&amp;":"&amp;AH$3,'x - authors'!$B$3:$E$10000,4,FALSE))</f>
        <v/>
      </c>
      <c r="AI176" s="80" t="str">
        <f>IF(ISNA(VLOOKUP($B176&amp;":"&amp;AI$3,'x - authors'!$B$3:$E$10000,4,FALSE)),"",VLOOKUP($B176&amp;":"&amp;AI$3,'x - authors'!$B$3:$E$10000,4,FALSE))</f>
        <v/>
      </c>
    </row>
    <row r="177" spans="2:35">
      <c r="B177" s="65" t="s">
        <v>6551</v>
      </c>
      <c r="C177" s="65" t="s">
        <v>129</v>
      </c>
      <c r="D177" s="65" t="s">
        <v>6552</v>
      </c>
      <c r="E177" s="83" t="s">
        <v>6760</v>
      </c>
      <c r="F177" s="65"/>
      <c r="G177" s="65"/>
      <c r="H177" s="65" t="s">
        <v>6553</v>
      </c>
      <c r="I177" s="65"/>
      <c r="J177" s="65" t="s">
        <v>6555</v>
      </c>
      <c r="K177" s="65"/>
      <c r="L177" s="65" t="s">
        <v>6556</v>
      </c>
      <c r="M177" s="65" t="s">
        <v>6557</v>
      </c>
      <c r="N177" s="65"/>
      <c r="O177" s="15" t="str">
        <f t="shared" si="2"/>
        <v>citation:doc-x0568-01</v>
      </c>
      <c r="Q177" s="15" t="str">
        <f>VLOOKUP($O177,'x - paper citations'!$B$3:$E$2000,2,FALSE)</f>
        <v>https://scholar.google.co.uk/scholar?q=%22Frequency quorum rendezvous for fast and resilient key establishment under jamming attack%22&amp;btnG=&amp;hl=en&amp;as_sdt=0%2C5</v>
      </c>
      <c r="R177" s="15">
        <f>VLOOKUP($O177,'x - paper citations'!$B$3:$E$2000,3,FALSE)</f>
        <v>10</v>
      </c>
      <c r="S177" s="15" t="str">
        <f>VLOOKUP($O177,'x - paper citations'!$B$3:$E$2000,4,FALSE)</f>
        <v>06/03/2016</v>
      </c>
      <c r="U177" s="80" t="str">
        <f>IF(ISNA(VLOOKUP($B177&amp;":"&amp;U$3,'x - authors'!$B$3:$E$10000,4,FALSE)),"",VLOOKUP($B177&amp;":"&amp;U$3,'x - authors'!$B$3:$E$10000,4,FALSE))</f>
        <v>eun-kyu_lee</v>
      </c>
      <c r="V177" s="80" t="str">
        <f>IF(ISNA(VLOOKUP($B177&amp;":"&amp;V$3,'x - authors'!$B$3:$E$10000,4,FALSE)),"",VLOOKUP($B177&amp;":"&amp;V$3,'x - authors'!$B$3:$E$10000,4,FALSE))</f>
        <v>soon_young_oh</v>
      </c>
      <c r="W177" s="80" t="str">
        <f>IF(ISNA(VLOOKUP($B177&amp;":"&amp;W$3,'x - authors'!$B$3:$E$10000,4,FALSE)),"",VLOOKUP($B177&amp;":"&amp;W$3,'x - authors'!$B$3:$E$10000,4,FALSE))</f>
        <v>mario_gerla</v>
      </c>
      <c r="X177" s="80" t="str">
        <f>IF(ISNA(VLOOKUP($B177&amp;":"&amp;X$3,'x - authors'!$B$3:$E$10000,4,FALSE)),"",VLOOKUP($B177&amp;":"&amp;X$3,'x - authors'!$B$3:$E$10000,4,FALSE))</f>
        <v/>
      </c>
      <c r="Y177" s="80" t="str">
        <f>IF(ISNA(VLOOKUP($B177&amp;":"&amp;Y$3,'x - authors'!$B$3:$E$10000,4,FALSE)),"",VLOOKUP($B177&amp;":"&amp;Y$3,'x - authors'!$B$3:$E$10000,4,FALSE))</f>
        <v/>
      </c>
      <c r="Z177" s="80" t="str">
        <f>IF(ISNA(VLOOKUP($B177&amp;":"&amp;Z$3,'x - authors'!$B$3:$E$10000,4,FALSE)),"",VLOOKUP($B177&amp;":"&amp;Z$3,'x - authors'!$B$3:$E$10000,4,FALSE))</f>
        <v/>
      </c>
      <c r="AA177" s="80" t="str">
        <f>IF(ISNA(VLOOKUP($B177&amp;":"&amp;AA$3,'x - authors'!$B$3:$E$10000,4,FALSE)),"",VLOOKUP($B177&amp;":"&amp;AA$3,'x - authors'!$B$3:$E$10000,4,FALSE))</f>
        <v/>
      </c>
      <c r="AB177" s="80" t="str">
        <f>IF(ISNA(VLOOKUP($B177&amp;":"&amp;AB$3,'x - authors'!$B$3:$E$10000,4,FALSE)),"",VLOOKUP($B177&amp;":"&amp;AB$3,'x - authors'!$B$3:$E$10000,4,FALSE))</f>
        <v/>
      </c>
      <c r="AC177" s="80" t="str">
        <f>IF(ISNA(VLOOKUP($B177&amp;":"&amp;AC$3,'x - authors'!$B$3:$E$10000,4,FALSE)),"",VLOOKUP($B177&amp;":"&amp;AC$3,'x - authors'!$B$3:$E$10000,4,FALSE))</f>
        <v/>
      </c>
      <c r="AD177" s="80" t="str">
        <f>IF(ISNA(VLOOKUP($B177&amp;":"&amp;AD$3,'x - authors'!$B$3:$E$10000,4,FALSE)),"",VLOOKUP($B177&amp;":"&amp;AD$3,'x - authors'!$B$3:$E$10000,4,FALSE))</f>
        <v/>
      </c>
      <c r="AE177" s="80" t="str">
        <f>IF(ISNA(VLOOKUP($B177&amp;":"&amp;AE$3,'x - authors'!$B$3:$E$10000,4,FALSE)),"",VLOOKUP($B177&amp;":"&amp;AE$3,'x - authors'!$B$3:$E$10000,4,FALSE))</f>
        <v/>
      </c>
      <c r="AF177" s="80" t="str">
        <f>IF(ISNA(VLOOKUP($B177&amp;":"&amp;AF$3,'x - authors'!$B$3:$E$10000,4,FALSE)),"",VLOOKUP($B177&amp;":"&amp;AF$3,'x - authors'!$B$3:$E$10000,4,FALSE))</f>
        <v/>
      </c>
      <c r="AG177" s="80" t="str">
        <f>IF(ISNA(VLOOKUP($B177&amp;":"&amp;AG$3,'x - authors'!$B$3:$E$10000,4,FALSE)),"",VLOOKUP($B177&amp;":"&amp;AG$3,'x - authors'!$B$3:$E$10000,4,FALSE))</f>
        <v/>
      </c>
      <c r="AH177" s="80" t="str">
        <f>IF(ISNA(VLOOKUP($B177&amp;":"&amp;AH$3,'x - authors'!$B$3:$E$10000,4,FALSE)),"",VLOOKUP($B177&amp;":"&amp;AH$3,'x - authors'!$B$3:$E$10000,4,FALSE))</f>
        <v/>
      </c>
      <c r="AI177" s="80" t="str">
        <f>IF(ISNA(VLOOKUP($B177&amp;":"&amp;AI$3,'x - authors'!$B$3:$E$10000,4,FALSE)),"",VLOOKUP($B177&amp;":"&amp;AI$3,'x - authors'!$B$3:$E$10000,4,FALSE))</f>
        <v/>
      </c>
    </row>
    <row r="178" spans="2:35">
      <c r="B178" s="65" t="s">
        <v>6558</v>
      </c>
      <c r="C178" s="65" t="s">
        <v>129</v>
      </c>
      <c r="D178" s="65" t="s">
        <v>6559</v>
      </c>
      <c r="E178" s="83" t="s">
        <v>6760</v>
      </c>
      <c r="F178" s="65"/>
      <c r="G178" s="65"/>
      <c r="H178" s="65" t="s">
        <v>6560</v>
      </c>
      <c r="I178" s="65"/>
      <c r="J178" s="65" t="s">
        <v>6562</v>
      </c>
      <c r="K178" s="65"/>
      <c r="L178" s="65" t="s">
        <v>6563</v>
      </c>
      <c r="M178" s="65"/>
      <c r="N178" s="65"/>
      <c r="O178" s="15" t="str">
        <f t="shared" si="2"/>
        <v>citation:doc-x0574-01</v>
      </c>
      <c r="Q178" s="15" t="str">
        <f>VLOOKUP($O178,'x - paper citations'!$B$3:$E$2000,2,FALSE)</f>
        <v>https://scholar.google.co.uk/scholar?q=%22Generalized graph entropies%22&amp;btnG=&amp;hl=en&amp;as_sdt=0%2C5</v>
      </c>
      <c r="R178" s="15">
        <f>VLOOKUP($O178,'x - paper citations'!$B$3:$E$2000,3,FALSE)</f>
        <v>15</v>
      </c>
      <c r="S178" s="15" t="str">
        <f>VLOOKUP($O178,'x - paper citations'!$B$3:$E$2000,4,FALSE)</f>
        <v>06/03/2016</v>
      </c>
      <c r="U178" s="80" t="str">
        <f>IF(ISNA(VLOOKUP($B178&amp;":"&amp;U$3,'x - authors'!$B$3:$E$10000,4,FALSE)),"",VLOOKUP($B178&amp;":"&amp;U$3,'x - authors'!$B$3:$E$10000,4,FALSE))</f>
        <v>matthias_dehmer</v>
      </c>
      <c r="V178" s="80" t="str">
        <f>IF(ISNA(VLOOKUP($B178&amp;":"&amp;V$3,'x - authors'!$B$3:$E$10000,4,FALSE)),"",VLOOKUP($B178&amp;":"&amp;V$3,'x - authors'!$B$3:$E$10000,4,FALSE))</f>
        <v>abbe_mowshowitz</v>
      </c>
      <c r="W178" s="80" t="str">
        <f>IF(ISNA(VLOOKUP($B178&amp;":"&amp;W$3,'x - authors'!$B$3:$E$10000,4,FALSE)),"",VLOOKUP($B178&amp;":"&amp;W$3,'x - authors'!$B$3:$E$10000,4,FALSE))</f>
        <v/>
      </c>
      <c r="X178" s="80" t="str">
        <f>IF(ISNA(VLOOKUP($B178&amp;":"&amp;X$3,'x - authors'!$B$3:$E$10000,4,FALSE)),"",VLOOKUP($B178&amp;":"&amp;X$3,'x - authors'!$B$3:$E$10000,4,FALSE))</f>
        <v/>
      </c>
      <c r="Y178" s="80" t="str">
        <f>IF(ISNA(VLOOKUP($B178&amp;":"&amp;Y$3,'x - authors'!$B$3:$E$10000,4,FALSE)),"",VLOOKUP($B178&amp;":"&amp;Y$3,'x - authors'!$B$3:$E$10000,4,FALSE))</f>
        <v/>
      </c>
      <c r="Z178" s="80" t="str">
        <f>IF(ISNA(VLOOKUP($B178&amp;":"&amp;Z$3,'x - authors'!$B$3:$E$10000,4,FALSE)),"",VLOOKUP($B178&amp;":"&amp;Z$3,'x - authors'!$B$3:$E$10000,4,FALSE))</f>
        <v/>
      </c>
      <c r="AA178" s="80" t="str">
        <f>IF(ISNA(VLOOKUP($B178&amp;":"&amp;AA$3,'x - authors'!$B$3:$E$10000,4,FALSE)),"",VLOOKUP($B178&amp;":"&amp;AA$3,'x - authors'!$B$3:$E$10000,4,FALSE))</f>
        <v/>
      </c>
      <c r="AB178" s="80" t="str">
        <f>IF(ISNA(VLOOKUP($B178&amp;":"&amp;AB$3,'x - authors'!$B$3:$E$10000,4,FALSE)),"",VLOOKUP($B178&amp;":"&amp;AB$3,'x - authors'!$B$3:$E$10000,4,FALSE))</f>
        <v/>
      </c>
      <c r="AC178" s="80" t="str">
        <f>IF(ISNA(VLOOKUP($B178&amp;":"&amp;AC$3,'x - authors'!$B$3:$E$10000,4,FALSE)),"",VLOOKUP($B178&amp;":"&amp;AC$3,'x - authors'!$B$3:$E$10000,4,FALSE))</f>
        <v/>
      </c>
      <c r="AD178" s="80" t="str">
        <f>IF(ISNA(VLOOKUP($B178&amp;":"&amp;AD$3,'x - authors'!$B$3:$E$10000,4,FALSE)),"",VLOOKUP($B178&amp;":"&amp;AD$3,'x - authors'!$B$3:$E$10000,4,FALSE))</f>
        <v/>
      </c>
      <c r="AE178" s="80" t="str">
        <f>IF(ISNA(VLOOKUP($B178&amp;":"&amp;AE$3,'x - authors'!$B$3:$E$10000,4,FALSE)),"",VLOOKUP($B178&amp;":"&amp;AE$3,'x - authors'!$B$3:$E$10000,4,FALSE))</f>
        <v/>
      </c>
      <c r="AF178" s="80" t="str">
        <f>IF(ISNA(VLOOKUP($B178&amp;":"&amp;AF$3,'x - authors'!$B$3:$E$10000,4,FALSE)),"",VLOOKUP($B178&amp;":"&amp;AF$3,'x - authors'!$B$3:$E$10000,4,FALSE))</f>
        <v/>
      </c>
      <c r="AG178" s="80" t="str">
        <f>IF(ISNA(VLOOKUP($B178&amp;":"&amp;AG$3,'x - authors'!$B$3:$E$10000,4,FALSE)),"",VLOOKUP($B178&amp;":"&amp;AG$3,'x - authors'!$B$3:$E$10000,4,FALSE))</f>
        <v/>
      </c>
      <c r="AH178" s="80" t="str">
        <f>IF(ISNA(VLOOKUP($B178&amp;":"&amp;AH$3,'x - authors'!$B$3:$E$10000,4,FALSE)),"",VLOOKUP($B178&amp;":"&amp;AH$3,'x - authors'!$B$3:$E$10000,4,FALSE))</f>
        <v/>
      </c>
      <c r="AI178" s="80" t="str">
        <f>IF(ISNA(VLOOKUP($B178&amp;":"&amp;AI$3,'x - authors'!$B$3:$E$10000,4,FALSE)),"",VLOOKUP($B178&amp;":"&amp;AI$3,'x - authors'!$B$3:$E$10000,4,FALSE))</f>
        <v/>
      </c>
    </row>
    <row r="179" spans="2:35">
      <c r="B179" s="65" t="s">
        <v>6564</v>
      </c>
      <c r="C179" s="65" t="s">
        <v>129</v>
      </c>
      <c r="D179" s="65" t="s">
        <v>6565</v>
      </c>
      <c r="E179" s="83" t="s">
        <v>6760</v>
      </c>
      <c r="F179" s="65"/>
      <c r="G179" s="65"/>
      <c r="H179" s="65" t="s">
        <v>6566</v>
      </c>
      <c r="I179" s="65"/>
      <c r="J179" s="65" t="s">
        <v>6568</v>
      </c>
      <c r="K179" s="65"/>
      <c r="L179" s="65" t="s">
        <v>6569</v>
      </c>
      <c r="M179" s="65"/>
      <c r="N179" s="65"/>
      <c r="O179" s="15" t="str">
        <f t="shared" si="2"/>
        <v>citation:doc-x0575-01</v>
      </c>
      <c r="Q179" s="15" t="str">
        <f>VLOOKUP($O179,'x - paper citations'!$B$3:$E$2000,2,FALSE)</f>
        <v>https://scholar.google.co.uk/scholar?q=%22Generalized Sequential Slotted Amplify and Forward Strategy in Cooperative Communications%22&amp;btnG=&amp;hl=en&amp;as_sdt=0%2C5</v>
      </c>
      <c r="R179" s="15">
        <f>VLOOKUP($O179,'x - paper citations'!$B$3:$E$2000,3,FALSE)</f>
        <v>2</v>
      </c>
      <c r="S179" s="15" t="str">
        <f>VLOOKUP($O179,'x - paper citations'!$B$3:$E$2000,4,FALSE)</f>
        <v>29/02/2016</v>
      </c>
      <c r="U179" s="80" t="str">
        <f>IF(ISNA(VLOOKUP($B179&amp;":"&amp;U$3,'x - authors'!$B$3:$E$10000,4,FALSE)),"",VLOOKUP($B179&amp;":"&amp;U$3,'x - authors'!$B$3:$E$10000,4,FALSE))</f>
        <v>haishi_ning</v>
      </c>
      <c r="V179" s="80" t="str">
        <f>IF(ISNA(VLOOKUP($B179&amp;":"&amp;V$3,'x - authors'!$B$3:$E$10000,4,FALSE)),"",VLOOKUP($B179&amp;":"&amp;V$3,'x - authors'!$B$3:$E$10000,4,FALSE))</f>
        <v>cong_ling</v>
      </c>
      <c r="W179" s="80" t="str">
        <f>IF(ISNA(VLOOKUP($B179&amp;":"&amp;W$3,'x - authors'!$B$3:$E$10000,4,FALSE)),"",VLOOKUP($B179&amp;":"&amp;W$3,'x - authors'!$B$3:$E$10000,4,FALSE))</f>
        <v>kin_leung</v>
      </c>
      <c r="X179" s="80" t="str">
        <f>IF(ISNA(VLOOKUP($B179&amp;":"&amp;X$3,'x - authors'!$B$3:$E$10000,4,FALSE)),"",VLOOKUP($B179&amp;":"&amp;X$3,'x - authors'!$B$3:$E$10000,4,FALSE))</f>
        <v/>
      </c>
      <c r="Y179" s="80" t="str">
        <f>IF(ISNA(VLOOKUP($B179&amp;":"&amp;Y$3,'x - authors'!$B$3:$E$10000,4,FALSE)),"",VLOOKUP($B179&amp;":"&amp;Y$3,'x - authors'!$B$3:$E$10000,4,FALSE))</f>
        <v/>
      </c>
      <c r="Z179" s="80" t="str">
        <f>IF(ISNA(VLOOKUP($B179&amp;":"&amp;Z$3,'x - authors'!$B$3:$E$10000,4,FALSE)),"",VLOOKUP($B179&amp;":"&amp;Z$3,'x - authors'!$B$3:$E$10000,4,FALSE))</f>
        <v/>
      </c>
      <c r="AA179" s="80" t="str">
        <f>IF(ISNA(VLOOKUP($B179&amp;":"&amp;AA$3,'x - authors'!$B$3:$E$10000,4,FALSE)),"",VLOOKUP($B179&amp;":"&amp;AA$3,'x - authors'!$B$3:$E$10000,4,FALSE))</f>
        <v/>
      </c>
      <c r="AB179" s="80" t="str">
        <f>IF(ISNA(VLOOKUP($B179&amp;":"&amp;AB$3,'x - authors'!$B$3:$E$10000,4,FALSE)),"",VLOOKUP($B179&amp;":"&amp;AB$3,'x - authors'!$B$3:$E$10000,4,FALSE))</f>
        <v/>
      </c>
      <c r="AC179" s="80" t="str">
        <f>IF(ISNA(VLOOKUP($B179&amp;":"&amp;AC$3,'x - authors'!$B$3:$E$10000,4,FALSE)),"",VLOOKUP($B179&amp;":"&amp;AC$3,'x - authors'!$B$3:$E$10000,4,FALSE))</f>
        <v/>
      </c>
      <c r="AD179" s="80" t="str">
        <f>IF(ISNA(VLOOKUP($B179&amp;":"&amp;AD$3,'x - authors'!$B$3:$E$10000,4,FALSE)),"",VLOOKUP($B179&amp;":"&amp;AD$3,'x - authors'!$B$3:$E$10000,4,FALSE))</f>
        <v/>
      </c>
      <c r="AE179" s="80" t="str">
        <f>IF(ISNA(VLOOKUP($B179&amp;":"&amp;AE$3,'x - authors'!$B$3:$E$10000,4,FALSE)),"",VLOOKUP($B179&amp;":"&amp;AE$3,'x - authors'!$B$3:$E$10000,4,FALSE))</f>
        <v/>
      </c>
      <c r="AF179" s="80" t="str">
        <f>IF(ISNA(VLOOKUP($B179&amp;":"&amp;AF$3,'x - authors'!$B$3:$E$10000,4,FALSE)),"",VLOOKUP($B179&amp;":"&amp;AF$3,'x - authors'!$B$3:$E$10000,4,FALSE))</f>
        <v/>
      </c>
      <c r="AG179" s="80" t="str">
        <f>IF(ISNA(VLOOKUP($B179&amp;":"&amp;AG$3,'x - authors'!$B$3:$E$10000,4,FALSE)),"",VLOOKUP($B179&amp;":"&amp;AG$3,'x - authors'!$B$3:$E$10000,4,FALSE))</f>
        <v/>
      </c>
      <c r="AH179" s="80" t="str">
        <f>IF(ISNA(VLOOKUP($B179&amp;":"&amp;AH$3,'x - authors'!$B$3:$E$10000,4,FALSE)),"",VLOOKUP($B179&amp;":"&amp;AH$3,'x - authors'!$B$3:$E$10000,4,FALSE))</f>
        <v/>
      </c>
      <c r="AI179" s="80" t="str">
        <f>IF(ISNA(VLOOKUP($B179&amp;":"&amp;AI$3,'x - authors'!$B$3:$E$10000,4,FALSE)),"",VLOOKUP($B179&amp;":"&amp;AI$3,'x - authors'!$B$3:$E$10000,4,FALSE))</f>
        <v/>
      </c>
    </row>
    <row r="180" spans="2:35">
      <c r="B180" s="65" t="s">
        <v>6570</v>
      </c>
      <c r="C180" s="65" t="s">
        <v>129</v>
      </c>
      <c r="D180" s="65" t="s">
        <v>6571</v>
      </c>
      <c r="E180" s="83" t="s">
        <v>6760</v>
      </c>
      <c r="F180" s="65"/>
      <c r="G180" s="65"/>
      <c r="H180" s="65" t="s">
        <v>6572</v>
      </c>
      <c r="I180" s="65"/>
      <c r="J180" s="65" t="s">
        <v>6574</v>
      </c>
      <c r="K180" s="65"/>
      <c r="L180" s="65" t="s">
        <v>6575</v>
      </c>
      <c r="M180" s="65"/>
      <c r="N180" s="65"/>
      <c r="O180" s="15" t="str">
        <f t="shared" si="2"/>
        <v>citation:doc-x0606-01</v>
      </c>
      <c r="Q180" s="15" t="str">
        <f>VLOOKUP($O180,'x - paper citations'!$B$3:$E$2000,2,FALSE)</f>
        <v>https://scholar.google.co.uk/scholar?q=%22Impact of imperfect channel state information on bi-directional communications with relay selection%22&amp;btnG=&amp;hl=en&amp;as_sdt=0%2C5</v>
      </c>
      <c r="R180" s="15">
        <f>VLOOKUP($O180,'x - paper citations'!$B$3:$E$2000,3,FALSE)</f>
        <v>23</v>
      </c>
      <c r="S180" s="15" t="str">
        <f>VLOOKUP($O180,'x - paper citations'!$B$3:$E$2000,4,FALSE)</f>
        <v>29/02/2016</v>
      </c>
      <c r="U180" s="80" t="str">
        <f>IF(ISNA(VLOOKUP($B180&amp;":"&amp;U$3,'x - authors'!$B$3:$E$10000,4,FALSE)),"",VLOOKUP($B180&amp;":"&amp;U$3,'x - authors'!$B$3:$E$10000,4,FALSE))</f>
        <v>zhiguo_ding</v>
      </c>
      <c r="V180" s="80" t="str">
        <f>IF(ISNA(VLOOKUP($B180&amp;":"&amp;V$3,'x - authors'!$B$3:$E$10000,4,FALSE)),"",VLOOKUP($B180&amp;":"&amp;V$3,'x - authors'!$B$3:$E$10000,4,FALSE))</f>
        <v>kin_leung</v>
      </c>
      <c r="W180" s="80" t="str">
        <f>IF(ISNA(VLOOKUP($B180&amp;":"&amp;W$3,'x - authors'!$B$3:$E$10000,4,FALSE)),"",VLOOKUP($B180&amp;":"&amp;W$3,'x - authors'!$B$3:$E$10000,4,FALSE))</f>
        <v/>
      </c>
      <c r="X180" s="80" t="str">
        <f>IF(ISNA(VLOOKUP($B180&amp;":"&amp;X$3,'x - authors'!$B$3:$E$10000,4,FALSE)),"",VLOOKUP($B180&amp;":"&amp;X$3,'x - authors'!$B$3:$E$10000,4,FALSE))</f>
        <v/>
      </c>
      <c r="Y180" s="80" t="str">
        <f>IF(ISNA(VLOOKUP($B180&amp;":"&amp;Y$3,'x - authors'!$B$3:$E$10000,4,FALSE)),"",VLOOKUP($B180&amp;":"&amp;Y$3,'x - authors'!$B$3:$E$10000,4,FALSE))</f>
        <v/>
      </c>
      <c r="Z180" s="80" t="str">
        <f>IF(ISNA(VLOOKUP($B180&amp;":"&amp;Z$3,'x - authors'!$B$3:$E$10000,4,FALSE)),"",VLOOKUP($B180&amp;":"&amp;Z$3,'x - authors'!$B$3:$E$10000,4,FALSE))</f>
        <v/>
      </c>
      <c r="AA180" s="80" t="str">
        <f>IF(ISNA(VLOOKUP($B180&amp;":"&amp;AA$3,'x - authors'!$B$3:$E$10000,4,FALSE)),"",VLOOKUP($B180&amp;":"&amp;AA$3,'x - authors'!$B$3:$E$10000,4,FALSE))</f>
        <v/>
      </c>
      <c r="AB180" s="80" t="str">
        <f>IF(ISNA(VLOOKUP($B180&amp;":"&amp;AB$3,'x - authors'!$B$3:$E$10000,4,FALSE)),"",VLOOKUP($B180&amp;":"&amp;AB$3,'x - authors'!$B$3:$E$10000,4,FALSE))</f>
        <v/>
      </c>
      <c r="AC180" s="80" t="str">
        <f>IF(ISNA(VLOOKUP($B180&amp;":"&amp;AC$3,'x - authors'!$B$3:$E$10000,4,FALSE)),"",VLOOKUP($B180&amp;":"&amp;AC$3,'x - authors'!$B$3:$E$10000,4,FALSE))</f>
        <v/>
      </c>
      <c r="AD180" s="80" t="str">
        <f>IF(ISNA(VLOOKUP($B180&amp;":"&amp;AD$3,'x - authors'!$B$3:$E$10000,4,FALSE)),"",VLOOKUP($B180&amp;":"&amp;AD$3,'x - authors'!$B$3:$E$10000,4,FALSE))</f>
        <v/>
      </c>
      <c r="AE180" s="80" t="str">
        <f>IF(ISNA(VLOOKUP($B180&amp;":"&amp;AE$3,'x - authors'!$B$3:$E$10000,4,FALSE)),"",VLOOKUP($B180&amp;":"&amp;AE$3,'x - authors'!$B$3:$E$10000,4,FALSE))</f>
        <v/>
      </c>
      <c r="AF180" s="80" t="str">
        <f>IF(ISNA(VLOOKUP($B180&amp;":"&amp;AF$3,'x - authors'!$B$3:$E$10000,4,FALSE)),"",VLOOKUP($B180&amp;":"&amp;AF$3,'x - authors'!$B$3:$E$10000,4,FALSE))</f>
        <v/>
      </c>
      <c r="AG180" s="80" t="str">
        <f>IF(ISNA(VLOOKUP($B180&amp;":"&amp;AG$3,'x - authors'!$B$3:$E$10000,4,FALSE)),"",VLOOKUP($B180&amp;":"&amp;AG$3,'x - authors'!$B$3:$E$10000,4,FALSE))</f>
        <v/>
      </c>
      <c r="AH180" s="80" t="str">
        <f>IF(ISNA(VLOOKUP($B180&amp;":"&amp;AH$3,'x - authors'!$B$3:$E$10000,4,FALSE)),"",VLOOKUP($B180&amp;":"&amp;AH$3,'x - authors'!$B$3:$E$10000,4,FALSE))</f>
        <v/>
      </c>
      <c r="AI180" s="80" t="str">
        <f>IF(ISNA(VLOOKUP($B180&amp;":"&amp;AI$3,'x - authors'!$B$3:$E$10000,4,FALSE)),"",VLOOKUP($B180&amp;":"&amp;AI$3,'x - authors'!$B$3:$E$10000,4,FALSE))</f>
        <v/>
      </c>
    </row>
    <row r="181" spans="2:35">
      <c r="B181" s="65" t="s">
        <v>6576</v>
      </c>
      <c r="C181" s="65" t="s">
        <v>129</v>
      </c>
      <c r="D181" s="65" t="s">
        <v>6577</v>
      </c>
      <c r="E181" s="83" t="s">
        <v>6761</v>
      </c>
      <c r="F181" s="65"/>
      <c r="G181" s="65"/>
      <c r="H181" s="65" t="s">
        <v>6578</v>
      </c>
      <c r="I181" s="65"/>
      <c r="J181" s="65" t="s">
        <v>6580</v>
      </c>
      <c r="K181" s="65"/>
      <c r="L181" s="65" t="s">
        <v>6581</v>
      </c>
      <c r="M181" s="65"/>
      <c r="N181" s="65"/>
      <c r="O181" s="15" t="str">
        <f t="shared" si="2"/>
        <v>citation:doc-x0609-01</v>
      </c>
      <c r="Q181" s="15" t="str">
        <f>VLOOKUP($O181,'x - paper citations'!$B$3:$E$2000,2,FALSE)</f>
        <v>https://scholar.google.co.uk/scholar?q=%22Improving acoustic vehicle classification by information fusion%22&amp;btnG=&amp;hl=en&amp;as_sdt=0%2C5</v>
      </c>
      <c r="R181" s="15">
        <f>VLOOKUP($O181,'x - paper citations'!$B$3:$E$2000,3,FALSE)</f>
        <v>8</v>
      </c>
      <c r="S181" s="15" t="str">
        <f>VLOOKUP($O181,'x - paper citations'!$B$3:$E$2000,4,FALSE)</f>
        <v>29/02/2016</v>
      </c>
      <c r="U181" s="80" t="str">
        <f>IF(ISNA(VLOOKUP($B181&amp;":"&amp;U$3,'x - authors'!$B$3:$E$10000,4,FALSE)),"",VLOOKUP($B181&amp;":"&amp;U$3,'x - authors'!$B$3:$E$10000,4,FALSE))</f>
        <v>baofeng_guo</v>
      </c>
      <c r="V181" s="80" t="str">
        <f>IF(ISNA(VLOOKUP($B181&amp;":"&amp;V$3,'x - authors'!$B$3:$E$10000,4,FALSE)),"",VLOOKUP($B181&amp;":"&amp;V$3,'x - authors'!$B$3:$E$10000,4,FALSE))</f>
        <v>mark_nixon</v>
      </c>
      <c r="W181" s="80" t="str">
        <f>IF(ISNA(VLOOKUP($B181&amp;":"&amp;W$3,'x - authors'!$B$3:$E$10000,4,FALSE)),"",VLOOKUP($B181&amp;":"&amp;W$3,'x - authors'!$B$3:$E$10000,4,FALSE))</f>
        <v>raju_damarla</v>
      </c>
      <c r="X181" s="80" t="str">
        <f>IF(ISNA(VLOOKUP($B181&amp;":"&amp;X$3,'x - authors'!$B$3:$E$10000,4,FALSE)),"",VLOOKUP($B181&amp;":"&amp;X$3,'x - authors'!$B$3:$E$10000,4,FALSE))</f>
        <v/>
      </c>
      <c r="Y181" s="80" t="str">
        <f>IF(ISNA(VLOOKUP($B181&amp;":"&amp;Y$3,'x - authors'!$B$3:$E$10000,4,FALSE)),"",VLOOKUP($B181&amp;":"&amp;Y$3,'x - authors'!$B$3:$E$10000,4,FALSE))</f>
        <v/>
      </c>
      <c r="Z181" s="80" t="str">
        <f>IF(ISNA(VLOOKUP($B181&amp;":"&amp;Z$3,'x - authors'!$B$3:$E$10000,4,FALSE)),"",VLOOKUP($B181&amp;":"&amp;Z$3,'x - authors'!$B$3:$E$10000,4,FALSE))</f>
        <v/>
      </c>
      <c r="AA181" s="80" t="str">
        <f>IF(ISNA(VLOOKUP($B181&amp;":"&amp;AA$3,'x - authors'!$B$3:$E$10000,4,FALSE)),"",VLOOKUP($B181&amp;":"&amp;AA$3,'x - authors'!$B$3:$E$10000,4,FALSE))</f>
        <v/>
      </c>
      <c r="AB181" s="80" t="str">
        <f>IF(ISNA(VLOOKUP($B181&amp;":"&amp;AB$3,'x - authors'!$B$3:$E$10000,4,FALSE)),"",VLOOKUP($B181&amp;":"&amp;AB$3,'x - authors'!$B$3:$E$10000,4,FALSE))</f>
        <v/>
      </c>
      <c r="AC181" s="80" t="str">
        <f>IF(ISNA(VLOOKUP($B181&amp;":"&amp;AC$3,'x - authors'!$B$3:$E$10000,4,FALSE)),"",VLOOKUP($B181&amp;":"&amp;AC$3,'x - authors'!$B$3:$E$10000,4,FALSE))</f>
        <v/>
      </c>
      <c r="AD181" s="80" t="str">
        <f>IF(ISNA(VLOOKUP($B181&amp;":"&amp;AD$3,'x - authors'!$B$3:$E$10000,4,FALSE)),"",VLOOKUP($B181&amp;":"&amp;AD$3,'x - authors'!$B$3:$E$10000,4,FALSE))</f>
        <v/>
      </c>
      <c r="AE181" s="80" t="str">
        <f>IF(ISNA(VLOOKUP($B181&amp;":"&amp;AE$3,'x - authors'!$B$3:$E$10000,4,FALSE)),"",VLOOKUP($B181&amp;":"&amp;AE$3,'x - authors'!$B$3:$E$10000,4,FALSE))</f>
        <v/>
      </c>
      <c r="AF181" s="80" t="str">
        <f>IF(ISNA(VLOOKUP($B181&amp;":"&amp;AF$3,'x - authors'!$B$3:$E$10000,4,FALSE)),"",VLOOKUP($B181&amp;":"&amp;AF$3,'x - authors'!$B$3:$E$10000,4,FALSE))</f>
        <v/>
      </c>
      <c r="AG181" s="80" t="str">
        <f>IF(ISNA(VLOOKUP($B181&amp;":"&amp;AG$3,'x - authors'!$B$3:$E$10000,4,FALSE)),"",VLOOKUP($B181&amp;":"&amp;AG$3,'x - authors'!$B$3:$E$10000,4,FALSE))</f>
        <v/>
      </c>
      <c r="AH181" s="80" t="str">
        <f>IF(ISNA(VLOOKUP($B181&amp;":"&amp;AH$3,'x - authors'!$B$3:$E$10000,4,FALSE)),"",VLOOKUP($B181&amp;":"&amp;AH$3,'x - authors'!$B$3:$E$10000,4,FALSE))</f>
        <v/>
      </c>
      <c r="AI181" s="80" t="str">
        <f>IF(ISNA(VLOOKUP($B181&amp;":"&amp;AI$3,'x - authors'!$B$3:$E$10000,4,FALSE)),"",VLOOKUP($B181&amp;":"&amp;AI$3,'x - authors'!$B$3:$E$10000,4,FALSE))</f>
        <v/>
      </c>
    </row>
    <row r="182" spans="2:35">
      <c r="B182" s="65" t="s">
        <v>6582</v>
      </c>
      <c r="C182" s="65" t="s">
        <v>129</v>
      </c>
      <c r="D182" s="65" t="s">
        <v>6583</v>
      </c>
      <c r="E182" s="83" t="s">
        <v>6760</v>
      </c>
      <c r="F182" s="65"/>
      <c r="G182" s="65"/>
      <c r="H182" s="65" t="s">
        <v>6584</v>
      </c>
      <c r="I182" s="65"/>
      <c r="J182" s="65" t="s">
        <v>6586</v>
      </c>
      <c r="K182" s="65"/>
      <c r="L182" s="65" t="s">
        <v>6587</v>
      </c>
      <c r="M182" s="65"/>
      <c r="N182" s="65"/>
      <c r="O182" s="15" t="str">
        <f t="shared" si="2"/>
        <v>citation:doc-x0635-01</v>
      </c>
      <c r="Q182" s="15" t="str">
        <f>VLOOKUP($O182,'x - paper citations'!$B$3:$E$2000,2,FALSE)</f>
        <v>https://scholar.google.co.uk/scholar?q=%22Joint beamforming and power management for nonregenerative MIMO two-way relaying channels%22&amp;btnG=&amp;hl=en&amp;as_sdt=0%2C5</v>
      </c>
      <c r="R182" s="15">
        <f>VLOOKUP($O182,'x - paper citations'!$B$3:$E$2000,3,FALSE)</f>
        <v>14</v>
      </c>
      <c r="S182" s="15" t="str">
        <f>VLOOKUP($O182,'x - paper citations'!$B$3:$E$2000,4,FALSE)</f>
        <v>29/02/2016</v>
      </c>
      <c r="U182" s="80" t="str">
        <f>IF(ISNA(VLOOKUP($B182&amp;":"&amp;U$3,'x - authors'!$B$3:$E$10000,4,FALSE)),"",VLOOKUP($B182&amp;":"&amp;U$3,'x - authors'!$B$3:$E$10000,4,FALSE))</f>
        <v>chee_yen_leow</v>
      </c>
      <c r="V182" s="80" t="str">
        <f>IF(ISNA(VLOOKUP($B182&amp;":"&amp;V$3,'x - authors'!$B$3:$E$10000,4,FALSE)),"",VLOOKUP($B182&amp;":"&amp;V$3,'x - authors'!$B$3:$E$10000,4,FALSE))</f>
        <v>zhiguo_ding</v>
      </c>
      <c r="W182" s="80" t="str">
        <f>IF(ISNA(VLOOKUP($B182&amp;":"&amp;W$3,'x - authors'!$B$3:$E$10000,4,FALSE)),"",VLOOKUP($B182&amp;":"&amp;W$3,'x - authors'!$B$3:$E$10000,4,FALSE))</f>
        <v>kin_leung</v>
      </c>
      <c r="X182" s="80" t="str">
        <f>IF(ISNA(VLOOKUP($B182&amp;":"&amp;X$3,'x - authors'!$B$3:$E$10000,4,FALSE)),"",VLOOKUP($B182&amp;":"&amp;X$3,'x - authors'!$B$3:$E$10000,4,FALSE))</f>
        <v/>
      </c>
      <c r="Y182" s="80" t="str">
        <f>IF(ISNA(VLOOKUP($B182&amp;":"&amp;Y$3,'x - authors'!$B$3:$E$10000,4,FALSE)),"",VLOOKUP($B182&amp;":"&amp;Y$3,'x - authors'!$B$3:$E$10000,4,FALSE))</f>
        <v/>
      </c>
      <c r="Z182" s="80" t="str">
        <f>IF(ISNA(VLOOKUP($B182&amp;":"&amp;Z$3,'x - authors'!$B$3:$E$10000,4,FALSE)),"",VLOOKUP($B182&amp;":"&amp;Z$3,'x - authors'!$B$3:$E$10000,4,FALSE))</f>
        <v/>
      </c>
      <c r="AA182" s="80" t="str">
        <f>IF(ISNA(VLOOKUP($B182&amp;":"&amp;AA$3,'x - authors'!$B$3:$E$10000,4,FALSE)),"",VLOOKUP($B182&amp;":"&amp;AA$3,'x - authors'!$B$3:$E$10000,4,FALSE))</f>
        <v/>
      </c>
      <c r="AB182" s="80" t="str">
        <f>IF(ISNA(VLOOKUP($B182&amp;":"&amp;AB$3,'x - authors'!$B$3:$E$10000,4,FALSE)),"",VLOOKUP($B182&amp;":"&amp;AB$3,'x - authors'!$B$3:$E$10000,4,FALSE))</f>
        <v/>
      </c>
      <c r="AC182" s="80" t="str">
        <f>IF(ISNA(VLOOKUP($B182&amp;":"&amp;AC$3,'x - authors'!$B$3:$E$10000,4,FALSE)),"",VLOOKUP($B182&amp;":"&amp;AC$3,'x - authors'!$B$3:$E$10000,4,FALSE))</f>
        <v/>
      </c>
      <c r="AD182" s="80" t="str">
        <f>IF(ISNA(VLOOKUP($B182&amp;":"&amp;AD$3,'x - authors'!$B$3:$E$10000,4,FALSE)),"",VLOOKUP($B182&amp;":"&amp;AD$3,'x - authors'!$B$3:$E$10000,4,FALSE))</f>
        <v/>
      </c>
      <c r="AE182" s="80" t="str">
        <f>IF(ISNA(VLOOKUP($B182&amp;":"&amp;AE$3,'x - authors'!$B$3:$E$10000,4,FALSE)),"",VLOOKUP($B182&amp;":"&amp;AE$3,'x - authors'!$B$3:$E$10000,4,FALSE))</f>
        <v/>
      </c>
      <c r="AF182" s="80" t="str">
        <f>IF(ISNA(VLOOKUP($B182&amp;":"&amp;AF$3,'x - authors'!$B$3:$E$10000,4,FALSE)),"",VLOOKUP($B182&amp;":"&amp;AF$3,'x - authors'!$B$3:$E$10000,4,FALSE))</f>
        <v/>
      </c>
      <c r="AG182" s="80" t="str">
        <f>IF(ISNA(VLOOKUP($B182&amp;":"&amp;AG$3,'x - authors'!$B$3:$E$10000,4,FALSE)),"",VLOOKUP($B182&amp;":"&amp;AG$3,'x - authors'!$B$3:$E$10000,4,FALSE))</f>
        <v/>
      </c>
      <c r="AH182" s="80" t="str">
        <f>IF(ISNA(VLOOKUP($B182&amp;":"&amp;AH$3,'x - authors'!$B$3:$E$10000,4,FALSE)),"",VLOOKUP($B182&amp;":"&amp;AH$3,'x - authors'!$B$3:$E$10000,4,FALSE))</f>
        <v/>
      </c>
      <c r="AI182" s="80" t="str">
        <f>IF(ISNA(VLOOKUP($B182&amp;":"&amp;AI$3,'x - authors'!$B$3:$E$10000,4,FALSE)),"",VLOOKUP($B182&amp;":"&amp;AI$3,'x - authors'!$B$3:$E$10000,4,FALSE))</f>
        <v/>
      </c>
    </row>
    <row r="183" spans="2:35">
      <c r="B183" s="65" t="s">
        <v>6588</v>
      </c>
      <c r="C183" s="65" t="s">
        <v>129</v>
      </c>
      <c r="D183" s="65" t="s">
        <v>6589</v>
      </c>
      <c r="E183" s="83" t="s">
        <v>6761</v>
      </c>
      <c r="F183" s="65"/>
      <c r="G183" s="65"/>
      <c r="H183" s="65" t="s">
        <v>6590</v>
      </c>
      <c r="I183" s="65"/>
      <c r="J183" s="65"/>
      <c r="K183" s="65"/>
      <c r="L183" s="65" t="s">
        <v>6261</v>
      </c>
      <c r="M183" s="65"/>
      <c r="N183" s="65"/>
      <c r="O183" s="15" t="str">
        <f t="shared" si="2"/>
        <v>citation:doc-x0647-01</v>
      </c>
      <c r="Q183" s="15" t="str">
        <f>VLOOKUP($O183,'x - paper citations'!$B$3:$E$2000,2,FALSE)</f>
        <v>https://scholar.google.co.uk/scholar?q=%22Limitations of generating a secret key using wireless fading under active adversary%22&amp;btnG=&amp;hl=en&amp;as_sdt=0%2C5</v>
      </c>
      <c r="R183" s="15">
        <f>VLOOKUP($O183,'x - paper citations'!$B$3:$E$2000,3,FALSE)</f>
        <v>17</v>
      </c>
      <c r="S183" s="15" t="str">
        <f>VLOOKUP($O183,'x - paper citations'!$B$3:$E$2000,4,FALSE)</f>
        <v>29/02/2016</v>
      </c>
      <c r="U183" s="80" t="str">
        <f>IF(ISNA(VLOOKUP($B183&amp;":"&amp;U$3,'x - authors'!$B$3:$E$10000,4,FALSE)),"",VLOOKUP($B183&amp;":"&amp;U$3,'x - authors'!$B$3:$E$10000,4,FALSE))</f>
        <v>murtaza_zafer</v>
      </c>
      <c r="V183" s="80" t="str">
        <f>IF(ISNA(VLOOKUP($B183&amp;":"&amp;V$3,'x - authors'!$B$3:$E$10000,4,FALSE)),"",VLOOKUP($B183&amp;":"&amp;V$3,'x - authors'!$B$3:$E$10000,4,FALSE))</f>
        <v>dakshi_agrawal</v>
      </c>
      <c r="W183" s="80" t="str">
        <f>IF(ISNA(VLOOKUP($B183&amp;":"&amp;W$3,'x - authors'!$B$3:$E$10000,4,FALSE)),"",VLOOKUP($B183&amp;":"&amp;W$3,'x - authors'!$B$3:$E$10000,4,FALSE))</f>
        <v>mudhakar_srivatsa</v>
      </c>
      <c r="X183" s="80" t="str">
        <f>IF(ISNA(VLOOKUP($B183&amp;":"&amp;X$3,'x - authors'!$B$3:$E$10000,4,FALSE)),"",VLOOKUP($B183&amp;":"&amp;X$3,'x - authors'!$B$3:$E$10000,4,FALSE))</f>
        <v/>
      </c>
      <c r="Y183" s="80" t="str">
        <f>IF(ISNA(VLOOKUP($B183&amp;":"&amp;Y$3,'x - authors'!$B$3:$E$10000,4,FALSE)),"",VLOOKUP($B183&amp;":"&amp;Y$3,'x - authors'!$B$3:$E$10000,4,FALSE))</f>
        <v/>
      </c>
      <c r="Z183" s="80" t="str">
        <f>IF(ISNA(VLOOKUP($B183&amp;":"&amp;Z$3,'x - authors'!$B$3:$E$10000,4,FALSE)),"",VLOOKUP($B183&amp;":"&amp;Z$3,'x - authors'!$B$3:$E$10000,4,FALSE))</f>
        <v/>
      </c>
      <c r="AA183" s="80" t="str">
        <f>IF(ISNA(VLOOKUP($B183&amp;":"&amp;AA$3,'x - authors'!$B$3:$E$10000,4,FALSE)),"",VLOOKUP($B183&amp;":"&amp;AA$3,'x - authors'!$B$3:$E$10000,4,FALSE))</f>
        <v/>
      </c>
      <c r="AB183" s="80" t="str">
        <f>IF(ISNA(VLOOKUP($B183&amp;":"&amp;AB$3,'x - authors'!$B$3:$E$10000,4,FALSE)),"",VLOOKUP($B183&amp;":"&amp;AB$3,'x - authors'!$B$3:$E$10000,4,FALSE))</f>
        <v/>
      </c>
      <c r="AC183" s="80" t="str">
        <f>IF(ISNA(VLOOKUP($B183&amp;":"&amp;AC$3,'x - authors'!$B$3:$E$10000,4,FALSE)),"",VLOOKUP($B183&amp;":"&amp;AC$3,'x - authors'!$B$3:$E$10000,4,FALSE))</f>
        <v/>
      </c>
      <c r="AD183" s="80" t="str">
        <f>IF(ISNA(VLOOKUP($B183&amp;":"&amp;AD$3,'x - authors'!$B$3:$E$10000,4,FALSE)),"",VLOOKUP($B183&amp;":"&amp;AD$3,'x - authors'!$B$3:$E$10000,4,FALSE))</f>
        <v/>
      </c>
      <c r="AE183" s="80" t="str">
        <f>IF(ISNA(VLOOKUP($B183&amp;":"&amp;AE$3,'x - authors'!$B$3:$E$10000,4,FALSE)),"",VLOOKUP($B183&amp;":"&amp;AE$3,'x - authors'!$B$3:$E$10000,4,FALSE))</f>
        <v/>
      </c>
      <c r="AF183" s="80" t="str">
        <f>IF(ISNA(VLOOKUP($B183&amp;":"&amp;AF$3,'x - authors'!$B$3:$E$10000,4,FALSE)),"",VLOOKUP($B183&amp;":"&amp;AF$3,'x - authors'!$B$3:$E$10000,4,FALSE))</f>
        <v/>
      </c>
      <c r="AG183" s="80" t="str">
        <f>IF(ISNA(VLOOKUP($B183&amp;":"&amp;AG$3,'x - authors'!$B$3:$E$10000,4,FALSE)),"",VLOOKUP($B183&amp;":"&amp;AG$3,'x - authors'!$B$3:$E$10000,4,FALSE))</f>
        <v/>
      </c>
      <c r="AH183" s="80" t="str">
        <f>IF(ISNA(VLOOKUP($B183&amp;":"&amp;AH$3,'x - authors'!$B$3:$E$10000,4,FALSE)),"",VLOOKUP($B183&amp;":"&amp;AH$3,'x - authors'!$B$3:$E$10000,4,FALSE))</f>
        <v/>
      </c>
      <c r="AI183" s="80" t="str">
        <f>IF(ISNA(VLOOKUP($B183&amp;":"&amp;AI$3,'x - authors'!$B$3:$E$10000,4,FALSE)),"",VLOOKUP($B183&amp;":"&amp;AI$3,'x - authors'!$B$3:$E$10000,4,FALSE))</f>
        <v/>
      </c>
    </row>
    <row r="184" spans="2:35">
      <c r="B184" s="65" t="s">
        <v>6592</v>
      </c>
      <c r="C184" s="65" t="s">
        <v>129</v>
      </c>
      <c r="D184" s="65" t="s">
        <v>6593</v>
      </c>
      <c r="E184" s="83" t="s">
        <v>6760</v>
      </c>
      <c r="F184" s="65"/>
      <c r="G184" s="65"/>
      <c r="H184" s="65" t="s">
        <v>6594</v>
      </c>
      <c r="I184" s="65"/>
      <c r="J184" s="65" t="s">
        <v>6596</v>
      </c>
      <c r="K184" s="65"/>
      <c r="L184" s="65" t="s">
        <v>6597</v>
      </c>
      <c r="M184" s="65"/>
      <c r="N184" s="65"/>
      <c r="O184" s="15" t="str">
        <f t="shared" si="2"/>
        <v>citation:doc-x0648-01</v>
      </c>
      <c r="Q184" s="15" t="str">
        <f>VLOOKUP($O184,'x - paper citations'!$B$3:$E$2000,2,FALSE)</f>
        <v>https://scholar.google.co.uk/scholar?q=%22Linear precoded cooperative transmission protocol for wireless broadcast channels%22&amp;btnG=&amp;hl=en&amp;as_sdt=0%2C5</v>
      </c>
      <c r="R184" s="15">
        <f>VLOOKUP($O184,'x - paper citations'!$B$3:$E$2000,3,FALSE)</f>
        <v>5</v>
      </c>
      <c r="S184" s="15" t="str">
        <f>VLOOKUP($O184,'x - paper citations'!$B$3:$E$2000,4,FALSE)</f>
        <v>29/02/2016</v>
      </c>
      <c r="U184" s="80" t="str">
        <f>IF(ISNA(VLOOKUP($B184&amp;":"&amp;U$3,'x - authors'!$B$3:$E$10000,4,FALSE)),"",VLOOKUP($B184&amp;":"&amp;U$3,'x - authors'!$B$3:$E$10000,4,FALSE))</f>
        <v>chee_yen_leow</v>
      </c>
      <c r="V184" s="80" t="str">
        <f>IF(ISNA(VLOOKUP($B184&amp;":"&amp;V$3,'x - authors'!$B$3:$E$10000,4,FALSE)),"",VLOOKUP($B184&amp;":"&amp;V$3,'x - authors'!$B$3:$E$10000,4,FALSE))</f>
        <v>zhiguo_ding</v>
      </c>
      <c r="W184" s="80" t="str">
        <f>IF(ISNA(VLOOKUP($B184&amp;":"&amp;W$3,'x - authors'!$B$3:$E$10000,4,FALSE)),"",VLOOKUP($B184&amp;":"&amp;W$3,'x - authors'!$B$3:$E$10000,4,FALSE))</f>
        <v>kin_leung</v>
      </c>
      <c r="X184" s="80" t="str">
        <f>IF(ISNA(VLOOKUP($B184&amp;":"&amp;X$3,'x - authors'!$B$3:$E$10000,4,FALSE)),"",VLOOKUP($B184&amp;":"&amp;X$3,'x - authors'!$B$3:$E$10000,4,FALSE))</f>
        <v/>
      </c>
      <c r="Y184" s="80" t="str">
        <f>IF(ISNA(VLOOKUP($B184&amp;":"&amp;Y$3,'x - authors'!$B$3:$E$10000,4,FALSE)),"",VLOOKUP($B184&amp;":"&amp;Y$3,'x - authors'!$B$3:$E$10000,4,FALSE))</f>
        <v/>
      </c>
      <c r="Z184" s="80" t="str">
        <f>IF(ISNA(VLOOKUP($B184&amp;":"&amp;Z$3,'x - authors'!$B$3:$E$10000,4,FALSE)),"",VLOOKUP($B184&amp;":"&amp;Z$3,'x - authors'!$B$3:$E$10000,4,FALSE))</f>
        <v/>
      </c>
      <c r="AA184" s="80" t="str">
        <f>IF(ISNA(VLOOKUP($B184&amp;":"&amp;AA$3,'x - authors'!$B$3:$E$10000,4,FALSE)),"",VLOOKUP($B184&amp;":"&amp;AA$3,'x - authors'!$B$3:$E$10000,4,FALSE))</f>
        <v/>
      </c>
      <c r="AB184" s="80" t="str">
        <f>IF(ISNA(VLOOKUP($B184&amp;":"&amp;AB$3,'x - authors'!$B$3:$E$10000,4,FALSE)),"",VLOOKUP($B184&amp;":"&amp;AB$3,'x - authors'!$B$3:$E$10000,4,FALSE))</f>
        <v/>
      </c>
      <c r="AC184" s="80" t="str">
        <f>IF(ISNA(VLOOKUP($B184&amp;":"&amp;AC$3,'x - authors'!$B$3:$E$10000,4,FALSE)),"",VLOOKUP($B184&amp;":"&amp;AC$3,'x - authors'!$B$3:$E$10000,4,FALSE))</f>
        <v/>
      </c>
      <c r="AD184" s="80" t="str">
        <f>IF(ISNA(VLOOKUP($B184&amp;":"&amp;AD$3,'x - authors'!$B$3:$E$10000,4,FALSE)),"",VLOOKUP($B184&amp;":"&amp;AD$3,'x - authors'!$B$3:$E$10000,4,FALSE))</f>
        <v/>
      </c>
      <c r="AE184" s="80" t="str">
        <f>IF(ISNA(VLOOKUP($B184&amp;":"&amp;AE$3,'x - authors'!$B$3:$E$10000,4,FALSE)),"",VLOOKUP($B184&amp;":"&amp;AE$3,'x - authors'!$B$3:$E$10000,4,FALSE))</f>
        <v/>
      </c>
      <c r="AF184" s="80" t="str">
        <f>IF(ISNA(VLOOKUP($B184&amp;":"&amp;AF$3,'x - authors'!$B$3:$E$10000,4,FALSE)),"",VLOOKUP($B184&amp;":"&amp;AF$3,'x - authors'!$B$3:$E$10000,4,FALSE))</f>
        <v/>
      </c>
      <c r="AG184" s="80" t="str">
        <f>IF(ISNA(VLOOKUP($B184&amp;":"&amp;AG$3,'x - authors'!$B$3:$E$10000,4,FALSE)),"",VLOOKUP($B184&amp;":"&amp;AG$3,'x - authors'!$B$3:$E$10000,4,FALSE))</f>
        <v/>
      </c>
      <c r="AH184" s="80" t="str">
        <f>IF(ISNA(VLOOKUP($B184&amp;":"&amp;AH$3,'x - authors'!$B$3:$E$10000,4,FALSE)),"",VLOOKUP($B184&amp;":"&amp;AH$3,'x - authors'!$B$3:$E$10000,4,FALSE))</f>
        <v/>
      </c>
      <c r="AI184" s="80" t="str">
        <f>IF(ISNA(VLOOKUP($B184&amp;":"&amp;AI$3,'x - authors'!$B$3:$E$10000,4,FALSE)),"",VLOOKUP($B184&amp;":"&amp;AI$3,'x - authors'!$B$3:$E$10000,4,FALSE))</f>
        <v/>
      </c>
    </row>
    <row r="185" spans="2:35">
      <c r="B185" s="65" t="s">
        <v>6598</v>
      </c>
      <c r="C185" s="65" t="s">
        <v>129</v>
      </c>
      <c r="D185" s="65" t="s">
        <v>6599</v>
      </c>
      <c r="E185" s="83" t="s">
        <v>6760</v>
      </c>
      <c r="F185" s="65"/>
      <c r="G185" s="65"/>
      <c r="H185" s="65" t="s">
        <v>6600</v>
      </c>
      <c r="I185" s="65"/>
      <c r="J185" s="65" t="s">
        <v>6602</v>
      </c>
      <c r="K185" s="65"/>
      <c r="L185" s="65" t="s">
        <v>6603</v>
      </c>
      <c r="M185" s="65"/>
      <c r="N185" s="65"/>
      <c r="O185" s="15" t="str">
        <f t="shared" si="2"/>
        <v>citation:doc-x0664-01</v>
      </c>
      <c r="Q185" s="15" t="str">
        <f>VLOOKUP($O185,'x - paper citations'!$B$3:$E$2000,2,FALSE)</f>
        <v>https://scholar.google.co.uk/scholar?q=%22Masquerade mimicry attack detection: A randomised approach%22&amp;btnG=&amp;hl=en&amp;as_sdt=0%2C5</v>
      </c>
      <c r="R185" s="15">
        <f>VLOOKUP($O185,'x - paper citations'!$B$3:$E$2000,3,FALSE)</f>
        <v>13</v>
      </c>
      <c r="S185" s="15" t="str">
        <f>VLOOKUP($O185,'x - paper citations'!$B$3:$E$2000,4,FALSE)</f>
        <v>06/03/2016</v>
      </c>
      <c r="U185" s="80" t="str">
        <f>IF(ISNA(VLOOKUP($B185&amp;":"&amp;U$3,'x - authors'!$B$3:$E$10000,4,FALSE)),"",VLOOKUP($B185&amp;":"&amp;U$3,'x - authors'!$B$3:$E$10000,4,FALSE))</f>
        <v>juan_tapiador</v>
      </c>
      <c r="V185" s="80" t="str">
        <f>IF(ISNA(VLOOKUP($B185&amp;":"&amp;V$3,'x - authors'!$B$3:$E$10000,4,FALSE)),"",VLOOKUP($B185&amp;":"&amp;V$3,'x - authors'!$B$3:$E$10000,4,FALSE))</f>
        <v>john_clark</v>
      </c>
      <c r="W185" s="80" t="str">
        <f>IF(ISNA(VLOOKUP($B185&amp;":"&amp;W$3,'x - authors'!$B$3:$E$10000,4,FALSE)),"",VLOOKUP($B185&amp;":"&amp;W$3,'x - authors'!$B$3:$E$10000,4,FALSE))</f>
        <v/>
      </c>
      <c r="X185" s="80" t="str">
        <f>IF(ISNA(VLOOKUP($B185&amp;":"&amp;X$3,'x - authors'!$B$3:$E$10000,4,FALSE)),"",VLOOKUP($B185&amp;":"&amp;X$3,'x - authors'!$B$3:$E$10000,4,FALSE))</f>
        <v/>
      </c>
      <c r="Y185" s="80" t="str">
        <f>IF(ISNA(VLOOKUP($B185&amp;":"&amp;Y$3,'x - authors'!$B$3:$E$10000,4,FALSE)),"",VLOOKUP($B185&amp;":"&amp;Y$3,'x - authors'!$B$3:$E$10000,4,FALSE))</f>
        <v/>
      </c>
      <c r="Z185" s="80" t="str">
        <f>IF(ISNA(VLOOKUP($B185&amp;":"&amp;Z$3,'x - authors'!$B$3:$E$10000,4,FALSE)),"",VLOOKUP($B185&amp;":"&amp;Z$3,'x - authors'!$B$3:$E$10000,4,FALSE))</f>
        <v/>
      </c>
      <c r="AA185" s="80" t="str">
        <f>IF(ISNA(VLOOKUP($B185&amp;":"&amp;AA$3,'x - authors'!$B$3:$E$10000,4,FALSE)),"",VLOOKUP($B185&amp;":"&amp;AA$3,'x - authors'!$B$3:$E$10000,4,FALSE))</f>
        <v/>
      </c>
      <c r="AB185" s="80" t="str">
        <f>IF(ISNA(VLOOKUP($B185&amp;":"&amp;AB$3,'x - authors'!$B$3:$E$10000,4,FALSE)),"",VLOOKUP($B185&amp;":"&amp;AB$3,'x - authors'!$B$3:$E$10000,4,FALSE))</f>
        <v/>
      </c>
      <c r="AC185" s="80" t="str">
        <f>IF(ISNA(VLOOKUP($B185&amp;":"&amp;AC$3,'x - authors'!$B$3:$E$10000,4,FALSE)),"",VLOOKUP($B185&amp;":"&amp;AC$3,'x - authors'!$B$3:$E$10000,4,FALSE))</f>
        <v/>
      </c>
      <c r="AD185" s="80" t="str">
        <f>IF(ISNA(VLOOKUP($B185&amp;":"&amp;AD$3,'x - authors'!$B$3:$E$10000,4,FALSE)),"",VLOOKUP($B185&amp;":"&amp;AD$3,'x - authors'!$B$3:$E$10000,4,FALSE))</f>
        <v/>
      </c>
      <c r="AE185" s="80" t="str">
        <f>IF(ISNA(VLOOKUP($B185&amp;":"&amp;AE$3,'x - authors'!$B$3:$E$10000,4,FALSE)),"",VLOOKUP($B185&amp;":"&amp;AE$3,'x - authors'!$B$3:$E$10000,4,FALSE))</f>
        <v/>
      </c>
      <c r="AF185" s="80" t="str">
        <f>IF(ISNA(VLOOKUP($B185&amp;":"&amp;AF$3,'x - authors'!$B$3:$E$10000,4,FALSE)),"",VLOOKUP($B185&amp;":"&amp;AF$3,'x - authors'!$B$3:$E$10000,4,FALSE))</f>
        <v/>
      </c>
      <c r="AG185" s="80" t="str">
        <f>IF(ISNA(VLOOKUP($B185&amp;":"&amp;AG$3,'x - authors'!$B$3:$E$10000,4,FALSE)),"",VLOOKUP($B185&amp;":"&amp;AG$3,'x - authors'!$B$3:$E$10000,4,FALSE))</f>
        <v/>
      </c>
      <c r="AH185" s="80" t="str">
        <f>IF(ISNA(VLOOKUP($B185&amp;":"&amp;AH$3,'x - authors'!$B$3:$E$10000,4,FALSE)),"",VLOOKUP($B185&amp;":"&amp;AH$3,'x - authors'!$B$3:$E$10000,4,FALSE))</f>
        <v/>
      </c>
      <c r="AI185" s="80" t="str">
        <f>IF(ISNA(VLOOKUP($B185&amp;":"&amp;AI$3,'x - authors'!$B$3:$E$10000,4,FALSE)),"",VLOOKUP($B185&amp;":"&amp;AI$3,'x - authors'!$B$3:$E$10000,4,FALSE))</f>
        <v/>
      </c>
    </row>
    <row r="186" spans="2:35">
      <c r="B186" s="65" t="s">
        <v>6604</v>
      </c>
      <c r="C186" s="65" t="s">
        <v>129</v>
      </c>
      <c r="D186" s="65" t="s">
        <v>6605</v>
      </c>
      <c r="E186" s="83" t="s">
        <v>6763</v>
      </c>
      <c r="F186" s="65"/>
      <c r="G186" s="65"/>
      <c r="H186" s="65" t="s">
        <v>6606</v>
      </c>
      <c r="I186" s="65"/>
      <c r="J186" s="65" t="s">
        <v>6608</v>
      </c>
      <c r="K186" s="65"/>
      <c r="L186" s="65" t="s">
        <v>6609</v>
      </c>
      <c r="M186" s="65" t="s">
        <v>6610</v>
      </c>
      <c r="N186" s="65"/>
      <c r="O186" s="15" t="str">
        <f t="shared" si="2"/>
        <v>citation:doc-x0678-01</v>
      </c>
      <c r="Q186" s="15" t="str">
        <f>VLOOKUP($O186,'x - paper citations'!$B$3:$E$2000,2,FALSE)</f>
        <v>https://scholar.google.co.uk/scholar?q=%22Minimum congestion mapping in a cloud%22&amp;btnG=&amp;hl=en&amp;as_sdt=0%2C5</v>
      </c>
      <c r="R186" s="15">
        <f>VLOOKUP($O186,'x - paper citations'!$B$3:$E$2000,3,FALSE)</f>
        <v>1</v>
      </c>
      <c r="S186" s="15" t="str">
        <f>VLOOKUP($O186,'x - paper citations'!$B$3:$E$2000,4,FALSE)</f>
        <v>06/03/2016</v>
      </c>
      <c r="U186" s="80" t="str">
        <f>IF(ISNA(VLOOKUP($B186&amp;":"&amp;U$3,'x - authors'!$B$3:$E$10000,4,FALSE)),"",VLOOKUP($B186&amp;":"&amp;U$3,'x - authors'!$B$3:$E$10000,4,FALSE))</f>
        <v>nikhil_bansal</v>
      </c>
      <c r="V186" s="80" t="str">
        <f>IF(ISNA(VLOOKUP($B186&amp;":"&amp;V$3,'x - authors'!$B$3:$E$10000,4,FALSE)),"",VLOOKUP($B186&amp;":"&amp;V$3,'x - authors'!$B$3:$E$10000,4,FALSE))</f>
        <v>kang_won_lee</v>
      </c>
      <c r="W186" s="80" t="str">
        <f>IF(ISNA(VLOOKUP($B186&amp;":"&amp;W$3,'x - authors'!$B$3:$E$10000,4,FALSE)),"",VLOOKUP($B186&amp;":"&amp;W$3,'x - authors'!$B$3:$E$10000,4,FALSE))</f>
        <v>viswanath_nagarajan</v>
      </c>
      <c r="X186" s="80" t="str">
        <f>IF(ISNA(VLOOKUP($B186&amp;":"&amp;X$3,'x - authors'!$B$3:$E$10000,4,FALSE)),"",VLOOKUP($B186&amp;":"&amp;X$3,'x - authors'!$B$3:$E$10000,4,FALSE))</f>
        <v>murtaza_zafer</v>
      </c>
      <c r="Y186" s="80" t="str">
        <f>IF(ISNA(VLOOKUP($B186&amp;":"&amp;Y$3,'x - authors'!$B$3:$E$10000,4,FALSE)),"",VLOOKUP($B186&amp;":"&amp;Y$3,'x - authors'!$B$3:$E$10000,4,FALSE))</f>
        <v/>
      </c>
      <c r="Z186" s="80" t="str">
        <f>IF(ISNA(VLOOKUP($B186&amp;":"&amp;Z$3,'x - authors'!$B$3:$E$10000,4,FALSE)),"",VLOOKUP($B186&amp;":"&amp;Z$3,'x - authors'!$B$3:$E$10000,4,FALSE))</f>
        <v/>
      </c>
      <c r="AA186" s="80" t="str">
        <f>IF(ISNA(VLOOKUP($B186&amp;":"&amp;AA$3,'x - authors'!$B$3:$E$10000,4,FALSE)),"",VLOOKUP($B186&amp;":"&amp;AA$3,'x - authors'!$B$3:$E$10000,4,FALSE))</f>
        <v/>
      </c>
      <c r="AB186" s="80" t="str">
        <f>IF(ISNA(VLOOKUP($B186&amp;":"&amp;AB$3,'x - authors'!$B$3:$E$10000,4,FALSE)),"",VLOOKUP($B186&amp;":"&amp;AB$3,'x - authors'!$B$3:$E$10000,4,FALSE))</f>
        <v/>
      </c>
      <c r="AC186" s="80" t="str">
        <f>IF(ISNA(VLOOKUP($B186&amp;":"&amp;AC$3,'x - authors'!$B$3:$E$10000,4,FALSE)),"",VLOOKUP($B186&amp;":"&amp;AC$3,'x - authors'!$B$3:$E$10000,4,FALSE))</f>
        <v/>
      </c>
      <c r="AD186" s="80" t="str">
        <f>IF(ISNA(VLOOKUP($B186&amp;":"&amp;AD$3,'x - authors'!$B$3:$E$10000,4,FALSE)),"",VLOOKUP($B186&amp;":"&amp;AD$3,'x - authors'!$B$3:$E$10000,4,FALSE))</f>
        <v/>
      </c>
      <c r="AE186" s="80" t="str">
        <f>IF(ISNA(VLOOKUP($B186&amp;":"&amp;AE$3,'x - authors'!$B$3:$E$10000,4,FALSE)),"",VLOOKUP($B186&amp;":"&amp;AE$3,'x - authors'!$B$3:$E$10000,4,FALSE))</f>
        <v/>
      </c>
      <c r="AF186" s="80" t="str">
        <f>IF(ISNA(VLOOKUP($B186&amp;":"&amp;AF$3,'x - authors'!$B$3:$E$10000,4,FALSE)),"",VLOOKUP($B186&amp;":"&amp;AF$3,'x - authors'!$B$3:$E$10000,4,FALSE))</f>
        <v/>
      </c>
      <c r="AG186" s="80" t="str">
        <f>IF(ISNA(VLOOKUP($B186&amp;":"&amp;AG$3,'x - authors'!$B$3:$E$10000,4,FALSE)),"",VLOOKUP($B186&amp;":"&amp;AG$3,'x - authors'!$B$3:$E$10000,4,FALSE))</f>
        <v/>
      </c>
      <c r="AH186" s="80" t="str">
        <f>IF(ISNA(VLOOKUP($B186&amp;":"&amp;AH$3,'x - authors'!$B$3:$E$10000,4,FALSE)),"",VLOOKUP($B186&amp;":"&amp;AH$3,'x - authors'!$B$3:$E$10000,4,FALSE))</f>
        <v/>
      </c>
      <c r="AI186" s="80" t="str">
        <f>IF(ISNA(VLOOKUP($B186&amp;":"&amp;AI$3,'x - authors'!$B$3:$E$10000,4,FALSE)),"",VLOOKUP($B186&amp;":"&amp;AI$3,'x - authors'!$B$3:$E$10000,4,FALSE))</f>
        <v/>
      </c>
    </row>
    <row r="187" spans="2:35">
      <c r="B187" s="65" t="s">
        <v>6611</v>
      </c>
      <c r="C187" s="65" t="s">
        <v>129</v>
      </c>
      <c r="D187" s="65" t="s">
        <v>6612</v>
      </c>
      <c r="E187" s="83" t="s">
        <v>6756</v>
      </c>
      <c r="F187" s="65"/>
      <c r="G187" s="65"/>
      <c r="H187" s="65" t="s">
        <v>6613</v>
      </c>
      <c r="I187" s="65"/>
      <c r="J187" s="65" t="s">
        <v>6615</v>
      </c>
      <c r="K187" s="65"/>
      <c r="L187" s="65" t="s">
        <v>6616</v>
      </c>
      <c r="M187" s="65"/>
      <c r="N187" s="65"/>
      <c r="O187" s="15" t="str">
        <f t="shared" si="2"/>
        <v>citation:doc-x0709-01</v>
      </c>
      <c r="Q187" s="15" t="str">
        <f>VLOOKUP($O187,'x - paper citations'!$B$3:$E$2000,2,FALSE)</f>
        <v>https://scholar.google.co.uk/scholar?q=%22MUSE: asset risk scoring in enterprise network with mutually reinforced reputation propagation%22&amp;btnG=&amp;hl=en&amp;as_sdt=0%2C5</v>
      </c>
      <c r="R187" s="15">
        <f>VLOOKUP($O187,'x - paper citations'!$B$3:$E$2000,3,FALSE)</f>
        <v>0</v>
      </c>
      <c r="S187" s="15" t="str">
        <f>VLOOKUP($O187,'x - paper citations'!$B$3:$E$2000,4,FALSE)</f>
        <v>29/02/2016</v>
      </c>
      <c r="U187" s="80" t="str">
        <f>IF(ISNA(VLOOKUP($B187&amp;":"&amp;U$3,'x - authors'!$B$3:$E$10000,4,FALSE)),"",VLOOKUP($B187&amp;":"&amp;U$3,'x - authors'!$B$3:$E$10000,4,FALSE))</f>
        <v>xin_hu</v>
      </c>
      <c r="V187" s="80" t="str">
        <f>IF(ISNA(VLOOKUP($B187&amp;":"&amp;V$3,'x - authors'!$B$3:$E$10000,4,FALSE)),"",VLOOKUP($B187&amp;":"&amp;V$3,'x - authors'!$B$3:$E$10000,4,FALSE))</f>
        <v>ting_wang</v>
      </c>
      <c r="W187" s="80" t="str">
        <f>IF(ISNA(VLOOKUP($B187&amp;":"&amp;W$3,'x - authors'!$B$3:$E$10000,4,FALSE)),"",VLOOKUP($B187&amp;":"&amp;W$3,'x - authors'!$B$3:$E$10000,4,FALSE))</f>
        <v>marc_stoecklin</v>
      </c>
      <c r="X187" s="80" t="str">
        <f>IF(ISNA(VLOOKUP($B187&amp;":"&amp;X$3,'x - authors'!$B$3:$E$10000,4,FALSE)),"",VLOOKUP($B187&amp;":"&amp;X$3,'x - authors'!$B$3:$E$10000,4,FALSE))</f>
        <v>douglas_schales</v>
      </c>
      <c r="Y187" s="80" t="str">
        <f>IF(ISNA(VLOOKUP($B187&amp;":"&amp;Y$3,'x - authors'!$B$3:$E$10000,4,FALSE)),"",VLOOKUP($B187&amp;":"&amp;Y$3,'x - authors'!$B$3:$E$10000,4,FALSE))</f>
        <v>jiyong_jang</v>
      </c>
      <c r="Z187" s="80" t="str">
        <f>IF(ISNA(VLOOKUP($B187&amp;":"&amp;Z$3,'x - authors'!$B$3:$E$10000,4,FALSE)),"",VLOOKUP($B187&amp;":"&amp;Z$3,'x - authors'!$B$3:$E$10000,4,FALSE))</f>
        <v>reiner_sailer</v>
      </c>
      <c r="AA187" s="80" t="str">
        <f>IF(ISNA(VLOOKUP($B187&amp;":"&amp;AA$3,'x - authors'!$B$3:$E$10000,4,FALSE)),"",VLOOKUP($B187&amp;":"&amp;AA$3,'x - authors'!$B$3:$E$10000,4,FALSE))</f>
        <v/>
      </c>
      <c r="AB187" s="80" t="str">
        <f>IF(ISNA(VLOOKUP($B187&amp;":"&amp;AB$3,'x - authors'!$B$3:$E$10000,4,FALSE)),"",VLOOKUP($B187&amp;":"&amp;AB$3,'x - authors'!$B$3:$E$10000,4,FALSE))</f>
        <v/>
      </c>
      <c r="AC187" s="80" t="str">
        <f>IF(ISNA(VLOOKUP($B187&amp;":"&amp;AC$3,'x - authors'!$B$3:$E$10000,4,FALSE)),"",VLOOKUP($B187&amp;":"&amp;AC$3,'x - authors'!$B$3:$E$10000,4,FALSE))</f>
        <v/>
      </c>
      <c r="AD187" s="80" t="str">
        <f>IF(ISNA(VLOOKUP($B187&amp;":"&amp;AD$3,'x - authors'!$B$3:$E$10000,4,FALSE)),"",VLOOKUP($B187&amp;":"&amp;AD$3,'x - authors'!$B$3:$E$10000,4,FALSE))</f>
        <v/>
      </c>
      <c r="AE187" s="80" t="str">
        <f>IF(ISNA(VLOOKUP($B187&amp;":"&amp;AE$3,'x - authors'!$B$3:$E$10000,4,FALSE)),"",VLOOKUP($B187&amp;":"&amp;AE$3,'x - authors'!$B$3:$E$10000,4,FALSE))</f>
        <v/>
      </c>
      <c r="AF187" s="80" t="str">
        <f>IF(ISNA(VLOOKUP($B187&amp;":"&amp;AF$3,'x - authors'!$B$3:$E$10000,4,FALSE)),"",VLOOKUP($B187&amp;":"&amp;AF$3,'x - authors'!$B$3:$E$10000,4,FALSE))</f>
        <v/>
      </c>
      <c r="AG187" s="80" t="str">
        <f>IF(ISNA(VLOOKUP($B187&amp;":"&amp;AG$3,'x - authors'!$B$3:$E$10000,4,FALSE)),"",VLOOKUP($B187&amp;":"&amp;AG$3,'x - authors'!$B$3:$E$10000,4,FALSE))</f>
        <v/>
      </c>
      <c r="AH187" s="80" t="str">
        <f>IF(ISNA(VLOOKUP($B187&amp;":"&amp;AH$3,'x - authors'!$B$3:$E$10000,4,FALSE)),"",VLOOKUP($B187&amp;":"&amp;AH$3,'x - authors'!$B$3:$E$10000,4,FALSE))</f>
        <v/>
      </c>
      <c r="AI187" s="80" t="str">
        <f>IF(ISNA(VLOOKUP($B187&amp;":"&amp;AI$3,'x - authors'!$B$3:$E$10000,4,FALSE)),"",VLOOKUP($B187&amp;":"&amp;AI$3,'x - authors'!$B$3:$E$10000,4,FALSE))</f>
        <v/>
      </c>
    </row>
    <row r="188" spans="2:35">
      <c r="B188" s="65" t="s">
        <v>6618</v>
      </c>
      <c r="C188" s="65" t="s">
        <v>129</v>
      </c>
      <c r="D188" s="65" t="s">
        <v>6619</v>
      </c>
      <c r="E188" s="83" t="s">
        <v>6760</v>
      </c>
      <c r="F188" s="65"/>
      <c r="G188" s="65"/>
      <c r="H188" s="65" t="s">
        <v>6620</v>
      </c>
      <c r="I188" s="65"/>
      <c r="J188" s="65" t="s">
        <v>6622</v>
      </c>
      <c r="K188" s="65"/>
      <c r="L188" s="65" t="s">
        <v>6623</v>
      </c>
      <c r="M188" s="65"/>
      <c r="N188" s="65"/>
      <c r="O188" s="15" t="str">
        <f t="shared" si="2"/>
        <v>citation:doc-x0736-01</v>
      </c>
      <c r="Q188" s="15" t="str">
        <f>VLOOKUP($O188,'x - paper citations'!$B$3:$E$2000,2,FALSE)</f>
        <v>https://scholar.google.co.uk/scholar?q=%22On the design of network coding for multiple two-way relaying channels%22&amp;btnG=&amp;hl=en&amp;as_sdt=0%2C5</v>
      </c>
      <c r="R188" s="15">
        <f>VLOOKUP($O188,'x - paper citations'!$B$3:$E$2000,3,FALSE)</f>
        <v>42</v>
      </c>
      <c r="S188" s="15" t="str">
        <f>VLOOKUP($O188,'x - paper citations'!$B$3:$E$2000,4,FALSE)</f>
        <v>29/02/2016</v>
      </c>
      <c r="U188" s="80" t="str">
        <f>IF(ISNA(VLOOKUP($B188&amp;":"&amp;U$3,'x - authors'!$B$3:$E$10000,4,FALSE)),"",VLOOKUP($B188&amp;":"&amp;U$3,'x - authors'!$B$3:$E$10000,4,FALSE))</f>
        <v>zhiguo_ding</v>
      </c>
      <c r="V188" s="80" t="str">
        <f>IF(ISNA(VLOOKUP($B188&amp;":"&amp;V$3,'x - authors'!$B$3:$E$10000,4,FALSE)),"",VLOOKUP($B188&amp;":"&amp;V$3,'x - authors'!$B$3:$E$10000,4,FALSE))</f>
        <v>ting_wang</v>
      </c>
      <c r="W188" s="80" t="str">
        <f>IF(ISNA(VLOOKUP($B188&amp;":"&amp;W$3,'x - authors'!$B$3:$E$10000,4,FALSE)),"",VLOOKUP($B188&amp;":"&amp;W$3,'x - authors'!$B$3:$E$10000,4,FALSE))</f>
        <v>mugen_peng</v>
      </c>
      <c r="X188" s="80" t="str">
        <f>IF(ISNA(VLOOKUP($B188&amp;":"&amp;X$3,'x - authors'!$B$3:$E$10000,4,FALSE)),"",VLOOKUP($B188&amp;":"&amp;X$3,'x - authors'!$B$3:$E$10000,4,FALSE))</f>
        <v>wenbo_wang</v>
      </c>
      <c r="Y188" s="80" t="str">
        <f>IF(ISNA(VLOOKUP($B188&amp;":"&amp;Y$3,'x - authors'!$B$3:$E$10000,4,FALSE)),"",VLOOKUP($B188&amp;":"&amp;Y$3,'x - authors'!$B$3:$E$10000,4,FALSE))</f>
        <v>kin_leung</v>
      </c>
      <c r="Z188" s="80" t="str">
        <f>IF(ISNA(VLOOKUP($B188&amp;":"&amp;Z$3,'x - authors'!$B$3:$E$10000,4,FALSE)),"",VLOOKUP($B188&amp;":"&amp;Z$3,'x - authors'!$B$3:$E$10000,4,FALSE))</f>
        <v/>
      </c>
      <c r="AA188" s="80" t="str">
        <f>IF(ISNA(VLOOKUP($B188&amp;":"&amp;AA$3,'x - authors'!$B$3:$E$10000,4,FALSE)),"",VLOOKUP($B188&amp;":"&amp;AA$3,'x - authors'!$B$3:$E$10000,4,FALSE))</f>
        <v/>
      </c>
      <c r="AB188" s="80" t="str">
        <f>IF(ISNA(VLOOKUP($B188&amp;":"&amp;AB$3,'x - authors'!$B$3:$E$10000,4,FALSE)),"",VLOOKUP($B188&amp;":"&amp;AB$3,'x - authors'!$B$3:$E$10000,4,FALSE))</f>
        <v/>
      </c>
      <c r="AC188" s="80" t="str">
        <f>IF(ISNA(VLOOKUP($B188&amp;":"&amp;AC$3,'x - authors'!$B$3:$E$10000,4,FALSE)),"",VLOOKUP($B188&amp;":"&amp;AC$3,'x - authors'!$B$3:$E$10000,4,FALSE))</f>
        <v/>
      </c>
      <c r="AD188" s="80" t="str">
        <f>IF(ISNA(VLOOKUP($B188&amp;":"&amp;AD$3,'x - authors'!$B$3:$E$10000,4,FALSE)),"",VLOOKUP($B188&amp;":"&amp;AD$3,'x - authors'!$B$3:$E$10000,4,FALSE))</f>
        <v/>
      </c>
      <c r="AE188" s="80" t="str">
        <f>IF(ISNA(VLOOKUP($B188&amp;":"&amp;AE$3,'x - authors'!$B$3:$E$10000,4,FALSE)),"",VLOOKUP($B188&amp;":"&amp;AE$3,'x - authors'!$B$3:$E$10000,4,FALSE))</f>
        <v/>
      </c>
      <c r="AF188" s="80" t="str">
        <f>IF(ISNA(VLOOKUP($B188&amp;":"&amp;AF$3,'x - authors'!$B$3:$E$10000,4,FALSE)),"",VLOOKUP($B188&amp;":"&amp;AF$3,'x - authors'!$B$3:$E$10000,4,FALSE))</f>
        <v/>
      </c>
      <c r="AG188" s="80" t="str">
        <f>IF(ISNA(VLOOKUP($B188&amp;":"&amp;AG$3,'x - authors'!$B$3:$E$10000,4,FALSE)),"",VLOOKUP($B188&amp;":"&amp;AG$3,'x - authors'!$B$3:$E$10000,4,FALSE))</f>
        <v/>
      </c>
      <c r="AH188" s="80" t="str">
        <f>IF(ISNA(VLOOKUP($B188&amp;":"&amp;AH$3,'x - authors'!$B$3:$E$10000,4,FALSE)),"",VLOOKUP($B188&amp;":"&amp;AH$3,'x - authors'!$B$3:$E$10000,4,FALSE))</f>
        <v/>
      </c>
      <c r="AI188" s="80" t="str">
        <f>IF(ISNA(VLOOKUP($B188&amp;":"&amp;AI$3,'x - authors'!$B$3:$E$10000,4,FALSE)),"",VLOOKUP($B188&amp;":"&amp;AI$3,'x - authors'!$B$3:$E$10000,4,FALSE))</f>
        <v/>
      </c>
    </row>
    <row r="189" spans="2:35">
      <c r="B189" s="65" t="s">
        <v>6624</v>
      </c>
      <c r="C189" s="65" t="s">
        <v>129</v>
      </c>
      <c r="D189" s="65" t="s">
        <v>6625</v>
      </c>
      <c r="E189" s="83" t="s">
        <v>6763</v>
      </c>
      <c r="F189" s="65"/>
      <c r="G189" s="65"/>
      <c r="H189" s="65" t="s">
        <v>6626</v>
      </c>
      <c r="I189" s="65"/>
      <c r="J189" s="65" t="s">
        <v>6628</v>
      </c>
      <c r="K189" s="65"/>
      <c r="L189" s="65" t="s">
        <v>6629</v>
      </c>
      <c r="M189" s="65"/>
      <c r="N189" s="65"/>
      <c r="O189" s="15" t="str">
        <f t="shared" si="2"/>
        <v>citation:doc-x0743-01</v>
      </c>
      <c r="Q189" s="15" t="str">
        <f>VLOOKUP($O189,'x - paper citations'!$B$3:$E$2000,2,FALSE)</f>
        <v>https://scholar.google.co.uk/scholar?q=%22On-demand discovery of software service dependencies in MANETs%22&amp;btnG=&amp;hl=en&amp;as_sdt=0%2C5</v>
      </c>
      <c r="R189" s="15">
        <f>VLOOKUP($O189,'x - paper citations'!$B$3:$E$2000,3,FALSE)</f>
        <v>4</v>
      </c>
      <c r="S189" s="15" t="str">
        <f>VLOOKUP($O189,'x - paper citations'!$B$3:$E$2000,4,FALSE)</f>
        <v>06/03/2016</v>
      </c>
      <c r="U189" s="80" t="str">
        <f>IF(ISNA(VLOOKUP($B189&amp;":"&amp;U$3,'x - authors'!$B$3:$E$10000,4,FALSE)),"",VLOOKUP($B189&amp;":"&amp;U$3,'x - authors'!$B$3:$E$10000,4,FALSE))</f>
        <v>petr_novotny</v>
      </c>
      <c r="V189" s="80" t="str">
        <f>IF(ISNA(VLOOKUP($B189&amp;":"&amp;V$3,'x - authors'!$B$3:$E$10000,4,FALSE)),"",VLOOKUP($B189&amp;":"&amp;V$3,'x - authors'!$B$3:$E$10000,4,FALSE))</f>
        <v>bong_jun_ko</v>
      </c>
      <c r="W189" s="80" t="str">
        <f>IF(ISNA(VLOOKUP($B189&amp;":"&amp;W$3,'x - authors'!$B$3:$E$10000,4,FALSE)),"",VLOOKUP($B189&amp;":"&amp;W$3,'x - authors'!$B$3:$E$10000,4,FALSE))</f>
        <v>alexander_wolf</v>
      </c>
      <c r="X189" s="80" t="str">
        <f>IF(ISNA(VLOOKUP($B189&amp;":"&amp;X$3,'x - authors'!$B$3:$E$10000,4,FALSE)),"",VLOOKUP($B189&amp;":"&amp;X$3,'x - authors'!$B$3:$E$10000,4,FALSE))</f>
        <v/>
      </c>
      <c r="Y189" s="80" t="str">
        <f>IF(ISNA(VLOOKUP($B189&amp;":"&amp;Y$3,'x - authors'!$B$3:$E$10000,4,FALSE)),"",VLOOKUP($B189&amp;":"&amp;Y$3,'x - authors'!$B$3:$E$10000,4,FALSE))</f>
        <v/>
      </c>
      <c r="Z189" s="80" t="str">
        <f>IF(ISNA(VLOOKUP($B189&amp;":"&amp;Z$3,'x - authors'!$B$3:$E$10000,4,FALSE)),"",VLOOKUP($B189&amp;":"&amp;Z$3,'x - authors'!$B$3:$E$10000,4,FALSE))</f>
        <v/>
      </c>
      <c r="AA189" s="80" t="str">
        <f>IF(ISNA(VLOOKUP($B189&amp;":"&amp;AA$3,'x - authors'!$B$3:$E$10000,4,FALSE)),"",VLOOKUP($B189&amp;":"&amp;AA$3,'x - authors'!$B$3:$E$10000,4,FALSE))</f>
        <v/>
      </c>
      <c r="AB189" s="80" t="str">
        <f>IF(ISNA(VLOOKUP($B189&amp;":"&amp;AB$3,'x - authors'!$B$3:$E$10000,4,FALSE)),"",VLOOKUP($B189&amp;":"&amp;AB$3,'x - authors'!$B$3:$E$10000,4,FALSE))</f>
        <v/>
      </c>
      <c r="AC189" s="80" t="str">
        <f>IF(ISNA(VLOOKUP($B189&amp;":"&amp;AC$3,'x - authors'!$B$3:$E$10000,4,FALSE)),"",VLOOKUP($B189&amp;":"&amp;AC$3,'x - authors'!$B$3:$E$10000,4,FALSE))</f>
        <v/>
      </c>
      <c r="AD189" s="80" t="str">
        <f>IF(ISNA(VLOOKUP($B189&amp;":"&amp;AD$3,'x - authors'!$B$3:$E$10000,4,FALSE)),"",VLOOKUP($B189&amp;":"&amp;AD$3,'x - authors'!$B$3:$E$10000,4,FALSE))</f>
        <v/>
      </c>
      <c r="AE189" s="80" t="str">
        <f>IF(ISNA(VLOOKUP($B189&amp;":"&amp;AE$3,'x - authors'!$B$3:$E$10000,4,FALSE)),"",VLOOKUP($B189&amp;":"&amp;AE$3,'x - authors'!$B$3:$E$10000,4,FALSE))</f>
        <v/>
      </c>
      <c r="AF189" s="80" t="str">
        <f>IF(ISNA(VLOOKUP($B189&amp;":"&amp;AF$3,'x - authors'!$B$3:$E$10000,4,FALSE)),"",VLOOKUP($B189&amp;":"&amp;AF$3,'x - authors'!$B$3:$E$10000,4,FALSE))</f>
        <v/>
      </c>
      <c r="AG189" s="80" t="str">
        <f>IF(ISNA(VLOOKUP($B189&amp;":"&amp;AG$3,'x - authors'!$B$3:$E$10000,4,FALSE)),"",VLOOKUP($B189&amp;":"&amp;AG$3,'x - authors'!$B$3:$E$10000,4,FALSE))</f>
        <v/>
      </c>
      <c r="AH189" s="80" t="str">
        <f>IF(ISNA(VLOOKUP($B189&amp;":"&amp;AH$3,'x - authors'!$B$3:$E$10000,4,FALSE)),"",VLOOKUP($B189&amp;":"&amp;AH$3,'x - authors'!$B$3:$E$10000,4,FALSE))</f>
        <v/>
      </c>
      <c r="AI189" s="80" t="str">
        <f>IF(ISNA(VLOOKUP($B189&amp;":"&amp;AI$3,'x - authors'!$B$3:$E$10000,4,FALSE)),"",VLOOKUP($B189&amp;":"&amp;AI$3,'x - authors'!$B$3:$E$10000,4,FALSE))</f>
        <v/>
      </c>
    </row>
    <row r="190" spans="2:35">
      <c r="B190" s="65" t="s">
        <v>6630</v>
      </c>
      <c r="C190" s="65" t="s">
        <v>129</v>
      </c>
      <c r="D190" s="65" t="s">
        <v>6631</v>
      </c>
      <c r="E190" s="83" t="s">
        <v>6760</v>
      </c>
      <c r="F190" s="65"/>
      <c r="G190" s="65"/>
      <c r="H190" s="65" t="s">
        <v>6632</v>
      </c>
      <c r="I190" s="65"/>
      <c r="J190" s="65" t="s">
        <v>6634</v>
      </c>
      <c r="K190" s="65"/>
      <c r="L190" s="65" t="s">
        <v>6635</v>
      </c>
      <c r="M190" s="65"/>
      <c r="N190" s="65"/>
      <c r="O190" s="15" t="str">
        <f t="shared" si="2"/>
        <v>citation:doc-x0744-01</v>
      </c>
      <c r="Q190" s="15" t="str">
        <f>VLOOKUP($O190,'x - paper citations'!$B$3:$E$2000,2,FALSE)</f>
        <v>https://scholar.google.co.uk/scholar?q=%22Opportunistic relaying for secrecy communications: Cooperative jamming vs. relay chatting%22&amp;btnG=&amp;hl=en&amp;as_sdt=0%2C5</v>
      </c>
      <c r="R190" s="15">
        <f>VLOOKUP($O190,'x - paper citations'!$B$3:$E$2000,3,FALSE)</f>
        <v>71</v>
      </c>
      <c r="S190" s="15" t="str">
        <f>VLOOKUP($O190,'x - paper citations'!$B$3:$E$2000,4,FALSE)</f>
        <v>29/02/2016</v>
      </c>
      <c r="U190" s="80" t="str">
        <f>IF(ISNA(VLOOKUP($B190&amp;":"&amp;U$3,'x - authors'!$B$3:$E$10000,4,FALSE)),"",VLOOKUP($B190&amp;":"&amp;U$3,'x - authors'!$B$3:$E$10000,4,FALSE))</f>
        <v>zhiguo_ding</v>
      </c>
      <c r="V190" s="80" t="str">
        <f>IF(ISNA(VLOOKUP($B190&amp;":"&amp;V$3,'x - authors'!$B$3:$E$10000,4,FALSE)),"",VLOOKUP($B190&amp;":"&amp;V$3,'x - authors'!$B$3:$E$10000,4,FALSE))</f>
        <v>kin_leung</v>
      </c>
      <c r="W190" s="80" t="str">
        <f>IF(ISNA(VLOOKUP($B190&amp;":"&amp;W$3,'x - authors'!$B$3:$E$10000,4,FALSE)),"",VLOOKUP($B190&amp;":"&amp;W$3,'x - authors'!$B$3:$E$10000,4,FALSE))</f>
        <v>dennis_goeckel</v>
      </c>
      <c r="X190" s="80" t="str">
        <f>IF(ISNA(VLOOKUP($B190&amp;":"&amp;X$3,'x - authors'!$B$3:$E$10000,4,FALSE)),"",VLOOKUP($B190&amp;":"&amp;X$3,'x - authors'!$B$3:$E$10000,4,FALSE))</f>
        <v>don_towsley</v>
      </c>
      <c r="Y190" s="80" t="str">
        <f>IF(ISNA(VLOOKUP($B190&amp;":"&amp;Y$3,'x - authors'!$B$3:$E$10000,4,FALSE)),"",VLOOKUP($B190&amp;":"&amp;Y$3,'x - authors'!$B$3:$E$10000,4,FALSE))</f>
        <v/>
      </c>
      <c r="Z190" s="80" t="str">
        <f>IF(ISNA(VLOOKUP($B190&amp;":"&amp;Z$3,'x - authors'!$B$3:$E$10000,4,FALSE)),"",VLOOKUP($B190&amp;":"&amp;Z$3,'x - authors'!$B$3:$E$10000,4,FALSE))</f>
        <v/>
      </c>
      <c r="AA190" s="80" t="str">
        <f>IF(ISNA(VLOOKUP($B190&amp;":"&amp;AA$3,'x - authors'!$B$3:$E$10000,4,FALSE)),"",VLOOKUP($B190&amp;":"&amp;AA$3,'x - authors'!$B$3:$E$10000,4,FALSE))</f>
        <v/>
      </c>
      <c r="AB190" s="80" t="str">
        <f>IF(ISNA(VLOOKUP($B190&amp;":"&amp;AB$3,'x - authors'!$B$3:$E$10000,4,FALSE)),"",VLOOKUP($B190&amp;":"&amp;AB$3,'x - authors'!$B$3:$E$10000,4,FALSE))</f>
        <v/>
      </c>
      <c r="AC190" s="80" t="str">
        <f>IF(ISNA(VLOOKUP($B190&amp;":"&amp;AC$3,'x - authors'!$B$3:$E$10000,4,FALSE)),"",VLOOKUP($B190&amp;":"&amp;AC$3,'x - authors'!$B$3:$E$10000,4,FALSE))</f>
        <v/>
      </c>
      <c r="AD190" s="80" t="str">
        <f>IF(ISNA(VLOOKUP($B190&amp;":"&amp;AD$3,'x - authors'!$B$3:$E$10000,4,FALSE)),"",VLOOKUP($B190&amp;":"&amp;AD$3,'x - authors'!$B$3:$E$10000,4,FALSE))</f>
        <v/>
      </c>
      <c r="AE190" s="80" t="str">
        <f>IF(ISNA(VLOOKUP($B190&amp;":"&amp;AE$3,'x - authors'!$B$3:$E$10000,4,FALSE)),"",VLOOKUP($B190&amp;":"&amp;AE$3,'x - authors'!$B$3:$E$10000,4,FALSE))</f>
        <v/>
      </c>
      <c r="AF190" s="80" t="str">
        <f>IF(ISNA(VLOOKUP($B190&amp;":"&amp;AF$3,'x - authors'!$B$3:$E$10000,4,FALSE)),"",VLOOKUP($B190&amp;":"&amp;AF$3,'x - authors'!$B$3:$E$10000,4,FALSE))</f>
        <v/>
      </c>
      <c r="AG190" s="80" t="str">
        <f>IF(ISNA(VLOOKUP($B190&amp;":"&amp;AG$3,'x - authors'!$B$3:$E$10000,4,FALSE)),"",VLOOKUP($B190&amp;":"&amp;AG$3,'x - authors'!$B$3:$E$10000,4,FALSE))</f>
        <v/>
      </c>
      <c r="AH190" s="80" t="str">
        <f>IF(ISNA(VLOOKUP($B190&amp;":"&amp;AH$3,'x - authors'!$B$3:$E$10000,4,FALSE)),"",VLOOKUP($B190&amp;":"&amp;AH$3,'x - authors'!$B$3:$E$10000,4,FALSE))</f>
        <v/>
      </c>
      <c r="AI190" s="80" t="str">
        <f>IF(ISNA(VLOOKUP($B190&amp;":"&amp;AI$3,'x - authors'!$B$3:$E$10000,4,FALSE)),"",VLOOKUP($B190&amp;":"&amp;AI$3,'x - authors'!$B$3:$E$10000,4,FALSE))</f>
        <v/>
      </c>
    </row>
    <row r="191" spans="2:35">
      <c r="B191" s="65" t="s">
        <v>6636</v>
      </c>
      <c r="C191" s="65" t="s">
        <v>129</v>
      </c>
      <c r="D191" s="65" t="s">
        <v>6637</v>
      </c>
      <c r="E191" s="83" t="s">
        <v>6756</v>
      </c>
      <c r="F191" s="65"/>
      <c r="G191" s="65"/>
      <c r="H191" s="65" t="s">
        <v>6638</v>
      </c>
      <c r="I191" s="65"/>
      <c r="J191" s="65"/>
      <c r="K191" s="65"/>
      <c r="L191" s="65" t="s">
        <v>6261</v>
      </c>
      <c r="M191" s="65"/>
      <c r="N191" s="65"/>
      <c r="O191" s="15" t="str">
        <f t="shared" si="2"/>
        <v>citation:doc-x0751-01</v>
      </c>
      <c r="Q191" s="15" t="str">
        <f>VLOOKUP($O191,'x - paper citations'!$B$3:$E$2000,2,FALSE)</f>
        <v>https://scholar.google.co.uk/scholar?q=%22Optimization-based resource allocation in communication networks%22&amp;btnG=&amp;hl=en&amp;as_sdt=0%2C5</v>
      </c>
      <c r="R191" s="15">
        <f>VLOOKUP($O191,'x - paper citations'!$B$3:$E$2000,3,FALSE)</f>
        <v>3</v>
      </c>
      <c r="S191" s="15" t="str">
        <f>VLOOKUP($O191,'x - paper citations'!$B$3:$E$2000,4,FALSE)</f>
        <v>29/02/2016</v>
      </c>
      <c r="U191" s="80" t="str">
        <f>IF(ISNA(VLOOKUP($B191&amp;":"&amp;U$3,'x - authors'!$B$3:$E$10000,4,FALSE)),"",VLOOKUP($B191&amp;":"&amp;U$3,'x - authors'!$B$3:$E$10000,4,FALSE))</f>
        <v>george_tychogiorgos</v>
      </c>
      <c r="V191" s="80" t="str">
        <f>IF(ISNA(VLOOKUP($B191&amp;":"&amp;V$3,'x - authors'!$B$3:$E$10000,4,FALSE)),"",VLOOKUP($B191&amp;":"&amp;V$3,'x - authors'!$B$3:$E$10000,4,FALSE))</f>
        <v>kin_leung</v>
      </c>
      <c r="W191" s="80" t="str">
        <f>IF(ISNA(VLOOKUP($B191&amp;":"&amp;W$3,'x - authors'!$B$3:$E$10000,4,FALSE)),"",VLOOKUP($B191&amp;":"&amp;W$3,'x - authors'!$B$3:$E$10000,4,FALSE))</f>
        <v/>
      </c>
      <c r="X191" s="80" t="str">
        <f>IF(ISNA(VLOOKUP($B191&amp;":"&amp;X$3,'x - authors'!$B$3:$E$10000,4,FALSE)),"",VLOOKUP($B191&amp;":"&amp;X$3,'x - authors'!$B$3:$E$10000,4,FALSE))</f>
        <v/>
      </c>
      <c r="Y191" s="80" t="str">
        <f>IF(ISNA(VLOOKUP($B191&amp;":"&amp;Y$3,'x - authors'!$B$3:$E$10000,4,FALSE)),"",VLOOKUP($B191&amp;":"&amp;Y$3,'x - authors'!$B$3:$E$10000,4,FALSE))</f>
        <v/>
      </c>
      <c r="Z191" s="80" t="str">
        <f>IF(ISNA(VLOOKUP($B191&amp;":"&amp;Z$3,'x - authors'!$B$3:$E$10000,4,FALSE)),"",VLOOKUP($B191&amp;":"&amp;Z$3,'x - authors'!$B$3:$E$10000,4,FALSE))</f>
        <v/>
      </c>
      <c r="AA191" s="80" t="str">
        <f>IF(ISNA(VLOOKUP($B191&amp;":"&amp;AA$3,'x - authors'!$B$3:$E$10000,4,FALSE)),"",VLOOKUP($B191&amp;":"&amp;AA$3,'x - authors'!$B$3:$E$10000,4,FALSE))</f>
        <v/>
      </c>
      <c r="AB191" s="80" t="str">
        <f>IF(ISNA(VLOOKUP($B191&amp;":"&amp;AB$3,'x - authors'!$B$3:$E$10000,4,FALSE)),"",VLOOKUP($B191&amp;":"&amp;AB$3,'x - authors'!$B$3:$E$10000,4,FALSE))</f>
        <v/>
      </c>
      <c r="AC191" s="80" t="str">
        <f>IF(ISNA(VLOOKUP($B191&amp;":"&amp;AC$3,'x - authors'!$B$3:$E$10000,4,FALSE)),"",VLOOKUP($B191&amp;":"&amp;AC$3,'x - authors'!$B$3:$E$10000,4,FALSE))</f>
        <v/>
      </c>
      <c r="AD191" s="80" t="str">
        <f>IF(ISNA(VLOOKUP($B191&amp;":"&amp;AD$3,'x - authors'!$B$3:$E$10000,4,FALSE)),"",VLOOKUP($B191&amp;":"&amp;AD$3,'x - authors'!$B$3:$E$10000,4,FALSE))</f>
        <v/>
      </c>
      <c r="AE191" s="80" t="str">
        <f>IF(ISNA(VLOOKUP($B191&amp;":"&amp;AE$3,'x - authors'!$B$3:$E$10000,4,FALSE)),"",VLOOKUP($B191&amp;":"&amp;AE$3,'x - authors'!$B$3:$E$10000,4,FALSE))</f>
        <v/>
      </c>
      <c r="AF191" s="80" t="str">
        <f>IF(ISNA(VLOOKUP($B191&amp;":"&amp;AF$3,'x - authors'!$B$3:$E$10000,4,FALSE)),"",VLOOKUP($B191&amp;":"&amp;AF$3,'x - authors'!$B$3:$E$10000,4,FALSE))</f>
        <v/>
      </c>
      <c r="AG191" s="80" t="str">
        <f>IF(ISNA(VLOOKUP($B191&amp;":"&amp;AG$3,'x - authors'!$B$3:$E$10000,4,FALSE)),"",VLOOKUP($B191&amp;":"&amp;AG$3,'x - authors'!$B$3:$E$10000,4,FALSE))</f>
        <v/>
      </c>
      <c r="AH191" s="80" t="str">
        <f>IF(ISNA(VLOOKUP($B191&amp;":"&amp;AH$3,'x - authors'!$B$3:$E$10000,4,FALSE)),"",VLOOKUP($B191&amp;":"&amp;AH$3,'x - authors'!$B$3:$E$10000,4,FALSE))</f>
        <v/>
      </c>
      <c r="AI191" s="80" t="str">
        <f>IF(ISNA(VLOOKUP($B191&amp;":"&amp;AI$3,'x - authors'!$B$3:$E$10000,4,FALSE)),"",VLOOKUP($B191&amp;":"&amp;AI$3,'x - authors'!$B$3:$E$10000,4,FALSE))</f>
        <v/>
      </c>
    </row>
    <row r="192" spans="2:35">
      <c r="B192" s="65" t="s">
        <v>6640</v>
      </c>
      <c r="C192" s="65" t="s">
        <v>129</v>
      </c>
      <c r="D192" s="65" t="s">
        <v>6641</v>
      </c>
      <c r="E192" s="83" t="s">
        <v>1041</v>
      </c>
      <c r="F192" s="65"/>
      <c r="G192" s="65"/>
      <c r="H192" s="65" t="s">
        <v>6166</v>
      </c>
      <c r="I192" s="65"/>
      <c r="J192" s="65" t="s">
        <v>6643</v>
      </c>
      <c r="K192" s="65"/>
      <c r="L192" s="65" t="s">
        <v>6644</v>
      </c>
      <c r="M192" s="65"/>
      <c r="N192" s="65"/>
      <c r="O192" s="15" t="str">
        <f t="shared" si="2"/>
        <v>citation:doc-x0756-01</v>
      </c>
      <c r="Q192" s="15" t="str">
        <f>VLOOKUP($O192,'x - paper citations'!$B$3:$E$2000,2,FALSE)</f>
        <v>https://scholar.google.co.uk/scholar?q=%22Parallel and Streaming Truth Discovery in Large-Scale Quantitative Crowdsourcing%22&amp;btnG=&amp;hl=en&amp;as_sdt=0%2C5</v>
      </c>
      <c r="R192" s="15">
        <f>VLOOKUP($O192,'x - paper citations'!$B$3:$E$2000,3,FALSE)</f>
        <v>0</v>
      </c>
      <c r="S192" s="15" t="str">
        <f>VLOOKUP($O192,'x - paper citations'!$B$3:$E$2000,4,FALSE)</f>
        <v>06/03/2016</v>
      </c>
      <c r="U192" s="80" t="str">
        <f>IF(ISNA(VLOOKUP($B192&amp;":"&amp;U$3,'x - authors'!$B$3:$E$10000,4,FALSE)),"",VLOOKUP($B192&amp;":"&amp;U$3,'x - authors'!$B$3:$E$10000,4,FALSE))</f>
        <v>wentao_ouyang</v>
      </c>
      <c r="V192" s="80" t="str">
        <f>IF(ISNA(VLOOKUP($B192&amp;":"&amp;V$3,'x - authors'!$B$3:$E$10000,4,FALSE)),"",VLOOKUP($B192&amp;":"&amp;V$3,'x - authors'!$B$3:$E$10000,4,FALSE))</f>
        <v>lance_kaplan</v>
      </c>
      <c r="W192" s="80" t="str">
        <f>IF(ISNA(VLOOKUP($B192&amp;":"&amp;W$3,'x - authors'!$B$3:$E$10000,4,FALSE)),"",VLOOKUP($B192&amp;":"&amp;W$3,'x - authors'!$B$3:$E$10000,4,FALSE))</f>
        <v>alice_toniolo</v>
      </c>
      <c r="X192" s="80" t="str">
        <f>IF(ISNA(VLOOKUP($B192&amp;":"&amp;X$3,'x - authors'!$B$3:$E$10000,4,FALSE)),"",VLOOKUP($B192&amp;":"&amp;X$3,'x - authors'!$B$3:$E$10000,4,FALSE))</f>
        <v>mani_srivastava</v>
      </c>
      <c r="Y192" s="80" t="str">
        <f>IF(ISNA(VLOOKUP($B192&amp;":"&amp;Y$3,'x - authors'!$B$3:$E$10000,4,FALSE)),"",VLOOKUP($B192&amp;":"&amp;Y$3,'x - authors'!$B$3:$E$10000,4,FALSE))</f>
        <v>timothy_norman</v>
      </c>
      <c r="Z192" s="80" t="str">
        <f>IF(ISNA(VLOOKUP($B192&amp;":"&amp;Z$3,'x - authors'!$B$3:$E$10000,4,FALSE)),"",VLOOKUP($B192&amp;":"&amp;Z$3,'x - authors'!$B$3:$E$10000,4,FALSE))</f>
        <v/>
      </c>
      <c r="AA192" s="80" t="str">
        <f>IF(ISNA(VLOOKUP($B192&amp;":"&amp;AA$3,'x - authors'!$B$3:$E$10000,4,FALSE)),"",VLOOKUP($B192&amp;":"&amp;AA$3,'x - authors'!$B$3:$E$10000,4,FALSE))</f>
        <v/>
      </c>
      <c r="AB192" s="80" t="str">
        <f>IF(ISNA(VLOOKUP($B192&amp;":"&amp;AB$3,'x - authors'!$B$3:$E$10000,4,FALSE)),"",VLOOKUP($B192&amp;":"&amp;AB$3,'x - authors'!$B$3:$E$10000,4,FALSE))</f>
        <v/>
      </c>
      <c r="AC192" s="80" t="str">
        <f>IF(ISNA(VLOOKUP($B192&amp;":"&amp;AC$3,'x - authors'!$B$3:$E$10000,4,FALSE)),"",VLOOKUP($B192&amp;":"&amp;AC$3,'x - authors'!$B$3:$E$10000,4,FALSE))</f>
        <v/>
      </c>
      <c r="AD192" s="80" t="str">
        <f>IF(ISNA(VLOOKUP($B192&amp;":"&amp;AD$3,'x - authors'!$B$3:$E$10000,4,FALSE)),"",VLOOKUP($B192&amp;":"&amp;AD$3,'x - authors'!$B$3:$E$10000,4,FALSE))</f>
        <v/>
      </c>
      <c r="AE192" s="80" t="str">
        <f>IF(ISNA(VLOOKUP($B192&amp;":"&amp;AE$3,'x - authors'!$B$3:$E$10000,4,FALSE)),"",VLOOKUP($B192&amp;":"&amp;AE$3,'x - authors'!$B$3:$E$10000,4,FALSE))</f>
        <v/>
      </c>
      <c r="AF192" s="80" t="str">
        <f>IF(ISNA(VLOOKUP($B192&amp;":"&amp;AF$3,'x - authors'!$B$3:$E$10000,4,FALSE)),"",VLOOKUP($B192&amp;":"&amp;AF$3,'x - authors'!$B$3:$E$10000,4,FALSE))</f>
        <v/>
      </c>
      <c r="AG192" s="80" t="str">
        <f>IF(ISNA(VLOOKUP($B192&amp;":"&amp;AG$3,'x - authors'!$B$3:$E$10000,4,FALSE)),"",VLOOKUP($B192&amp;":"&amp;AG$3,'x - authors'!$B$3:$E$10000,4,FALSE))</f>
        <v/>
      </c>
      <c r="AH192" s="80" t="str">
        <f>IF(ISNA(VLOOKUP($B192&amp;":"&amp;AH$3,'x - authors'!$B$3:$E$10000,4,FALSE)),"",VLOOKUP($B192&amp;":"&amp;AH$3,'x - authors'!$B$3:$E$10000,4,FALSE))</f>
        <v/>
      </c>
      <c r="AI192" s="80" t="str">
        <f>IF(ISNA(VLOOKUP($B192&amp;":"&amp;AI$3,'x - authors'!$B$3:$E$10000,4,FALSE)),"",VLOOKUP($B192&amp;":"&amp;AI$3,'x - authors'!$B$3:$E$10000,4,FALSE))</f>
        <v/>
      </c>
    </row>
    <row r="193" spans="2:35">
      <c r="B193" s="65" t="s">
        <v>6645</v>
      </c>
      <c r="C193" s="65" t="s">
        <v>129</v>
      </c>
      <c r="D193" s="65" t="s">
        <v>6646</v>
      </c>
      <c r="E193" s="83" t="s">
        <v>142</v>
      </c>
      <c r="F193" s="65"/>
      <c r="G193" s="65"/>
      <c r="H193" s="65" t="s">
        <v>6647</v>
      </c>
      <c r="I193" s="65"/>
      <c r="J193" s="65" t="s">
        <v>6649</v>
      </c>
      <c r="K193" s="65"/>
      <c r="L193" s="65" t="s">
        <v>6650</v>
      </c>
      <c r="M193" s="65"/>
      <c r="N193" s="65"/>
      <c r="O193" s="15" t="str">
        <f t="shared" si="2"/>
        <v>citation:doc-x0781-01</v>
      </c>
      <c r="Q193" s="15" t="str">
        <f>VLOOKUP($O193,'x - paper citations'!$B$3:$E$2000,2,FALSE)</f>
        <v>https://scholar.google.co.uk/scholar?q=%22Privacy-Preserving Information Brokering in Distributed Information Sharing.(2013)%22&amp;btnG=&amp;hl=en&amp;as_sdt=0%2C5</v>
      </c>
      <c r="R193" s="15">
        <f>VLOOKUP($O193,'x - paper citations'!$B$3:$E$2000,3,FALSE)</f>
        <v>0</v>
      </c>
      <c r="S193" s="15" t="str">
        <f>VLOOKUP($O193,'x - paper citations'!$B$3:$E$2000,4,FALSE)</f>
        <v>29/02/2016</v>
      </c>
      <c r="U193" s="80" t="str">
        <f>IF(ISNA(VLOOKUP($B193&amp;":"&amp;U$3,'x - authors'!$B$3:$E$10000,4,FALSE)),"",VLOOKUP($B193&amp;":"&amp;U$3,'x - authors'!$B$3:$E$10000,4,FALSE))</f>
        <v>fengjun_li</v>
      </c>
      <c r="V193" s="80" t="str">
        <f>IF(ISNA(VLOOKUP($B193&amp;":"&amp;V$3,'x - authors'!$B$3:$E$10000,4,FALSE)),"",VLOOKUP($B193&amp;":"&amp;V$3,'x - authors'!$B$3:$E$10000,4,FALSE))</f>
        <v>bo_luo</v>
      </c>
      <c r="W193" s="80" t="str">
        <f>IF(ISNA(VLOOKUP($B193&amp;":"&amp;W$3,'x - authors'!$B$3:$E$10000,4,FALSE)),"",VLOOKUP($B193&amp;":"&amp;W$3,'x - authors'!$B$3:$E$10000,4,FALSE))</f>
        <v>peng_liu</v>
      </c>
      <c r="X193" s="80" t="str">
        <f>IF(ISNA(VLOOKUP($B193&amp;":"&amp;X$3,'x - authors'!$B$3:$E$10000,4,FALSE)),"",VLOOKUP($B193&amp;":"&amp;X$3,'x - authors'!$B$3:$E$10000,4,FALSE))</f>
        <v>dongwon_lee</v>
      </c>
      <c r="Y193" s="80" t="str">
        <f>IF(ISNA(VLOOKUP($B193&amp;":"&amp;Y$3,'x - authors'!$B$3:$E$10000,4,FALSE)),"",VLOOKUP($B193&amp;":"&amp;Y$3,'x - authors'!$B$3:$E$10000,4,FALSE))</f>
        <v>chao-hsien_chu</v>
      </c>
      <c r="Z193" s="80" t="str">
        <f>IF(ISNA(VLOOKUP($B193&amp;":"&amp;Z$3,'x - authors'!$B$3:$E$10000,4,FALSE)),"",VLOOKUP($B193&amp;":"&amp;Z$3,'x - authors'!$B$3:$E$10000,4,FALSE))</f>
        <v/>
      </c>
      <c r="AA193" s="80" t="str">
        <f>IF(ISNA(VLOOKUP($B193&amp;":"&amp;AA$3,'x - authors'!$B$3:$E$10000,4,FALSE)),"",VLOOKUP($B193&amp;":"&amp;AA$3,'x - authors'!$B$3:$E$10000,4,FALSE))</f>
        <v/>
      </c>
      <c r="AB193" s="80" t="str">
        <f>IF(ISNA(VLOOKUP($B193&amp;":"&amp;AB$3,'x - authors'!$B$3:$E$10000,4,FALSE)),"",VLOOKUP($B193&amp;":"&amp;AB$3,'x - authors'!$B$3:$E$10000,4,FALSE))</f>
        <v/>
      </c>
      <c r="AC193" s="80" t="str">
        <f>IF(ISNA(VLOOKUP($B193&amp;":"&amp;AC$3,'x - authors'!$B$3:$E$10000,4,FALSE)),"",VLOOKUP($B193&amp;":"&amp;AC$3,'x - authors'!$B$3:$E$10000,4,FALSE))</f>
        <v/>
      </c>
      <c r="AD193" s="80" t="str">
        <f>IF(ISNA(VLOOKUP($B193&amp;":"&amp;AD$3,'x - authors'!$B$3:$E$10000,4,FALSE)),"",VLOOKUP($B193&amp;":"&amp;AD$3,'x - authors'!$B$3:$E$10000,4,FALSE))</f>
        <v/>
      </c>
      <c r="AE193" s="80" t="str">
        <f>IF(ISNA(VLOOKUP($B193&amp;":"&amp;AE$3,'x - authors'!$B$3:$E$10000,4,FALSE)),"",VLOOKUP($B193&amp;":"&amp;AE$3,'x - authors'!$B$3:$E$10000,4,FALSE))</f>
        <v/>
      </c>
      <c r="AF193" s="80" t="str">
        <f>IF(ISNA(VLOOKUP($B193&amp;":"&amp;AF$3,'x - authors'!$B$3:$E$10000,4,FALSE)),"",VLOOKUP($B193&amp;":"&amp;AF$3,'x - authors'!$B$3:$E$10000,4,FALSE))</f>
        <v/>
      </c>
      <c r="AG193" s="80" t="str">
        <f>IF(ISNA(VLOOKUP($B193&amp;":"&amp;AG$3,'x - authors'!$B$3:$E$10000,4,FALSE)),"",VLOOKUP($B193&amp;":"&amp;AG$3,'x - authors'!$B$3:$E$10000,4,FALSE))</f>
        <v/>
      </c>
      <c r="AH193" s="80" t="str">
        <f>IF(ISNA(VLOOKUP($B193&amp;":"&amp;AH$3,'x - authors'!$B$3:$E$10000,4,FALSE)),"",VLOOKUP($B193&amp;":"&amp;AH$3,'x - authors'!$B$3:$E$10000,4,FALSE))</f>
        <v/>
      </c>
      <c r="AI193" s="80" t="str">
        <f>IF(ISNA(VLOOKUP($B193&amp;":"&amp;AI$3,'x - authors'!$B$3:$E$10000,4,FALSE)),"",VLOOKUP($B193&amp;":"&amp;AI$3,'x - authors'!$B$3:$E$10000,4,FALSE))</f>
        <v/>
      </c>
    </row>
    <row r="194" spans="2:35">
      <c r="B194" s="65" t="s">
        <v>6651</v>
      </c>
      <c r="C194" s="65" t="s">
        <v>129</v>
      </c>
      <c r="D194" s="65" t="s">
        <v>6652</v>
      </c>
      <c r="E194" s="83" t="s">
        <v>6761</v>
      </c>
      <c r="F194" s="65"/>
      <c r="G194" s="65"/>
      <c r="H194" s="65" t="s">
        <v>6653</v>
      </c>
      <c r="I194" s="65"/>
      <c r="J194" s="65" t="s">
        <v>6655</v>
      </c>
      <c r="K194" s="65"/>
      <c r="L194" s="65" t="s">
        <v>6656</v>
      </c>
      <c r="M194" s="65"/>
      <c r="N194" s="65"/>
      <c r="O194" s="15" t="str">
        <f t="shared" si="2"/>
        <v>citation:doc-x0814-01</v>
      </c>
      <c r="Q194" s="15" t="str">
        <f>VLOOKUP($O194,'x - paper citations'!$B$3:$E$2000,2,FALSE)</f>
        <v>https://scholar.google.co.uk/scholar?q=%22Reasoning support for flexible task resourcing%22&amp;btnG=&amp;hl=en&amp;as_sdt=0%2C5</v>
      </c>
      <c r="R194" s="15">
        <f>VLOOKUP($O194,'x - paper citations'!$B$3:$E$2000,3,FALSE)</f>
        <v>5</v>
      </c>
      <c r="S194" s="15" t="str">
        <f>VLOOKUP($O194,'x - paper citations'!$B$3:$E$2000,4,FALSE)</f>
        <v>29/02/2016</v>
      </c>
      <c r="U194" s="80" t="str">
        <f>IF(ISNA(VLOOKUP($B194&amp;":"&amp;U$3,'x - authors'!$B$3:$E$10000,4,FALSE)),"",VLOOKUP($B194&amp;":"&amp;U$3,'x - authors'!$B$3:$E$10000,4,FALSE))</f>
        <v>murat_sensoy</v>
      </c>
      <c r="V194" s="80" t="str">
        <f>IF(ISNA(VLOOKUP($B194&amp;":"&amp;V$3,'x - authors'!$B$3:$E$10000,4,FALSE)),"",VLOOKUP($B194&amp;":"&amp;V$3,'x - authors'!$B$3:$E$10000,4,FALSE))</f>
        <v>wamberto_vasconcelos</v>
      </c>
      <c r="W194" s="80" t="str">
        <f>IF(ISNA(VLOOKUP($B194&amp;":"&amp;W$3,'x - authors'!$B$3:$E$10000,4,FALSE)),"",VLOOKUP($B194&amp;":"&amp;W$3,'x - authors'!$B$3:$E$10000,4,FALSE))</f>
        <v>timothy_norman</v>
      </c>
      <c r="X194" s="80" t="str">
        <f>IF(ISNA(VLOOKUP($B194&amp;":"&amp;X$3,'x - authors'!$B$3:$E$10000,4,FALSE)),"",VLOOKUP($B194&amp;":"&amp;X$3,'x - authors'!$B$3:$E$10000,4,FALSE))</f>
        <v>katia_sycara</v>
      </c>
      <c r="Y194" s="80" t="str">
        <f>IF(ISNA(VLOOKUP($B194&amp;":"&amp;Y$3,'x - authors'!$B$3:$E$10000,4,FALSE)),"",VLOOKUP($B194&amp;":"&amp;Y$3,'x - authors'!$B$3:$E$10000,4,FALSE))</f>
        <v/>
      </c>
      <c r="Z194" s="80" t="str">
        <f>IF(ISNA(VLOOKUP($B194&amp;":"&amp;Z$3,'x - authors'!$B$3:$E$10000,4,FALSE)),"",VLOOKUP($B194&amp;":"&amp;Z$3,'x - authors'!$B$3:$E$10000,4,FALSE))</f>
        <v/>
      </c>
      <c r="AA194" s="80" t="str">
        <f>IF(ISNA(VLOOKUP($B194&amp;":"&amp;AA$3,'x - authors'!$B$3:$E$10000,4,FALSE)),"",VLOOKUP($B194&amp;":"&amp;AA$3,'x - authors'!$B$3:$E$10000,4,FALSE))</f>
        <v/>
      </c>
      <c r="AB194" s="80" t="str">
        <f>IF(ISNA(VLOOKUP($B194&amp;":"&amp;AB$3,'x - authors'!$B$3:$E$10000,4,FALSE)),"",VLOOKUP($B194&amp;":"&amp;AB$3,'x - authors'!$B$3:$E$10000,4,FALSE))</f>
        <v/>
      </c>
      <c r="AC194" s="80" t="str">
        <f>IF(ISNA(VLOOKUP($B194&amp;":"&amp;AC$3,'x - authors'!$B$3:$E$10000,4,FALSE)),"",VLOOKUP($B194&amp;":"&amp;AC$3,'x - authors'!$B$3:$E$10000,4,FALSE))</f>
        <v/>
      </c>
      <c r="AD194" s="80" t="str">
        <f>IF(ISNA(VLOOKUP($B194&amp;":"&amp;AD$3,'x - authors'!$B$3:$E$10000,4,FALSE)),"",VLOOKUP($B194&amp;":"&amp;AD$3,'x - authors'!$B$3:$E$10000,4,FALSE))</f>
        <v/>
      </c>
      <c r="AE194" s="80" t="str">
        <f>IF(ISNA(VLOOKUP($B194&amp;":"&amp;AE$3,'x - authors'!$B$3:$E$10000,4,FALSE)),"",VLOOKUP($B194&amp;":"&amp;AE$3,'x - authors'!$B$3:$E$10000,4,FALSE))</f>
        <v/>
      </c>
      <c r="AF194" s="80" t="str">
        <f>IF(ISNA(VLOOKUP($B194&amp;":"&amp;AF$3,'x - authors'!$B$3:$E$10000,4,FALSE)),"",VLOOKUP($B194&amp;":"&amp;AF$3,'x - authors'!$B$3:$E$10000,4,FALSE))</f>
        <v/>
      </c>
      <c r="AG194" s="80" t="str">
        <f>IF(ISNA(VLOOKUP($B194&amp;":"&amp;AG$3,'x - authors'!$B$3:$E$10000,4,FALSE)),"",VLOOKUP($B194&amp;":"&amp;AG$3,'x - authors'!$B$3:$E$10000,4,FALSE))</f>
        <v/>
      </c>
      <c r="AH194" s="80" t="str">
        <f>IF(ISNA(VLOOKUP($B194&amp;":"&amp;AH$3,'x - authors'!$B$3:$E$10000,4,FALSE)),"",VLOOKUP($B194&amp;":"&amp;AH$3,'x - authors'!$B$3:$E$10000,4,FALSE))</f>
        <v/>
      </c>
      <c r="AI194" s="80" t="str">
        <f>IF(ISNA(VLOOKUP($B194&amp;":"&amp;AI$3,'x - authors'!$B$3:$E$10000,4,FALSE)),"",VLOOKUP($B194&amp;":"&amp;AI$3,'x - authors'!$B$3:$E$10000,4,FALSE))</f>
        <v/>
      </c>
    </row>
    <row r="195" spans="2:35">
      <c r="B195" s="65" t="s">
        <v>6657</v>
      </c>
      <c r="C195" s="65" t="s">
        <v>129</v>
      </c>
      <c r="D195" s="65" t="s">
        <v>6658</v>
      </c>
      <c r="E195" s="83" t="s">
        <v>142</v>
      </c>
      <c r="F195" s="65"/>
      <c r="G195" s="65"/>
      <c r="H195" s="65" t="s">
        <v>6659</v>
      </c>
      <c r="I195" s="65"/>
      <c r="J195" s="65" t="s">
        <v>6661</v>
      </c>
      <c r="K195" s="65"/>
      <c r="L195" s="65" t="s">
        <v>6662</v>
      </c>
      <c r="M195" s="65"/>
      <c r="N195" s="65"/>
      <c r="O195" s="15" t="str">
        <f t="shared" si="2"/>
        <v>citation:doc-x0845-01</v>
      </c>
      <c r="Q195" s="15" t="str">
        <f>VLOOKUP($O195,'x - paper citations'!$B$3:$E$2000,2,FALSE)</f>
        <v>https://scholar.google.co.uk/scholar?q=%22Robust dynamic service composition in sensor networks%22&amp;btnG=&amp;hl=en&amp;as_sdt=0%2C5</v>
      </c>
      <c r="R195" s="15">
        <f>VLOOKUP($O195,'x - paper citations'!$B$3:$E$2000,3,FALSE)</f>
        <v>15</v>
      </c>
      <c r="S195" s="15" t="str">
        <f>VLOOKUP($O195,'x - paper citations'!$B$3:$E$2000,4,FALSE)</f>
        <v>06/03/2016</v>
      </c>
      <c r="U195" s="80" t="str">
        <f>IF(ISNA(VLOOKUP($B195&amp;":"&amp;U$3,'x - authors'!$B$3:$E$10000,4,FALSE)),"",VLOOKUP($B195&amp;":"&amp;U$3,'x - authors'!$B$3:$E$10000,4,FALSE))</f>
        <v>sahin_geyik</v>
      </c>
      <c r="V195" s="80" t="str">
        <f>IF(ISNA(VLOOKUP($B195&amp;":"&amp;V$3,'x - authors'!$B$3:$E$10000,4,FALSE)),"",VLOOKUP($B195&amp;":"&amp;V$3,'x - authors'!$B$3:$E$10000,4,FALSE))</f>
        <v>boleslaw_szymanski</v>
      </c>
      <c r="W195" s="80" t="str">
        <f>IF(ISNA(VLOOKUP($B195&amp;":"&amp;W$3,'x - authors'!$B$3:$E$10000,4,FALSE)),"",VLOOKUP($B195&amp;":"&amp;W$3,'x - authors'!$B$3:$E$10000,4,FALSE))</f>
        <v>petros_zerfos</v>
      </c>
      <c r="X195" s="80" t="str">
        <f>IF(ISNA(VLOOKUP($B195&amp;":"&amp;X$3,'x - authors'!$B$3:$E$10000,4,FALSE)),"",VLOOKUP($B195&amp;":"&amp;X$3,'x - authors'!$B$3:$E$10000,4,FALSE))</f>
        <v/>
      </c>
      <c r="Y195" s="80" t="str">
        <f>IF(ISNA(VLOOKUP($B195&amp;":"&amp;Y$3,'x - authors'!$B$3:$E$10000,4,FALSE)),"",VLOOKUP($B195&amp;":"&amp;Y$3,'x - authors'!$B$3:$E$10000,4,FALSE))</f>
        <v/>
      </c>
      <c r="Z195" s="80" t="str">
        <f>IF(ISNA(VLOOKUP($B195&amp;":"&amp;Z$3,'x - authors'!$B$3:$E$10000,4,FALSE)),"",VLOOKUP($B195&amp;":"&amp;Z$3,'x - authors'!$B$3:$E$10000,4,FALSE))</f>
        <v/>
      </c>
      <c r="AA195" s="80" t="str">
        <f>IF(ISNA(VLOOKUP($B195&amp;":"&amp;AA$3,'x - authors'!$B$3:$E$10000,4,FALSE)),"",VLOOKUP($B195&amp;":"&amp;AA$3,'x - authors'!$B$3:$E$10000,4,FALSE))</f>
        <v/>
      </c>
      <c r="AB195" s="80" t="str">
        <f>IF(ISNA(VLOOKUP($B195&amp;":"&amp;AB$3,'x - authors'!$B$3:$E$10000,4,FALSE)),"",VLOOKUP($B195&amp;":"&amp;AB$3,'x - authors'!$B$3:$E$10000,4,FALSE))</f>
        <v/>
      </c>
      <c r="AC195" s="80" t="str">
        <f>IF(ISNA(VLOOKUP($B195&amp;":"&amp;AC$3,'x - authors'!$B$3:$E$10000,4,FALSE)),"",VLOOKUP($B195&amp;":"&amp;AC$3,'x - authors'!$B$3:$E$10000,4,FALSE))</f>
        <v/>
      </c>
      <c r="AD195" s="80" t="str">
        <f>IF(ISNA(VLOOKUP($B195&amp;":"&amp;AD$3,'x - authors'!$B$3:$E$10000,4,FALSE)),"",VLOOKUP($B195&amp;":"&amp;AD$3,'x - authors'!$B$3:$E$10000,4,FALSE))</f>
        <v/>
      </c>
      <c r="AE195" s="80" t="str">
        <f>IF(ISNA(VLOOKUP($B195&amp;":"&amp;AE$3,'x - authors'!$B$3:$E$10000,4,FALSE)),"",VLOOKUP($B195&amp;":"&amp;AE$3,'x - authors'!$B$3:$E$10000,4,FALSE))</f>
        <v/>
      </c>
      <c r="AF195" s="80" t="str">
        <f>IF(ISNA(VLOOKUP($B195&amp;":"&amp;AF$3,'x - authors'!$B$3:$E$10000,4,FALSE)),"",VLOOKUP($B195&amp;":"&amp;AF$3,'x - authors'!$B$3:$E$10000,4,FALSE))</f>
        <v/>
      </c>
      <c r="AG195" s="80" t="str">
        <f>IF(ISNA(VLOOKUP($B195&amp;":"&amp;AG$3,'x - authors'!$B$3:$E$10000,4,FALSE)),"",VLOOKUP($B195&amp;":"&amp;AG$3,'x - authors'!$B$3:$E$10000,4,FALSE))</f>
        <v/>
      </c>
      <c r="AH195" s="80" t="str">
        <f>IF(ISNA(VLOOKUP($B195&amp;":"&amp;AH$3,'x - authors'!$B$3:$E$10000,4,FALSE)),"",VLOOKUP($B195&amp;":"&amp;AH$3,'x - authors'!$B$3:$E$10000,4,FALSE))</f>
        <v/>
      </c>
      <c r="AI195" s="80" t="str">
        <f>IF(ISNA(VLOOKUP($B195&amp;":"&amp;AI$3,'x - authors'!$B$3:$E$10000,4,FALSE)),"",VLOOKUP($B195&amp;":"&amp;AI$3,'x - authors'!$B$3:$E$10000,4,FALSE))</f>
        <v/>
      </c>
    </row>
    <row r="196" spans="2:35">
      <c r="B196" s="65" t="s">
        <v>6663</v>
      </c>
      <c r="C196" s="65" t="s">
        <v>129</v>
      </c>
      <c r="D196" s="65" t="s">
        <v>6664</v>
      </c>
      <c r="E196" s="83" t="s">
        <v>6756</v>
      </c>
      <c r="F196" s="65"/>
      <c r="G196" s="65"/>
      <c r="H196" s="65" t="s">
        <v>6665</v>
      </c>
      <c r="I196" s="65"/>
      <c r="J196" s="65"/>
      <c r="K196" s="65"/>
      <c r="L196" s="65" t="s">
        <v>6261</v>
      </c>
      <c r="M196" s="65"/>
      <c r="N196" s="65"/>
      <c r="O196" s="15" t="str">
        <f t="shared" si="2"/>
        <v>citation:doc-x0899-01</v>
      </c>
      <c r="Q196" s="15" t="str">
        <f>VLOOKUP($O196,'x - paper citations'!$B$3:$E$2000,2,FALSE)</f>
        <v>https://scholar.google.co.uk/scholar?q=%22Stage: Stereotypical trust assessment through graph extraction%22&amp;btnG=&amp;hl=en&amp;as_sdt=0%2C5</v>
      </c>
      <c r="R196" s="15">
        <f>VLOOKUP($O196,'x - paper citations'!$B$3:$E$2000,3,FALSE)</f>
        <v>7</v>
      </c>
      <c r="S196" s="15" t="str">
        <f>VLOOKUP($O196,'x - paper citations'!$B$3:$E$2000,4,FALSE)</f>
        <v>06/03/2016</v>
      </c>
      <c r="U196" s="80" t="str">
        <f>IF(ISNA(VLOOKUP($B196&amp;":"&amp;U$3,'x - authors'!$B$3:$E$10000,4,FALSE)),"",VLOOKUP($B196&amp;":"&amp;U$3,'x - authors'!$B$3:$E$10000,4,FALSE))</f>
        <v>murat_sensoy</v>
      </c>
      <c r="V196" s="80" t="str">
        <f>IF(ISNA(VLOOKUP($B196&amp;":"&amp;V$3,'x - authors'!$B$3:$E$10000,4,FALSE)),"",VLOOKUP($B196&amp;":"&amp;V$3,'x - authors'!$B$3:$E$10000,4,FALSE))</f>
        <v>burcu_yilmaz</v>
      </c>
      <c r="W196" s="80" t="str">
        <f>IF(ISNA(VLOOKUP($B196&amp;":"&amp;W$3,'x - authors'!$B$3:$E$10000,4,FALSE)),"",VLOOKUP($B196&amp;":"&amp;W$3,'x - authors'!$B$3:$E$10000,4,FALSE))</f>
        <v>timothy_norman</v>
      </c>
      <c r="X196" s="80" t="str">
        <f>IF(ISNA(VLOOKUP($B196&amp;":"&amp;X$3,'x - authors'!$B$3:$E$10000,4,FALSE)),"",VLOOKUP($B196&amp;":"&amp;X$3,'x - authors'!$B$3:$E$10000,4,FALSE))</f>
        <v/>
      </c>
      <c r="Y196" s="80" t="str">
        <f>IF(ISNA(VLOOKUP($B196&amp;":"&amp;Y$3,'x - authors'!$B$3:$E$10000,4,FALSE)),"",VLOOKUP($B196&amp;":"&amp;Y$3,'x - authors'!$B$3:$E$10000,4,FALSE))</f>
        <v/>
      </c>
      <c r="Z196" s="80" t="str">
        <f>IF(ISNA(VLOOKUP($B196&amp;":"&amp;Z$3,'x - authors'!$B$3:$E$10000,4,FALSE)),"",VLOOKUP($B196&amp;":"&amp;Z$3,'x - authors'!$B$3:$E$10000,4,FALSE))</f>
        <v/>
      </c>
      <c r="AA196" s="80" t="str">
        <f>IF(ISNA(VLOOKUP($B196&amp;":"&amp;AA$3,'x - authors'!$B$3:$E$10000,4,FALSE)),"",VLOOKUP($B196&amp;":"&amp;AA$3,'x - authors'!$B$3:$E$10000,4,FALSE))</f>
        <v/>
      </c>
      <c r="AB196" s="80" t="str">
        <f>IF(ISNA(VLOOKUP($B196&amp;":"&amp;AB$3,'x - authors'!$B$3:$E$10000,4,FALSE)),"",VLOOKUP($B196&amp;":"&amp;AB$3,'x - authors'!$B$3:$E$10000,4,FALSE))</f>
        <v/>
      </c>
      <c r="AC196" s="80" t="str">
        <f>IF(ISNA(VLOOKUP($B196&amp;":"&amp;AC$3,'x - authors'!$B$3:$E$10000,4,FALSE)),"",VLOOKUP($B196&amp;":"&amp;AC$3,'x - authors'!$B$3:$E$10000,4,FALSE))</f>
        <v/>
      </c>
      <c r="AD196" s="80" t="str">
        <f>IF(ISNA(VLOOKUP($B196&amp;":"&amp;AD$3,'x - authors'!$B$3:$E$10000,4,FALSE)),"",VLOOKUP($B196&amp;":"&amp;AD$3,'x - authors'!$B$3:$E$10000,4,FALSE))</f>
        <v/>
      </c>
      <c r="AE196" s="80" t="str">
        <f>IF(ISNA(VLOOKUP($B196&amp;":"&amp;AE$3,'x - authors'!$B$3:$E$10000,4,FALSE)),"",VLOOKUP($B196&amp;":"&amp;AE$3,'x - authors'!$B$3:$E$10000,4,FALSE))</f>
        <v/>
      </c>
      <c r="AF196" s="80" t="str">
        <f>IF(ISNA(VLOOKUP($B196&amp;":"&amp;AF$3,'x - authors'!$B$3:$E$10000,4,FALSE)),"",VLOOKUP($B196&amp;":"&amp;AF$3,'x - authors'!$B$3:$E$10000,4,FALSE))</f>
        <v/>
      </c>
      <c r="AG196" s="80" t="str">
        <f>IF(ISNA(VLOOKUP($B196&amp;":"&amp;AG$3,'x - authors'!$B$3:$E$10000,4,FALSE)),"",VLOOKUP($B196&amp;":"&amp;AG$3,'x - authors'!$B$3:$E$10000,4,FALSE))</f>
        <v/>
      </c>
      <c r="AH196" s="80" t="str">
        <f>IF(ISNA(VLOOKUP($B196&amp;":"&amp;AH$3,'x - authors'!$B$3:$E$10000,4,FALSE)),"",VLOOKUP($B196&amp;":"&amp;AH$3,'x - authors'!$B$3:$E$10000,4,FALSE))</f>
        <v/>
      </c>
      <c r="AI196" s="80" t="str">
        <f>IF(ISNA(VLOOKUP($B196&amp;":"&amp;AI$3,'x - authors'!$B$3:$E$10000,4,FALSE)),"",VLOOKUP($B196&amp;":"&amp;AI$3,'x - authors'!$B$3:$E$10000,4,FALSE))</f>
        <v/>
      </c>
    </row>
    <row r="197" spans="2:35">
      <c r="B197" s="65" t="s">
        <v>6667</v>
      </c>
      <c r="C197" s="65" t="s">
        <v>129</v>
      </c>
      <c r="D197" s="65" t="s">
        <v>6668</v>
      </c>
      <c r="E197" s="83" t="s">
        <v>142</v>
      </c>
      <c r="F197" s="65"/>
      <c r="G197" s="65"/>
      <c r="H197" s="65" t="s">
        <v>6669</v>
      </c>
      <c r="I197" s="65"/>
      <c r="J197" s="65" t="s">
        <v>6671</v>
      </c>
      <c r="K197" s="65"/>
      <c r="L197" s="65" t="s">
        <v>6672</v>
      </c>
      <c r="M197" s="65"/>
      <c r="N197" s="65"/>
      <c r="O197" s="15" t="str">
        <f t="shared" ref="O197:O210" si="3">"citation:"&amp;B197&amp;"-01"</f>
        <v>citation:doc-x0900-01</v>
      </c>
      <c r="Q197" s="15" t="str">
        <f>VLOOKUP($O197,'x - paper citations'!$B$3:$E$2000,2,FALSE)</f>
        <v>https://scholar.google.co.uk/scholar?q=%22Stereotypical trust and bias in dynamic multiagent systems%22&amp;btnG=&amp;hl=en&amp;as_sdt=0%2C5</v>
      </c>
      <c r="R197" s="15">
        <f>VLOOKUP($O197,'x - paper citations'!$B$3:$E$2000,3,FALSE)</f>
        <v>17</v>
      </c>
      <c r="S197" s="15" t="str">
        <f>VLOOKUP($O197,'x - paper citations'!$B$3:$E$2000,4,FALSE)</f>
        <v>06/03/2016</v>
      </c>
      <c r="U197" s="80" t="str">
        <f>IF(ISNA(VLOOKUP($B197&amp;":"&amp;U$3,'x - authors'!$B$3:$E$10000,4,FALSE)),"",VLOOKUP($B197&amp;":"&amp;U$3,'x - authors'!$B$3:$E$10000,4,FALSE))</f>
        <v>chris_burnett</v>
      </c>
      <c r="V197" s="80" t="str">
        <f>IF(ISNA(VLOOKUP($B197&amp;":"&amp;V$3,'x - authors'!$B$3:$E$10000,4,FALSE)),"",VLOOKUP($B197&amp;":"&amp;V$3,'x - authors'!$B$3:$E$10000,4,FALSE))</f>
        <v>timothy_norman</v>
      </c>
      <c r="W197" s="80" t="str">
        <f>IF(ISNA(VLOOKUP($B197&amp;":"&amp;W$3,'x - authors'!$B$3:$E$10000,4,FALSE)),"",VLOOKUP($B197&amp;":"&amp;W$3,'x - authors'!$B$3:$E$10000,4,FALSE))</f>
        <v>katia_sycara</v>
      </c>
      <c r="X197" s="80" t="str">
        <f>IF(ISNA(VLOOKUP($B197&amp;":"&amp;X$3,'x - authors'!$B$3:$E$10000,4,FALSE)),"",VLOOKUP($B197&amp;":"&amp;X$3,'x - authors'!$B$3:$E$10000,4,FALSE))</f>
        <v/>
      </c>
      <c r="Y197" s="80" t="str">
        <f>IF(ISNA(VLOOKUP($B197&amp;":"&amp;Y$3,'x - authors'!$B$3:$E$10000,4,FALSE)),"",VLOOKUP($B197&amp;":"&amp;Y$3,'x - authors'!$B$3:$E$10000,4,FALSE))</f>
        <v/>
      </c>
      <c r="Z197" s="80" t="str">
        <f>IF(ISNA(VLOOKUP($B197&amp;":"&amp;Z$3,'x - authors'!$B$3:$E$10000,4,FALSE)),"",VLOOKUP($B197&amp;":"&amp;Z$3,'x - authors'!$B$3:$E$10000,4,FALSE))</f>
        <v/>
      </c>
      <c r="AA197" s="80" t="str">
        <f>IF(ISNA(VLOOKUP($B197&amp;":"&amp;AA$3,'x - authors'!$B$3:$E$10000,4,FALSE)),"",VLOOKUP($B197&amp;":"&amp;AA$3,'x - authors'!$B$3:$E$10000,4,FALSE))</f>
        <v/>
      </c>
      <c r="AB197" s="80" t="str">
        <f>IF(ISNA(VLOOKUP($B197&amp;":"&amp;AB$3,'x - authors'!$B$3:$E$10000,4,FALSE)),"",VLOOKUP($B197&amp;":"&amp;AB$3,'x - authors'!$B$3:$E$10000,4,FALSE))</f>
        <v/>
      </c>
      <c r="AC197" s="80" t="str">
        <f>IF(ISNA(VLOOKUP($B197&amp;":"&amp;AC$3,'x - authors'!$B$3:$E$10000,4,FALSE)),"",VLOOKUP($B197&amp;":"&amp;AC$3,'x - authors'!$B$3:$E$10000,4,FALSE))</f>
        <v/>
      </c>
      <c r="AD197" s="80" t="str">
        <f>IF(ISNA(VLOOKUP($B197&amp;":"&amp;AD$3,'x - authors'!$B$3:$E$10000,4,FALSE)),"",VLOOKUP($B197&amp;":"&amp;AD$3,'x - authors'!$B$3:$E$10000,4,FALSE))</f>
        <v/>
      </c>
      <c r="AE197" s="80" t="str">
        <f>IF(ISNA(VLOOKUP($B197&amp;":"&amp;AE$3,'x - authors'!$B$3:$E$10000,4,FALSE)),"",VLOOKUP($B197&amp;":"&amp;AE$3,'x - authors'!$B$3:$E$10000,4,FALSE))</f>
        <v/>
      </c>
      <c r="AF197" s="80" t="str">
        <f>IF(ISNA(VLOOKUP($B197&amp;":"&amp;AF$3,'x - authors'!$B$3:$E$10000,4,FALSE)),"",VLOOKUP($B197&amp;":"&amp;AF$3,'x - authors'!$B$3:$E$10000,4,FALSE))</f>
        <v/>
      </c>
      <c r="AG197" s="80" t="str">
        <f>IF(ISNA(VLOOKUP($B197&amp;":"&amp;AG$3,'x - authors'!$B$3:$E$10000,4,FALSE)),"",VLOOKUP($B197&amp;":"&amp;AG$3,'x - authors'!$B$3:$E$10000,4,FALSE))</f>
        <v/>
      </c>
      <c r="AH197" s="80" t="str">
        <f>IF(ISNA(VLOOKUP($B197&amp;":"&amp;AH$3,'x - authors'!$B$3:$E$10000,4,FALSE)),"",VLOOKUP($B197&amp;":"&amp;AH$3,'x - authors'!$B$3:$E$10000,4,FALSE))</f>
        <v/>
      </c>
      <c r="AI197" s="80" t="str">
        <f>IF(ISNA(VLOOKUP($B197&amp;":"&amp;AI$3,'x - authors'!$B$3:$E$10000,4,FALSE)),"",VLOOKUP($B197&amp;":"&amp;AI$3,'x - authors'!$B$3:$E$10000,4,FALSE))</f>
        <v/>
      </c>
    </row>
    <row r="198" spans="2:35">
      <c r="B198" s="65" t="s">
        <v>6673</v>
      </c>
      <c r="C198" s="65" t="s">
        <v>129</v>
      </c>
      <c r="D198" s="65" t="s">
        <v>6674</v>
      </c>
      <c r="E198" s="83" t="s">
        <v>142</v>
      </c>
      <c r="F198" s="65"/>
      <c r="G198" s="65"/>
      <c r="H198" s="65" t="s">
        <v>6675</v>
      </c>
      <c r="I198" s="65"/>
      <c r="J198" s="65" t="s">
        <v>6677</v>
      </c>
      <c r="K198" s="65"/>
      <c r="L198" s="65" t="s">
        <v>6678</v>
      </c>
      <c r="M198" s="65"/>
      <c r="N198" s="65"/>
      <c r="O198" s="15" t="str">
        <f t="shared" si="3"/>
        <v>citation:doc-x0901-01</v>
      </c>
      <c r="Q198" s="15" t="str">
        <f>VLOOKUP($O198,'x - paper citations'!$B$3:$E$2000,2,FALSE)</f>
        <v>https://scholar.google.co.uk/scholar?q=%22Stochastic optimal control for a general class of dynamic resource allocation problems%22&amp;btnG=&amp;hl=en&amp;as_sdt=0%2C5</v>
      </c>
      <c r="R198" s="15">
        <f>VLOOKUP($O198,'x - paper citations'!$B$3:$E$2000,3,FALSE)</f>
        <v>2</v>
      </c>
      <c r="S198" s="15" t="str">
        <f>VLOOKUP($O198,'x - paper citations'!$B$3:$E$2000,4,FALSE)</f>
        <v>06/03/2016</v>
      </c>
      <c r="U198" s="80" t="str">
        <f>IF(ISNA(VLOOKUP($B198&amp;":"&amp;U$3,'x - authors'!$B$3:$E$10000,4,FALSE)),"",VLOOKUP($B198&amp;":"&amp;U$3,'x - authors'!$B$3:$E$10000,4,FALSE))</f>
        <v>xuefeng_gao</v>
      </c>
      <c r="V198" s="80" t="str">
        <f>IF(ISNA(VLOOKUP($B198&amp;":"&amp;V$3,'x - authors'!$B$3:$E$10000,4,FALSE)),"",VLOOKUP($B198&amp;":"&amp;V$3,'x - authors'!$B$3:$E$10000,4,FALSE))</f>
        <v>mayank_sharma</v>
      </c>
      <c r="W198" s="80" t="str">
        <f>IF(ISNA(VLOOKUP($B198&amp;":"&amp;W$3,'x - authors'!$B$3:$E$10000,4,FALSE)),"",VLOOKUP($B198&amp;":"&amp;W$3,'x - authors'!$B$3:$E$10000,4,FALSE))</f>
        <v>mark_squillante</v>
      </c>
      <c r="X198" s="80" t="str">
        <f>IF(ISNA(VLOOKUP($B198&amp;":"&amp;X$3,'x - authors'!$B$3:$E$10000,4,FALSE)),"",VLOOKUP($B198&amp;":"&amp;X$3,'x - authors'!$B$3:$E$10000,4,FALSE))</f>
        <v>joost_bosman</v>
      </c>
      <c r="Y198" s="80" t="str">
        <f>IF(ISNA(VLOOKUP($B198&amp;":"&amp;Y$3,'x - authors'!$B$3:$E$10000,4,FALSE)),"",VLOOKUP($B198&amp;":"&amp;Y$3,'x - authors'!$B$3:$E$10000,4,FALSE))</f>
        <v/>
      </c>
      <c r="Z198" s="80" t="str">
        <f>IF(ISNA(VLOOKUP($B198&amp;":"&amp;Z$3,'x - authors'!$B$3:$E$10000,4,FALSE)),"",VLOOKUP($B198&amp;":"&amp;Z$3,'x - authors'!$B$3:$E$10000,4,FALSE))</f>
        <v/>
      </c>
      <c r="AA198" s="80" t="str">
        <f>IF(ISNA(VLOOKUP($B198&amp;":"&amp;AA$3,'x - authors'!$B$3:$E$10000,4,FALSE)),"",VLOOKUP($B198&amp;":"&amp;AA$3,'x - authors'!$B$3:$E$10000,4,FALSE))</f>
        <v/>
      </c>
      <c r="AB198" s="80" t="str">
        <f>IF(ISNA(VLOOKUP($B198&amp;":"&amp;AB$3,'x - authors'!$B$3:$E$10000,4,FALSE)),"",VLOOKUP($B198&amp;":"&amp;AB$3,'x - authors'!$B$3:$E$10000,4,FALSE))</f>
        <v/>
      </c>
      <c r="AC198" s="80" t="str">
        <f>IF(ISNA(VLOOKUP($B198&amp;":"&amp;AC$3,'x - authors'!$B$3:$E$10000,4,FALSE)),"",VLOOKUP($B198&amp;":"&amp;AC$3,'x - authors'!$B$3:$E$10000,4,FALSE))</f>
        <v/>
      </c>
      <c r="AD198" s="80" t="str">
        <f>IF(ISNA(VLOOKUP($B198&amp;":"&amp;AD$3,'x - authors'!$B$3:$E$10000,4,FALSE)),"",VLOOKUP($B198&amp;":"&amp;AD$3,'x - authors'!$B$3:$E$10000,4,FALSE))</f>
        <v/>
      </c>
      <c r="AE198" s="80" t="str">
        <f>IF(ISNA(VLOOKUP($B198&amp;":"&amp;AE$3,'x - authors'!$B$3:$E$10000,4,FALSE)),"",VLOOKUP($B198&amp;":"&amp;AE$3,'x - authors'!$B$3:$E$10000,4,FALSE))</f>
        <v/>
      </c>
      <c r="AF198" s="80" t="str">
        <f>IF(ISNA(VLOOKUP($B198&amp;":"&amp;AF$3,'x - authors'!$B$3:$E$10000,4,FALSE)),"",VLOOKUP($B198&amp;":"&amp;AF$3,'x - authors'!$B$3:$E$10000,4,FALSE))</f>
        <v/>
      </c>
      <c r="AG198" s="80" t="str">
        <f>IF(ISNA(VLOOKUP($B198&amp;":"&amp;AG$3,'x - authors'!$B$3:$E$10000,4,FALSE)),"",VLOOKUP($B198&amp;":"&amp;AG$3,'x - authors'!$B$3:$E$10000,4,FALSE))</f>
        <v/>
      </c>
      <c r="AH198" s="80" t="str">
        <f>IF(ISNA(VLOOKUP($B198&amp;":"&amp;AH$3,'x - authors'!$B$3:$E$10000,4,FALSE)),"",VLOOKUP($B198&amp;":"&amp;AH$3,'x - authors'!$B$3:$E$10000,4,FALSE))</f>
        <v/>
      </c>
      <c r="AI198" s="80" t="str">
        <f>IF(ISNA(VLOOKUP($B198&amp;":"&amp;AI$3,'x - authors'!$B$3:$E$10000,4,FALSE)),"",VLOOKUP($B198&amp;":"&amp;AI$3,'x - authors'!$B$3:$E$10000,4,FALSE))</f>
        <v/>
      </c>
    </row>
    <row r="199" spans="2:35">
      <c r="B199" s="65" t="s">
        <v>6679</v>
      </c>
      <c r="C199" s="65" t="s">
        <v>129</v>
      </c>
      <c r="D199" s="65" t="s">
        <v>6680</v>
      </c>
      <c r="E199" s="83" t="s">
        <v>6756</v>
      </c>
      <c r="F199" s="65"/>
      <c r="G199" s="65"/>
      <c r="H199" s="65" t="s">
        <v>6681</v>
      </c>
      <c r="I199" s="65"/>
      <c r="J199" s="65" t="s">
        <v>6683</v>
      </c>
      <c r="K199" s="65"/>
      <c r="L199" s="65" t="s">
        <v>6684</v>
      </c>
      <c r="M199" s="65"/>
      <c r="N199" s="65"/>
      <c r="O199" s="15" t="str">
        <f t="shared" si="3"/>
        <v>citation:doc-x0909-01</v>
      </c>
      <c r="Q199" s="15" t="str">
        <f>VLOOKUP($O199,'x - paper citations'!$B$3:$E$2000,2,FALSE)</f>
        <v>https://scholar.google.co.uk/scholar?q=%22Supporting Trust Assessment and Decision Making in Coalitions%22&amp;btnG=&amp;hl=en&amp;as_sdt=0%2C5</v>
      </c>
      <c r="R199" s="15">
        <f>VLOOKUP($O199,'x - paper citations'!$B$3:$E$2000,3,FALSE)</f>
        <v>4</v>
      </c>
      <c r="S199" s="15" t="str">
        <f>VLOOKUP($O199,'x - paper citations'!$B$3:$E$2000,4,FALSE)</f>
        <v>06/03/2016</v>
      </c>
      <c r="U199" s="80" t="str">
        <f>IF(ISNA(VLOOKUP($B199&amp;":"&amp;U$3,'x - authors'!$B$3:$E$10000,4,FALSE)),"",VLOOKUP($B199&amp;":"&amp;U$3,'x - authors'!$B$3:$E$10000,4,FALSE))</f>
        <v>chris_burnett</v>
      </c>
      <c r="V199" s="80" t="str">
        <f>IF(ISNA(VLOOKUP($B199&amp;":"&amp;V$3,'x - authors'!$B$3:$E$10000,4,FALSE)),"",VLOOKUP($B199&amp;":"&amp;V$3,'x - authors'!$B$3:$E$10000,4,FALSE))</f>
        <v>timothy_norman</v>
      </c>
      <c r="W199" s="80" t="str">
        <f>IF(ISNA(VLOOKUP($B199&amp;":"&amp;W$3,'x - authors'!$B$3:$E$10000,4,FALSE)),"",VLOOKUP($B199&amp;":"&amp;W$3,'x - authors'!$B$3:$E$10000,4,FALSE))</f>
        <v>katia_sycara</v>
      </c>
      <c r="X199" s="80" t="str">
        <f>IF(ISNA(VLOOKUP($B199&amp;":"&amp;X$3,'x - authors'!$B$3:$E$10000,4,FALSE)),"",VLOOKUP($B199&amp;":"&amp;X$3,'x - authors'!$B$3:$E$10000,4,FALSE))</f>
        <v>nir_oren</v>
      </c>
      <c r="Y199" s="80" t="str">
        <f>IF(ISNA(VLOOKUP($B199&amp;":"&amp;Y$3,'x - authors'!$B$3:$E$10000,4,FALSE)),"",VLOOKUP($B199&amp;":"&amp;Y$3,'x - authors'!$B$3:$E$10000,4,FALSE))</f>
        <v/>
      </c>
      <c r="Z199" s="80" t="str">
        <f>IF(ISNA(VLOOKUP($B199&amp;":"&amp;Z$3,'x - authors'!$B$3:$E$10000,4,FALSE)),"",VLOOKUP($B199&amp;":"&amp;Z$3,'x - authors'!$B$3:$E$10000,4,FALSE))</f>
        <v/>
      </c>
      <c r="AA199" s="80" t="str">
        <f>IF(ISNA(VLOOKUP($B199&amp;":"&amp;AA$3,'x - authors'!$B$3:$E$10000,4,FALSE)),"",VLOOKUP($B199&amp;":"&amp;AA$3,'x - authors'!$B$3:$E$10000,4,FALSE))</f>
        <v/>
      </c>
      <c r="AB199" s="80" t="str">
        <f>IF(ISNA(VLOOKUP($B199&amp;":"&amp;AB$3,'x - authors'!$B$3:$E$10000,4,FALSE)),"",VLOOKUP($B199&amp;":"&amp;AB$3,'x - authors'!$B$3:$E$10000,4,FALSE))</f>
        <v/>
      </c>
      <c r="AC199" s="80" t="str">
        <f>IF(ISNA(VLOOKUP($B199&amp;":"&amp;AC$3,'x - authors'!$B$3:$E$10000,4,FALSE)),"",VLOOKUP($B199&amp;":"&amp;AC$3,'x - authors'!$B$3:$E$10000,4,FALSE))</f>
        <v/>
      </c>
      <c r="AD199" s="80" t="str">
        <f>IF(ISNA(VLOOKUP($B199&amp;":"&amp;AD$3,'x - authors'!$B$3:$E$10000,4,FALSE)),"",VLOOKUP($B199&amp;":"&amp;AD$3,'x - authors'!$B$3:$E$10000,4,FALSE))</f>
        <v/>
      </c>
      <c r="AE199" s="80" t="str">
        <f>IF(ISNA(VLOOKUP($B199&amp;":"&amp;AE$3,'x - authors'!$B$3:$E$10000,4,FALSE)),"",VLOOKUP($B199&amp;":"&amp;AE$3,'x - authors'!$B$3:$E$10000,4,FALSE))</f>
        <v/>
      </c>
      <c r="AF199" s="80" t="str">
        <f>IF(ISNA(VLOOKUP($B199&amp;":"&amp;AF$3,'x - authors'!$B$3:$E$10000,4,FALSE)),"",VLOOKUP($B199&amp;":"&amp;AF$3,'x - authors'!$B$3:$E$10000,4,FALSE))</f>
        <v/>
      </c>
      <c r="AG199" s="80" t="str">
        <f>IF(ISNA(VLOOKUP($B199&amp;":"&amp;AG$3,'x - authors'!$B$3:$E$10000,4,FALSE)),"",VLOOKUP($B199&amp;":"&amp;AG$3,'x - authors'!$B$3:$E$10000,4,FALSE))</f>
        <v/>
      </c>
      <c r="AH199" s="80" t="str">
        <f>IF(ISNA(VLOOKUP($B199&amp;":"&amp;AH$3,'x - authors'!$B$3:$E$10000,4,FALSE)),"",VLOOKUP($B199&amp;":"&amp;AH$3,'x - authors'!$B$3:$E$10000,4,FALSE))</f>
        <v/>
      </c>
      <c r="AI199" s="80" t="str">
        <f>IF(ISNA(VLOOKUP($B199&amp;":"&amp;AI$3,'x - authors'!$B$3:$E$10000,4,FALSE)),"",VLOOKUP($B199&amp;":"&amp;AI$3,'x - authors'!$B$3:$E$10000,4,FALSE))</f>
        <v/>
      </c>
    </row>
    <row r="200" spans="2:35">
      <c r="B200" s="65" t="s">
        <v>6685</v>
      </c>
      <c r="C200" s="65" t="s">
        <v>129</v>
      </c>
      <c r="D200" s="65" t="s">
        <v>6686</v>
      </c>
      <c r="E200" s="83" t="s">
        <v>6756</v>
      </c>
      <c r="F200" s="65"/>
      <c r="G200" s="65"/>
      <c r="H200" s="65" t="s">
        <v>6687</v>
      </c>
      <c r="I200" s="65"/>
      <c r="J200" s="65" t="s">
        <v>6689</v>
      </c>
      <c r="K200" s="65"/>
      <c r="L200" s="65" t="s">
        <v>6690</v>
      </c>
      <c r="M200" s="65"/>
      <c r="N200" s="65"/>
      <c r="O200" s="15" t="str">
        <f t="shared" si="3"/>
        <v>citation:doc-x0938-01</v>
      </c>
      <c r="Q200" s="15" t="str">
        <f>VLOOKUP($O200,'x - paper citations'!$B$3:$E$2000,2,FALSE)</f>
        <v>https://scholar.google.co.uk/scholar?q=%22Throughput maximization in mobile WSN scheduling with power control and rate selection%22&amp;btnG=&amp;hl=en&amp;as_sdt=0%2C5</v>
      </c>
      <c r="R200" s="15">
        <f>VLOOKUP($O200,'x - paper citations'!$B$3:$E$2000,3,FALSE)</f>
        <v>10</v>
      </c>
      <c r="S200" s="15" t="str">
        <f>VLOOKUP($O200,'x - paper citations'!$B$3:$E$2000,4,FALSE)</f>
        <v>06/03/2016</v>
      </c>
      <c r="U200" s="80" t="str">
        <f>IF(ISNA(VLOOKUP($B200&amp;":"&amp;U$3,'x - authors'!$B$3:$E$10000,4,FALSE)),"",VLOOKUP($B200&amp;":"&amp;U$3,'x - authors'!$B$3:$E$10000,4,FALSE))</f>
        <v>yosef_alayev</v>
      </c>
      <c r="V200" s="80" t="str">
        <f>IF(ISNA(VLOOKUP($B200&amp;":"&amp;V$3,'x - authors'!$B$3:$E$10000,4,FALSE)),"",VLOOKUP($B200&amp;":"&amp;V$3,'x - authors'!$B$3:$E$10000,4,FALSE))</f>
        <v>fangfei_chen</v>
      </c>
      <c r="W200" s="80" t="str">
        <f>IF(ISNA(VLOOKUP($B200&amp;":"&amp;W$3,'x - authors'!$B$3:$E$10000,4,FALSE)),"",VLOOKUP($B200&amp;":"&amp;W$3,'x - authors'!$B$3:$E$10000,4,FALSE))</f>
        <v>yun_hou</v>
      </c>
      <c r="X200" s="80" t="str">
        <f>IF(ISNA(VLOOKUP($B200&amp;":"&amp;X$3,'x - authors'!$B$3:$E$10000,4,FALSE)),"",VLOOKUP($B200&amp;":"&amp;X$3,'x - authors'!$B$3:$E$10000,4,FALSE))</f>
        <v>matthew_johnson</v>
      </c>
      <c r="Y200" s="80" t="str">
        <f>IF(ISNA(VLOOKUP($B200&amp;":"&amp;Y$3,'x - authors'!$B$3:$E$10000,4,FALSE)),"",VLOOKUP($B200&amp;":"&amp;Y$3,'x - authors'!$B$3:$E$10000,4,FALSE))</f>
        <v>amotz_bar_noy</v>
      </c>
      <c r="Z200" s="80" t="str">
        <f>IF(ISNA(VLOOKUP($B200&amp;":"&amp;Z$3,'x - authors'!$B$3:$E$10000,4,FALSE)),"",VLOOKUP($B200&amp;":"&amp;Z$3,'x - authors'!$B$3:$E$10000,4,FALSE))</f>
        <v>thomas_laporta</v>
      </c>
      <c r="AA200" s="80" t="str">
        <f>IF(ISNA(VLOOKUP($B200&amp;":"&amp;AA$3,'x - authors'!$B$3:$E$10000,4,FALSE)),"",VLOOKUP($B200&amp;":"&amp;AA$3,'x - authors'!$B$3:$E$10000,4,FALSE))</f>
        <v>kin_leung</v>
      </c>
      <c r="AB200" s="80" t="str">
        <f>IF(ISNA(VLOOKUP($B200&amp;":"&amp;AB$3,'x - authors'!$B$3:$E$10000,4,FALSE)),"",VLOOKUP($B200&amp;":"&amp;AB$3,'x - authors'!$B$3:$E$10000,4,FALSE))</f>
        <v/>
      </c>
      <c r="AC200" s="80" t="str">
        <f>IF(ISNA(VLOOKUP($B200&amp;":"&amp;AC$3,'x - authors'!$B$3:$E$10000,4,FALSE)),"",VLOOKUP($B200&amp;":"&amp;AC$3,'x - authors'!$B$3:$E$10000,4,FALSE))</f>
        <v/>
      </c>
      <c r="AD200" s="80" t="str">
        <f>IF(ISNA(VLOOKUP($B200&amp;":"&amp;AD$3,'x - authors'!$B$3:$E$10000,4,FALSE)),"",VLOOKUP($B200&amp;":"&amp;AD$3,'x - authors'!$B$3:$E$10000,4,FALSE))</f>
        <v/>
      </c>
      <c r="AE200" s="80" t="str">
        <f>IF(ISNA(VLOOKUP($B200&amp;":"&amp;AE$3,'x - authors'!$B$3:$E$10000,4,FALSE)),"",VLOOKUP($B200&amp;":"&amp;AE$3,'x - authors'!$B$3:$E$10000,4,FALSE))</f>
        <v/>
      </c>
      <c r="AF200" s="80" t="str">
        <f>IF(ISNA(VLOOKUP($B200&amp;":"&amp;AF$3,'x - authors'!$B$3:$E$10000,4,FALSE)),"",VLOOKUP($B200&amp;":"&amp;AF$3,'x - authors'!$B$3:$E$10000,4,FALSE))</f>
        <v/>
      </c>
      <c r="AG200" s="80" t="str">
        <f>IF(ISNA(VLOOKUP($B200&amp;":"&amp;AG$3,'x - authors'!$B$3:$E$10000,4,FALSE)),"",VLOOKUP($B200&amp;":"&amp;AG$3,'x - authors'!$B$3:$E$10000,4,FALSE))</f>
        <v/>
      </c>
      <c r="AH200" s="80" t="str">
        <f>IF(ISNA(VLOOKUP($B200&amp;":"&amp;AH$3,'x - authors'!$B$3:$E$10000,4,FALSE)),"",VLOOKUP($B200&amp;":"&amp;AH$3,'x - authors'!$B$3:$E$10000,4,FALSE))</f>
        <v/>
      </c>
      <c r="AI200" s="80" t="str">
        <f>IF(ISNA(VLOOKUP($B200&amp;":"&amp;AI$3,'x - authors'!$B$3:$E$10000,4,FALSE)),"",VLOOKUP($B200&amp;":"&amp;AI$3,'x - authors'!$B$3:$E$10000,4,FALSE))</f>
        <v/>
      </c>
    </row>
    <row r="201" spans="2:35">
      <c r="B201" s="65" t="s">
        <v>6691</v>
      </c>
      <c r="C201" s="65" t="s">
        <v>129</v>
      </c>
      <c r="D201" s="65" t="s">
        <v>6692</v>
      </c>
      <c r="E201" s="83" t="s">
        <v>142</v>
      </c>
      <c r="F201" s="65"/>
      <c r="G201" s="65"/>
      <c r="H201" s="65" t="s">
        <v>6693</v>
      </c>
      <c r="I201" s="65"/>
      <c r="J201" s="65" t="s">
        <v>6695</v>
      </c>
      <c r="K201" s="65"/>
      <c r="L201" s="65" t="s">
        <v>6696</v>
      </c>
      <c r="M201" s="65"/>
      <c r="N201" s="65"/>
      <c r="O201" s="15" t="str">
        <f t="shared" si="3"/>
        <v>citation:doc-x0973-01</v>
      </c>
      <c r="Q201" s="15" t="str">
        <f>VLOOKUP($O201,'x - paper citations'!$B$3:$E$2000,2,FALSE)</f>
        <v>https://scholar.google.co.uk/scholar?q=%22Understanding processing overheads of network coding-based content distribution in VANETs%22&amp;btnG=&amp;hl=en&amp;as_sdt=0%2C5</v>
      </c>
      <c r="R201" s="15">
        <f>VLOOKUP($O201,'x - paper citations'!$B$3:$E$2000,3,FALSE)</f>
        <v>9</v>
      </c>
      <c r="S201" s="15" t="str">
        <f>VLOOKUP($O201,'x - paper citations'!$B$3:$E$2000,4,FALSE)</f>
        <v>06/03/2016</v>
      </c>
      <c r="U201" s="80" t="str">
        <f>IF(ISNA(VLOOKUP($B201&amp;":"&amp;U$3,'x - authors'!$B$3:$E$10000,4,FALSE)),"",VLOOKUP($B201&amp;":"&amp;U$3,'x - authors'!$B$3:$E$10000,4,FALSE))</f>
        <v>uichin_lee</v>
      </c>
      <c r="V201" s="80" t="str">
        <f>IF(ISNA(VLOOKUP($B201&amp;":"&amp;V$3,'x - authors'!$B$3:$E$10000,4,FALSE)),"",VLOOKUP($B201&amp;":"&amp;V$3,'x - authors'!$B$3:$E$10000,4,FALSE))</f>
        <v>seung-hoon_lee</v>
      </c>
      <c r="W201" s="80" t="str">
        <f>IF(ISNA(VLOOKUP($B201&amp;":"&amp;W$3,'x - authors'!$B$3:$E$10000,4,FALSE)),"",VLOOKUP($B201&amp;":"&amp;W$3,'x - authors'!$B$3:$E$10000,4,FALSE))</f>
        <v>kang_won_lee</v>
      </c>
      <c r="X201" s="80" t="str">
        <f>IF(ISNA(VLOOKUP($B201&amp;":"&amp;X$3,'x - authors'!$B$3:$E$10000,4,FALSE)),"",VLOOKUP($B201&amp;":"&amp;X$3,'x - authors'!$B$3:$E$10000,4,FALSE))</f>
        <v>mario_gerla</v>
      </c>
      <c r="Y201" s="80" t="str">
        <f>IF(ISNA(VLOOKUP($B201&amp;":"&amp;Y$3,'x - authors'!$B$3:$E$10000,4,FALSE)),"",VLOOKUP($B201&amp;":"&amp;Y$3,'x - authors'!$B$3:$E$10000,4,FALSE))</f>
        <v/>
      </c>
      <c r="Z201" s="80" t="str">
        <f>IF(ISNA(VLOOKUP($B201&amp;":"&amp;Z$3,'x - authors'!$B$3:$E$10000,4,FALSE)),"",VLOOKUP($B201&amp;":"&amp;Z$3,'x - authors'!$B$3:$E$10000,4,FALSE))</f>
        <v/>
      </c>
      <c r="AA201" s="80" t="str">
        <f>IF(ISNA(VLOOKUP($B201&amp;":"&amp;AA$3,'x - authors'!$B$3:$E$10000,4,FALSE)),"",VLOOKUP($B201&amp;":"&amp;AA$3,'x - authors'!$B$3:$E$10000,4,FALSE))</f>
        <v/>
      </c>
      <c r="AB201" s="80" t="str">
        <f>IF(ISNA(VLOOKUP($B201&amp;":"&amp;AB$3,'x - authors'!$B$3:$E$10000,4,FALSE)),"",VLOOKUP($B201&amp;":"&amp;AB$3,'x - authors'!$B$3:$E$10000,4,FALSE))</f>
        <v/>
      </c>
      <c r="AC201" s="80" t="str">
        <f>IF(ISNA(VLOOKUP($B201&amp;":"&amp;AC$3,'x - authors'!$B$3:$E$10000,4,FALSE)),"",VLOOKUP($B201&amp;":"&amp;AC$3,'x - authors'!$B$3:$E$10000,4,FALSE))</f>
        <v/>
      </c>
      <c r="AD201" s="80" t="str">
        <f>IF(ISNA(VLOOKUP($B201&amp;":"&amp;AD$3,'x - authors'!$B$3:$E$10000,4,FALSE)),"",VLOOKUP($B201&amp;":"&amp;AD$3,'x - authors'!$B$3:$E$10000,4,FALSE))</f>
        <v/>
      </c>
      <c r="AE201" s="80" t="str">
        <f>IF(ISNA(VLOOKUP($B201&amp;":"&amp;AE$3,'x - authors'!$B$3:$E$10000,4,FALSE)),"",VLOOKUP($B201&amp;":"&amp;AE$3,'x - authors'!$B$3:$E$10000,4,FALSE))</f>
        <v/>
      </c>
      <c r="AF201" s="80" t="str">
        <f>IF(ISNA(VLOOKUP($B201&amp;":"&amp;AF$3,'x - authors'!$B$3:$E$10000,4,FALSE)),"",VLOOKUP($B201&amp;":"&amp;AF$3,'x - authors'!$B$3:$E$10000,4,FALSE))</f>
        <v/>
      </c>
      <c r="AG201" s="80" t="str">
        <f>IF(ISNA(VLOOKUP($B201&amp;":"&amp;AG$3,'x - authors'!$B$3:$E$10000,4,FALSE)),"",VLOOKUP($B201&amp;":"&amp;AG$3,'x - authors'!$B$3:$E$10000,4,FALSE))</f>
        <v/>
      </c>
      <c r="AH201" s="80" t="str">
        <f>IF(ISNA(VLOOKUP($B201&amp;":"&amp;AH$3,'x - authors'!$B$3:$E$10000,4,FALSE)),"",VLOOKUP($B201&amp;":"&amp;AH$3,'x - authors'!$B$3:$E$10000,4,FALSE))</f>
        <v/>
      </c>
      <c r="AI201" s="80" t="str">
        <f>IF(ISNA(VLOOKUP($B201&amp;":"&amp;AI$3,'x - authors'!$B$3:$E$10000,4,FALSE)),"",VLOOKUP($B201&amp;":"&amp;AI$3,'x - authors'!$B$3:$E$10000,4,FALSE))</f>
        <v/>
      </c>
    </row>
    <row r="202" spans="2:35">
      <c r="B202" s="65" t="s">
        <v>6697</v>
      </c>
      <c r="C202" s="65" t="s">
        <v>129</v>
      </c>
      <c r="D202" s="65" t="s">
        <v>6698</v>
      </c>
      <c r="E202" s="83" t="s">
        <v>6756</v>
      </c>
      <c r="F202" s="65"/>
      <c r="G202" s="65"/>
      <c r="H202" s="65" t="s">
        <v>6699</v>
      </c>
      <c r="I202" s="65"/>
      <c r="J202" s="65" t="s">
        <v>6701</v>
      </c>
      <c r="K202" s="65"/>
      <c r="L202" s="65" t="s">
        <v>6702</v>
      </c>
      <c r="M202" s="65"/>
      <c r="N202" s="65"/>
      <c r="O202" s="15" t="str">
        <f t="shared" si="3"/>
        <v>citation:doc-x0999-01</v>
      </c>
      <c r="Q202" s="15" t="str">
        <f>VLOOKUP($O202,'x - paper citations'!$B$3:$E$2000,2,FALSE)</f>
        <v>https://scholar.google.co.uk/scholar?q=%22Why Amazon's Ratings Might Mislead You: The Story of Herding Effects%22&amp;btnG=&amp;hl=en&amp;as_sdt=0%2C5</v>
      </c>
      <c r="R202" s="15">
        <f>VLOOKUP($O202,'x - paper citations'!$B$3:$E$2000,3,FALSE)</f>
        <v>1</v>
      </c>
      <c r="S202" s="15" t="str">
        <f>VLOOKUP($O202,'x - paper citations'!$B$3:$E$2000,4,FALSE)</f>
        <v>06/03/2016</v>
      </c>
      <c r="U202" s="80" t="str">
        <f>IF(ISNA(VLOOKUP($B202&amp;":"&amp;U$3,'x - authors'!$B$3:$E$10000,4,FALSE)),"",VLOOKUP($B202&amp;":"&amp;U$3,'x - authors'!$B$3:$E$10000,4,FALSE))</f>
        <v>ting_wang</v>
      </c>
      <c r="V202" s="80" t="str">
        <f>IF(ISNA(VLOOKUP($B202&amp;":"&amp;V$3,'x - authors'!$B$3:$E$10000,4,FALSE)),"",VLOOKUP($B202&amp;":"&amp;V$3,'x - authors'!$B$3:$E$10000,4,FALSE))</f>
        <v>dashun_wang</v>
      </c>
      <c r="W202" s="80" t="str">
        <f>IF(ISNA(VLOOKUP($B202&amp;":"&amp;W$3,'x - authors'!$B$3:$E$10000,4,FALSE)),"",VLOOKUP($B202&amp;":"&amp;W$3,'x - authors'!$B$3:$E$10000,4,FALSE))</f>
        <v/>
      </c>
      <c r="X202" s="80" t="str">
        <f>IF(ISNA(VLOOKUP($B202&amp;":"&amp;X$3,'x - authors'!$B$3:$E$10000,4,FALSE)),"",VLOOKUP($B202&amp;":"&amp;X$3,'x - authors'!$B$3:$E$10000,4,FALSE))</f>
        <v/>
      </c>
      <c r="Y202" s="80" t="str">
        <f>IF(ISNA(VLOOKUP($B202&amp;":"&amp;Y$3,'x - authors'!$B$3:$E$10000,4,FALSE)),"",VLOOKUP($B202&amp;":"&amp;Y$3,'x - authors'!$B$3:$E$10000,4,FALSE))</f>
        <v/>
      </c>
      <c r="Z202" s="80" t="str">
        <f>IF(ISNA(VLOOKUP($B202&amp;":"&amp;Z$3,'x - authors'!$B$3:$E$10000,4,FALSE)),"",VLOOKUP($B202&amp;":"&amp;Z$3,'x - authors'!$B$3:$E$10000,4,FALSE))</f>
        <v/>
      </c>
      <c r="AA202" s="80" t="str">
        <f>IF(ISNA(VLOOKUP($B202&amp;":"&amp;AA$3,'x - authors'!$B$3:$E$10000,4,FALSE)),"",VLOOKUP($B202&amp;":"&amp;AA$3,'x - authors'!$B$3:$E$10000,4,FALSE))</f>
        <v/>
      </c>
      <c r="AB202" s="80" t="str">
        <f>IF(ISNA(VLOOKUP($B202&amp;":"&amp;AB$3,'x - authors'!$B$3:$E$10000,4,FALSE)),"",VLOOKUP($B202&amp;":"&amp;AB$3,'x - authors'!$B$3:$E$10000,4,FALSE))</f>
        <v/>
      </c>
      <c r="AC202" s="80" t="str">
        <f>IF(ISNA(VLOOKUP($B202&amp;":"&amp;AC$3,'x - authors'!$B$3:$E$10000,4,FALSE)),"",VLOOKUP($B202&amp;":"&amp;AC$3,'x - authors'!$B$3:$E$10000,4,FALSE))</f>
        <v/>
      </c>
      <c r="AD202" s="80" t="str">
        <f>IF(ISNA(VLOOKUP($B202&amp;":"&amp;AD$3,'x - authors'!$B$3:$E$10000,4,FALSE)),"",VLOOKUP($B202&amp;":"&amp;AD$3,'x - authors'!$B$3:$E$10000,4,FALSE))</f>
        <v/>
      </c>
      <c r="AE202" s="80" t="str">
        <f>IF(ISNA(VLOOKUP($B202&amp;":"&amp;AE$3,'x - authors'!$B$3:$E$10000,4,FALSE)),"",VLOOKUP($B202&amp;":"&amp;AE$3,'x - authors'!$B$3:$E$10000,4,FALSE))</f>
        <v/>
      </c>
      <c r="AF202" s="80" t="str">
        <f>IF(ISNA(VLOOKUP($B202&amp;":"&amp;AF$3,'x - authors'!$B$3:$E$10000,4,FALSE)),"",VLOOKUP($B202&amp;":"&amp;AF$3,'x - authors'!$B$3:$E$10000,4,FALSE))</f>
        <v/>
      </c>
      <c r="AG202" s="80" t="str">
        <f>IF(ISNA(VLOOKUP($B202&amp;":"&amp;AG$3,'x - authors'!$B$3:$E$10000,4,FALSE)),"",VLOOKUP($B202&amp;":"&amp;AG$3,'x - authors'!$B$3:$E$10000,4,FALSE))</f>
        <v/>
      </c>
      <c r="AH202" s="80" t="str">
        <f>IF(ISNA(VLOOKUP($B202&amp;":"&amp;AH$3,'x - authors'!$B$3:$E$10000,4,FALSE)),"",VLOOKUP($B202&amp;":"&amp;AH$3,'x - authors'!$B$3:$E$10000,4,FALSE))</f>
        <v/>
      </c>
      <c r="AI202" s="80" t="str">
        <f>IF(ISNA(VLOOKUP($B202&amp;":"&amp;AI$3,'x - authors'!$B$3:$E$10000,4,FALSE)),"",VLOOKUP($B202&amp;":"&amp;AI$3,'x - authors'!$B$3:$E$10000,4,FALSE))</f>
        <v/>
      </c>
    </row>
    <row r="203" spans="2:35">
      <c r="B203" s="65" t="s">
        <v>6703</v>
      </c>
      <c r="C203" s="65" t="s">
        <v>129</v>
      </c>
      <c r="D203" s="65" t="s">
        <v>6704</v>
      </c>
      <c r="E203" s="83" t="s">
        <v>6762</v>
      </c>
      <c r="F203" s="65"/>
      <c r="G203" s="65"/>
      <c r="H203" s="65" t="s">
        <v>6705</v>
      </c>
      <c r="I203" s="65"/>
      <c r="J203" s="65"/>
      <c r="K203" s="65"/>
      <c r="L203" s="65"/>
      <c r="M203" s="65"/>
      <c r="N203" s="65"/>
      <c r="O203" s="15" t="str">
        <f t="shared" si="3"/>
        <v>citation:doc-x1025-01</v>
      </c>
      <c r="Q203" s="15" t="str">
        <f>VLOOKUP($O203,'x - paper citations'!$B$3:$E$2000,2,FALSE)</f>
        <v>https://scholar.google.co.uk/scholar?q=%22General Graph Data De-anonymization:</v>
      </c>
      <c r="R203" s="15">
        <f>VLOOKUP($O203,'x - paper citations'!$B$3:$E$2000,3,FALSE)</f>
        <v>0</v>
      </c>
      <c r="S203" s="15" t="str">
        <f>VLOOKUP($O203,'x - paper citations'!$B$3:$E$2000,4,FALSE)</f>
        <v>11/03/2016</v>
      </c>
      <c r="U203" s="80" t="str">
        <f>IF(ISNA(VLOOKUP($B203&amp;":"&amp;U$3,'x - authors'!$B$3:$E$10000,4,FALSE)),"",VLOOKUP($B203&amp;":"&amp;U$3,'x - authors'!$B$3:$E$10000,4,FALSE))</f>
        <v>shouling_ji</v>
      </c>
      <c r="V203" s="80" t="str">
        <f>IF(ISNA(VLOOKUP($B203&amp;":"&amp;V$3,'x - authors'!$B$3:$E$10000,4,FALSE)),"",VLOOKUP($B203&amp;":"&amp;V$3,'x - authors'!$B$3:$E$10000,4,FALSE))</f>
        <v>weiqing_li</v>
      </c>
      <c r="W203" s="80" t="str">
        <f>IF(ISNA(VLOOKUP($B203&amp;":"&amp;W$3,'x - authors'!$B$3:$E$10000,4,FALSE)),"",VLOOKUP($B203&amp;":"&amp;W$3,'x - authors'!$B$3:$E$10000,4,FALSE))</f>
        <v>mudhakar_srivatsa</v>
      </c>
      <c r="X203" s="80" t="str">
        <f>IF(ISNA(VLOOKUP($B203&amp;":"&amp;X$3,'x - authors'!$B$3:$E$10000,4,FALSE)),"",VLOOKUP($B203&amp;":"&amp;X$3,'x - authors'!$B$3:$E$10000,4,FALSE))</f>
        <v>raheem_beyah</v>
      </c>
      <c r="Y203" s="80" t="str">
        <f>IF(ISNA(VLOOKUP($B203&amp;":"&amp;Y$3,'x - authors'!$B$3:$E$10000,4,FALSE)),"",VLOOKUP($B203&amp;":"&amp;Y$3,'x - authors'!$B$3:$E$10000,4,FALSE))</f>
        <v/>
      </c>
      <c r="Z203" s="80" t="str">
        <f>IF(ISNA(VLOOKUP($B203&amp;":"&amp;Z$3,'x - authors'!$B$3:$E$10000,4,FALSE)),"",VLOOKUP($B203&amp;":"&amp;Z$3,'x - authors'!$B$3:$E$10000,4,FALSE))</f>
        <v/>
      </c>
      <c r="AA203" s="80" t="str">
        <f>IF(ISNA(VLOOKUP($B203&amp;":"&amp;AA$3,'x - authors'!$B$3:$E$10000,4,FALSE)),"",VLOOKUP($B203&amp;":"&amp;AA$3,'x - authors'!$B$3:$E$10000,4,FALSE))</f>
        <v/>
      </c>
      <c r="AB203" s="80" t="str">
        <f>IF(ISNA(VLOOKUP($B203&amp;":"&amp;AB$3,'x - authors'!$B$3:$E$10000,4,FALSE)),"",VLOOKUP($B203&amp;":"&amp;AB$3,'x - authors'!$B$3:$E$10000,4,FALSE))</f>
        <v/>
      </c>
      <c r="AC203" s="80" t="str">
        <f>IF(ISNA(VLOOKUP($B203&amp;":"&amp;AC$3,'x - authors'!$B$3:$E$10000,4,FALSE)),"",VLOOKUP($B203&amp;":"&amp;AC$3,'x - authors'!$B$3:$E$10000,4,FALSE))</f>
        <v/>
      </c>
      <c r="AD203" s="80" t="str">
        <f>IF(ISNA(VLOOKUP($B203&amp;":"&amp;AD$3,'x - authors'!$B$3:$E$10000,4,FALSE)),"",VLOOKUP($B203&amp;":"&amp;AD$3,'x - authors'!$B$3:$E$10000,4,FALSE))</f>
        <v/>
      </c>
      <c r="AE203" s="80" t="str">
        <f>IF(ISNA(VLOOKUP($B203&amp;":"&amp;AE$3,'x - authors'!$B$3:$E$10000,4,FALSE)),"",VLOOKUP($B203&amp;":"&amp;AE$3,'x - authors'!$B$3:$E$10000,4,FALSE))</f>
        <v/>
      </c>
      <c r="AF203" s="80" t="str">
        <f>IF(ISNA(VLOOKUP($B203&amp;":"&amp;AF$3,'x - authors'!$B$3:$E$10000,4,FALSE)),"",VLOOKUP($B203&amp;":"&amp;AF$3,'x - authors'!$B$3:$E$10000,4,FALSE))</f>
        <v/>
      </c>
      <c r="AG203" s="80" t="str">
        <f>IF(ISNA(VLOOKUP($B203&amp;":"&amp;AG$3,'x - authors'!$B$3:$E$10000,4,FALSE)),"",VLOOKUP($B203&amp;":"&amp;AG$3,'x - authors'!$B$3:$E$10000,4,FALSE))</f>
        <v/>
      </c>
      <c r="AH203" s="80" t="str">
        <f>IF(ISNA(VLOOKUP($B203&amp;":"&amp;AH$3,'x - authors'!$B$3:$E$10000,4,FALSE)),"",VLOOKUP($B203&amp;":"&amp;AH$3,'x - authors'!$B$3:$E$10000,4,FALSE))</f>
        <v/>
      </c>
      <c r="AI203" s="80" t="str">
        <f>IF(ISNA(VLOOKUP($B203&amp;":"&amp;AI$3,'x - authors'!$B$3:$E$10000,4,FALSE)),"",VLOOKUP($B203&amp;":"&amp;AI$3,'x - authors'!$B$3:$E$10000,4,FALSE))</f>
        <v/>
      </c>
    </row>
    <row r="204" spans="2:35">
      <c r="B204" s="65" t="s">
        <v>6707</v>
      </c>
      <c r="C204" s="65" t="s">
        <v>129</v>
      </c>
      <c r="D204" s="65" t="s">
        <v>6708</v>
      </c>
      <c r="E204" s="83" t="s">
        <v>6762</v>
      </c>
      <c r="F204" s="65"/>
      <c r="G204" s="65"/>
      <c r="H204" s="65" t="s">
        <v>6709</v>
      </c>
      <c r="I204" s="65"/>
      <c r="J204" s="65"/>
      <c r="K204" s="65"/>
      <c r="L204" s="65"/>
      <c r="M204" s="65"/>
      <c r="N204" s="65"/>
      <c r="O204" s="15" t="str">
        <f t="shared" si="3"/>
        <v>citation:doc-x1026-01</v>
      </c>
      <c r="Q204" s="15" t="str">
        <f>VLOOKUP($O204,'x - paper citations'!$B$3:$E$2000,2,FALSE)</f>
        <v>https://scholar.google.co.uk/scholar?q=%22Structural Data De-anonymization: Theory and Practice%22&amp;btnG=&amp;hl=en&amp;as_sdt=0%2C5</v>
      </c>
      <c r="R204" s="15">
        <f>VLOOKUP($O204,'x - paper citations'!$B$3:$E$2000,3,FALSE)</f>
        <v>0</v>
      </c>
      <c r="S204" s="15" t="str">
        <f>VLOOKUP($O204,'x - paper citations'!$B$3:$E$2000,4,FALSE)</f>
        <v>11/03/2016</v>
      </c>
      <c r="U204" s="80" t="str">
        <f>IF(ISNA(VLOOKUP($B204&amp;":"&amp;U$3,'x - authors'!$B$3:$E$10000,4,FALSE)),"",VLOOKUP($B204&amp;":"&amp;U$3,'x - authors'!$B$3:$E$10000,4,FALSE))</f>
        <v>shouling_ji</v>
      </c>
      <c r="V204" s="80" t="str">
        <f>IF(ISNA(VLOOKUP($B204&amp;":"&amp;V$3,'x - authors'!$B$3:$E$10000,4,FALSE)),"",VLOOKUP($B204&amp;":"&amp;V$3,'x - authors'!$B$3:$E$10000,4,FALSE))</f>
        <v>weiqing_li</v>
      </c>
      <c r="W204" s="80" t="str">
        <f>IF(ISNA(VLOOKUP($B204&amp;":"&amp;W$3,'x - authors'!$B$3:$E$10000,4,FALSE)),"",VLOOKUP($B204&amp;":"&amp;W$3,'x - authors'!$B$3:$E$10000,4,FALSE))</f>
        <v>mudhakar_srivatsa</v>
      </c>
      <c r="X204" s="80" t="str">
        <f>IF(ISNA(VLOOKUP($B204&amp;":"&amp;X$3,'x - authors'!$B$3:$E$10000,4,FALSE)),"",VLOOKUP($B204&amp;":"&amp;X$3,'x - authors'!$B$3:$E$10000,4,FALSE))</f>
        <v>raheem_beyah</v>
      </c>
      <c r="Y204" s="80" t="str">
        <f>IF(ISNA(VLOOKUP($B204&amp;":"&amp;Y$3,'x - authors'!$B$3:$E$10000,4,FALSE)),"",VLOOKUP($B204&amp;":"&amp;Y$3,'x - authors'!$B$3:$E$10000,4,FALSE))</f>
        <v/>
      </c>
      <c r="Z204" s="80" t="str">
        <f>IF(ISNA(VLOOKUP($B204&amp;":"&amp;Z$3,'x - authors'!$B$3:$E$10000,4,FALSE)),"",VLOOKUP($B204&amp;":"&amp;Z$3,'x - authors'!$B$3:$E$10000,4,FALSE))</f>
        <v/>
      </c>
      <c r="AA204" s="80" t="str">
        <f>IF(ISNA(VLOOKUP($B204&amp;":"&amp;AA$3,'x - authors'!$B$3:$E$10000,4,FALSE)),"",VLOOKUP($B204&amp;":"&amp;AA$3,'x - authors'!$B$3:$E$10000,4,FALSE))</f>
        <v/>
      </c>
      <c r="AB204" s="80" t="str">
        <f>IF(ISNA(VLOOKUP($B204&amp;":"&amp;AB$3,'x - authors'!$B$3:$E$10000,4,FALSE)),"",VLOOKUP($B204&amp;":"&amp;AB$3,'x - authors'!$B$3:$E$10000,4,FALSE))</f>
        <v/>
      </c>
      <c r="AC204" s="80" t="str">
        <f>IF(ISNA(VLOOKUP($B204&amp;":"&amp;AC$3,'x - authors'!$B$3:$E$10000,4,FALSE)),"",VLOOKUP($B204&amp;":"&amp;AC$3,'x - authors'!$B$3:$E$10000,4,FALSE))</f>
        <v/>
      </c>
      <c r="AD204" s="80" t="str">
        <f>IF(ISNA(VLOOKUP($B204&amp;":"&amp;AD$3,'x - authors'!$B$3:$E$10000,4,FALSE)),"",VLOOKUP($B204&amp;":"&amp;AD$3,'x - authors'!$B$3:$E$10000,4,FALSE))</f>
        <v/>
      </c>
      <c r="AE204" s="80" t="str">
        <f>IF(ISNA(VLOOKUP($B204&amp;":"&amp;AE$3,'x - authors'!$B$3:$E$10000,4,FALSE)),"",VLOOKUP($B204&amp;":"&amp;AE$3,'x - authors'!$B$3:$E$10000,4,FALSE))</f>
        <v/>
      </c>
      <c r="AF204" s="80" t="str">
        <f>IF(ISNA(VLOOKUP($B204&amp;":"&amp;AF$3,'x - authors'!$B$3:$E$10000,4,FALSE)),"",VLOOKUP($B204&amp;":"&amp;AF$3,'x - authors'!$B$3:$E$10000,4,FALSE))</f>
        <v/>
      </c>
      <c r="AG204" s="80" t="str">
        <f>IF(ISNA(VLOOKUP($B204&amp;":"&amp;AG$3,'x - authors'!$B$3:$E$10000,4,FALSE)),"",VLOOKUP($B204&amp;":"&amp;AG$3,'x - authors'!$B$3:$E$10000,4,FALSE))</f>
        <v/>
      </c>
      <c r="AH204" s="80" t="str">
        <f>IF(ISNA(VLOOKUP($B204&amp;":"&amp;AH$3,'x - authors'!$B$3:$E$10000,4,FALSE)),"",VLOOKUP($B204&amp;":"&amp;AH$3,'x - authors'!$B$3:$E$10000,4,FALSE))</f>
        <v/>
      </c>
      <c r="AI204" s="80" t="str">
        <f>IF(ISNA(VLOOKUP($B204&amp;":"&amp;AI$3,'x - authors'!$B$3:$E$10000,4,FALSE)),"",VLOOKUP($B204&amp;":"&amp;AI$3,'x - authors'!$B$3:$E$10000,4,FALSE))</f>
        <v/>
      </c>
    </row>
    <row r="205" spans="2:35">
      <c r="B205" s="65" t="s">
        <v>6711</v>
      </c>
      <c r="C205" s="65" t="s">
        <v>129</v>
      </c>
      <c r="D205" s="65" t="s">
        <v>6712</v>
      </c>
      <c r="E205" s="83" t="s">
        <v>6760</v>
      </c>
      <c r="F205" s="65"/>
      <c r="G205" s="65"/>
      <c r="H205" s="65" t="s">
        <v>6713</v>
      </c>
      <c r="I205" s="65"/>
      <c r="J205" s="65"/>
      <c r="K205" s="65"/>
      <c r="L205" s="65"/>
      <c r="M205" s="65"/>
      <c r="N205" s="65"/>
      <c r="O205" s="15" t="str">
        <f t="shared" si="3"/>
        <v>citation:doc-x1029-01</v>
      </c>
      <c r="Q205" s="15" t="str">
        <f>VLOOKUP($O205,'x - paper citations'!$B$3:$E$2000,2,FALSE)</f>
        <v>https://scholar.google.co.uk/scholar?q=%22Self-organizing systems based on morphogenesis principles%22&amp;btnG=&amp;hl=en&amp;as_sdt=0%2C5</v>
      </c>
      <c r="R205" s="15">
        <f>VLOOKUP($O205,'x - paper citations'!$B$3:$E$2000,3,FALSE)</f>
        <v>0</v>
      </c>
      <c r="S205" s="15" t="str">
        <f>VLOOKUP($O205,'x - paper citations'!$B$3:$E$2000,4,FALSE)</f>
        <v>11/03/2016</v>
      </c>
      <c r="U205" s="80" t="str">
        <f>IF(ISNA(VLOOKUP($B205&amp;":"&amp;U$3,'x - authors'!$B$3:$E$10000,4,FALSE)),"",VLOOKUP($B205&amp;":"&amp;U$3,'x - authors'!$B$3:$E$10000,4,FALSE))</f>
        <v>vasilieos_pappas</v>
      </c>
      <c r="V205" s="80" t="str">
        <f>IF(ISNA(VLOOKUP($B205&amp;":"&amp;V$3,'x - authors'!$B$3:$E$10000,4,FALSE)),"",VLOOKUP($B205&amp;":"&amp;V$3,'x - authors'!$B$3:$E$10000,4,FALSE))</f>
        <v>dinesh_verma</v>
      </c>
      <c r="W205" s="80" t="str">
        <f>IF(ISNA(VLOOKUP($B205&amp;":"&amp;W$3,'x - authors'!$B$3:$E$10000,4,FALSE)),"",VLOOKUP($B205&amp;":"&amp;W$3,'x - authors'!$B$3:$E$10000,4,FALSE))</f>
        <v/>
      </c>
      <c r="X205" s="80" t="str">
        <f>IF(ISNA(VLOOKUP($B205&amp;":"&amp;X$3,'x - authors'!$B$3:$E$10000,4,FALSE)),"",VLOOKUP($B205&amp;":"&amp;X$3,'x - authors'!$B$3:$E$10000,4,FALSE))</f>
        <v/>
      </c>
      <c r="Y205" s="80" t="str">
        <f>IF(ISNA(VLOOKUP($B205&amp;":"&amp;Y$3,'x - authors'!$B$3:$E$10000,4,FALSE)),"",VLOOKUP($B205&amp;":"&amp;Y$3,'x - authors'!$B$3:$E$10000,4,FALSE))</f>
        <v/>
      </c>
      <c r="Z205" s="80" t="str">
        <f>IF(ISNA(VLOOKUP($B205&amp;":"&amp;Z$3,'x - authors'!$B$3:$E$10000,4,FALSE)),"",VLOOKUP($B205&amp;":"&amp;Z$3,'x - authors'!$B$3:$E$10000,4,FALSE))</f>
        <v/>
      </c>
      <c r="AA205" s="80" t="str">
        <f>IF(ISNA(VLOOKUP($B205&amp;":"&amp;AA$3,'x - authors'!$B$3:$E$10000,4,FALSE)),"",VLOOKUP($B205&amp;":"&amp;AA$3,'x - authors'!$B$3:$E$10000,4,FALSE))</f>
        <v/>
      </c>
      <c r="AB205" s="80" t="str">
        <f>IF(ISNA(VLOOKUP($B205&amp;":"&amp;AB$3,'x - authors'!$B$3:$E$10000,4,FALSE)),"",VLOOKUP($B205&amp;":"&amp;AB$3,'x - authors'!$B$3:$E$10000,4,FALSE))</f>
        <v/>
      </c>
      <c r="AC205" s="80" t="str">
        <f>IF(ISNA(VLOOKUP($B205&amp;":"&amp;AC$3,'x - authors'!$B$3:$E$10000,4,FALSE)),"",VLOOKUP($B205&amp;":"&amp;AC$3,'x - authors'!$B$3:$E$10000,4,FALSE))</f>
        <v/>
      </c>
      <c r="AD205" s="80" t="str">
        <f>IF(ISNA(VLOOKUP($B205&amp;":"&amp;AD$3,'x - authors'!$B$3:$E$10000,4,FALSE)),"",VLOOKUP($B205&amp;":"&amp;AD$3,'x - authors'!$B$3:$E$10000,4,FALSE))</f>
        <v/>
      </c>
      <c r="AE205" s="80" t="str">
        <f>IF(ISNA(VLOOKUP($B205&amp;":"&amp;AE$3,'x - authors'!$B$3:$E$10000,4,FALSE)),"",VLOOKUP($B205&amp;":"&amp;AE$3,'x - authors'!$B$3:$E$10000,4,FALSE))</f>
        <v/>
      </c>
      <c r="AF205" s="80" t="str">
        <f>IF(ISNA(VLOOKUP($B205&amp;":"&amp;AF$3,'x - authors'!$B$3:$E$10000,4,FALSE)),"",VLOOKUP($B205&amp;":"&amp;AF$3,'x - authors'!$B$3:$E$10000,4,FALSE))</f>
        <v/>
      </c>
      <c r="AG205" s="80" t="str">
        <f>IF(ISNA(VLOOKUP($B205&amp;":"&amp;AG$3,'x - authors'!$B$3:$E$10000,4,FALSE)),"",VLOOKUP($B205&amp;":"&amp;AG$3,'x - authors'!$B$3:$E$10000,4,FALSE))</f>
        <v/>
      </c>
      <c r="AH205" s="80" t="str">
        <f>IF(ISNA(VLOOKUP($B205&amp;":"&amp;AH$3,'x - authors'!$B$3:$E$10000,4,FALSE)),"",VLOOKUP($B205&amp;":"&amp;AH$3,'x - authors'!$B$3:$E$10000,4,FALSE))</f>
        <v/>
      </c>
      <c r="AI205" s="80" t="str">
        <f>IF(ISNA(VLOOKUP($B205&amp;":"&amp;AI$3,'x - authors'!$B$3:$E$10000,4,FALSE)),"",VLOOKUP($B205&amp;":"&amp;AI$3,'x - authors'!$B$3:$E$10000,4,FALSE))</f>
        <v/>
      </c>
    </row>
    <row r="206" spans="2:35">
      <c r="B206" s="65" t="s">
        <v>6715</v>
      </c>
      <c r="C206" s="65" t="s">
        <v>129</v>
      </c>
      <c r="D206" s="65" t="s">
        <v>6716</v>
      </c>
      <c r="E206" s="83" t="s">
        <v>6760</v>
      </c>
      <c r="F206" s="65"/>
      <c r="G206" s="65"/>
      <c r="H206" s="65" t="s">
        <v>6717</v>
      </c>
      <c r="I206" s="65"/>
      <c r="J206" s="65"/>
      <c r="K206" s="65"/>
      <c r="L206" s="65"/>
      <c r="M206" s="65"/>
      <c r="N206" s="65"/>
      <c r="O206" s="15" t="str">
        <f t="shared" si="3"/>
        <v>citation:doc-x1037-01</v>
      </c>
      <c r="Q206" s="15" t="str">
        <f>VLOOKUP($O206,'x - paper citations'!$B$3:$E$2000,2,FALSE)</f>
        <v>https://scholar.google.co.uk/scholar?q=%22Activity recognition for dynamic multi-agent teams%22&amp;btnG=&amp;hl=en&amp;as_sdt=0%2C5</v>
      </c>
      <c r="R206" s="15">
        <f>VLOOKUP($O206,'x - paper citations'!$B$3:$E$2000,3,FALSE)</f>
        <v>14</v>
      </c>
      <c r="S206" s="15" t="str">
        <f>VLOOKUP($O206,'x - paper citations'!$B$3:$E$2000,4,FALSE)</f>
        <v>11/03/2016</v>
      </c>
      <c r="U206" s="80" t="str">
        <f>IF(ISNA(VLOOKUP($B206&amp;":"&amp;U$3,'x - authors'!$B$3:$E$10000,4,FALSE)),"",VLOOKUP($B206&amp;":"&amp;U$3,'x - authors'!$B$3:$E$10000,4,FALSE))</f>
        <v>gita_sukthankar</v>
      </c>
      <c r="V206" s="80" t="str">
        <f>IF(ISNA(VLOOKUP($B206&amp;":"&amp;V$3,'x - authors'!$B$3:$E$10000,4,FALSE)),"",VLOOKUP($B206&amp;":"&amp;V$3,'x - authors'!$B$3:$E$10000,4,FALSE))</f>
        <v>katia_sycara</v>
      </c>
      <c r="W206" s="80" t="str">
        <f>IF(ISNA(VLOOKUP($B206&amp;":"&amp;W$3,'x - authors'!$B$3:$E$10000,4,FALSE)),"",VLOOKUP($B206&amp;":"&amp;W$3,'x - authors'!$B$3:$E$10000,4,FALSE))</f>
        <v/>
      </c>
      <c r="X206" s="80" t="str">
        <f>IF(ISNA(VLOOKUP($B206&amp;":"&amp;X$3,'x - authors'!$B$3:$E$10000,4,FALSE)),"",VLOOKUP($B206&amp;":"&amp;X$3,'x - authors'!$B$3:$E$10000,4,FALSE))</f>
        <v/>
      </c>
      <c r="Y206" s="80" t="str">
        <f>IF(ISNA(VLOOKUP($B206&amp;":"&amp;Y$3,'x - authors'!$B$3:$E$10000,4,FALSE)),"",VLOOKUP($B206&amp;":"&amp;Y$3,'x - authors'!$B$3:$E$10000,4,FALSE))</f>
        <v/>
      </c>
      <c r="Z206" s="80" t="str">
        <f>IF(ISNA(VLOOKUP($B206&amp;":"&amp;Z$3,'x - authors'!$B$3:$E$10000,4,FALSE)),"",VLOOKUP($B206&amp;":"&amp;Z$3,'x - authors'!$B$3:$E$10000,4,FALSE))</f>
        <v/>
      </c>
      <c r="AA206" s="80" t="str">
        <f>IF(ISNA(VLOOKUP($B206&amp;":"&amp;AA$3,'x - authors'!$B$3:$E$10000,4,FALSE)),"",VLOOKUP($B206&amp;":"&amp;AA$3,'x - authors'!$B$3:$E$10000,4,FALSE))</f>
        <v/>
      </c>
      <c r="AB206" s="80" t="str">
        <f>IF(ISNA(VLOOKUP($B206&amp;":"&amp;AB$3,'x - authors'!$B$3:$E$10000,4,FALSE)),"",VLOOKUP($B206&amp;":"&amp;AB$3,'x - authors'!$B$3:$E$10000,4,FALSE))</f>
        <v/>
      </c>
      <c r="AC206" s="80" t="str">
        <f>IF(ISNA(VLOOKUP($B206&amp;":"&amp;AC$3,'x - authors'!$B$3:$E$10000,4,FALSE)),"",VLOOKUP($B206&amp;":"&amp;AC$3,'x - authors'!$B$3:$E$10000,4,FALSE))</f>
        <v/>
      </c>
      <c r="AD206" s="80" t="str">
        <f>IF(ISNA(VLOOKUP($B206&amp;":"&amp;AD$3,'x - authors'!$B$3:$E$10000,4,FALSE)),"",VLOOKUP($B206&amp;":"&amp;AD$3,'x - authors'!$B$3:$E$10000,4,FALSE))</f>
        <v/>
      </c>
      <c r="AE206" s="80" t="str">
        <f>IF(ISNA(VLOOKUP($B206&amp;":"&amp;AE$3,'x - authors'!$B$3:$E$10000,4,FALSE)),"",VLOOKUP($B206&amp;":"&amp;AE$3,'x - authors'!$B$3:$E$10000,4,FALSE))</f>
        <v/>
      </c>
      <c r="AF206" s="80" t="str">
        <f>IF(ISNA(VLOOKUP($B206&amp;":"&amp;AF$3,'x - authors'!$B$3:$E$10000,4,FALSE)),"",VLOOKUP($B206&amp;":"&amp;AF$3,'x - authors'!$B$3:$E$10000,4,FALSE))</f>
        <v/>
      </c>
      <c r="AG206" s="80" t="str">
        <f>IF(ISNA(VLOOKUP($B206&amp;":"&amp;AG$3,'x - authors'!$B$3:$E$10000,4,FALSE)),"",VLOOKUP($B206&amp;":"&amp;AG$3,'x - authors'!$B$3:$E$10000,4,FALSE))</f>
        <v/>
      </c>
      <c r="AH206" s="80" t="str">
        <f>IF(ISNA(VLOOKUP($B206&amp;":"&amp;AH$3,'x - authors'!$B$3:$E$10000,4,FALSE)),"",VLOOKUP($B206&amp;":"&amp;AH$3,'x - authors'!$B$3:$E$10000,4,FALSE))</f>
        <v/>
      </c>
      <c r="AI206" s="80" t="str">
        <f>IF(ISNA(VLOOKUP($B206&amp;":"&amp;AI$3,'x - authors'!$B$3:$E$10000,4,FALSE)),"",VLOOKUP($B206&amp;":"&amp;AI$3,'x - authors'!$B$3:$E$10000,4,FALSE))</f>
        <v/>
      </c>
    </row>
    <row r="207" spans="2:35">
      <c r="B207" s="65" t="s">
        <v>6719</v>
      </c>
      <c r="C207" s="65" t="s">
        <v>129</v>
      </c>
      <c r="D207" s="65" t="s">
        <v>6720</v>
      </c>
      <c r="E207" s="83" t="s">
        <v>954</v>
      </c>
      <c r="F207" s="65"/>
      <c r="G207" s="65"/>
      <c r="H207" s="65" t="s">
        <v>6721</v>
      </c>
      <c r="I207" s="65"/>
      <c r="J207" s="65"/>
      <c r="K207" s="65"/>
      <c r="L207" s="65"/>
      <c r="M207" s="65"/>
      <c r="N207" s="65"/>
      <c r="O207" s="15" t="str">
        <f t="shared" si="3"/>
        <v>citation:doc-x1038-01</v>
      </c>
      <c r="Q207" s="15" t="str">
        <f>VLOOKUP($O207,'x - paper citations'!$B$3:$E$2000,2,FALSE)</f>
        <v>https://scholar.google.co.uk/scholar?q=%22Creating physically embodied agents using realistic human motion models%22&amp;btnG=&amp;hl=en&amp;as_sdt=0%2C5</v>
      </c>
      <c r="R207" s="15">
        <f>VLOOKUP($O207,'x - paper citations'!$B$3:$E$2000,3,FALSE)</f>
        <v>2</v>
      </c>
      <c r="S207" s="15" t="str">
        <f>VLOOKUP($O207,'x - paper citations'!$B$3:$E$2000,4,FALSE)</f>
        <v>11/03/2016</v>
      </c>
      <c r="U207" s="80" t="str">
        <f>IF(ISNA(VLOOKUP($B207&amp;":"&amp;U$3,'x - authors'!$B$3:$E$10000,4,FALSE)),"",VLOOKUP($B207&amp;":"&amp;U$3,'x - authors'!$B$3:$E$10000,4,FALSE))</f>
        <v>gita_sukthankar</v>
      </c>
      <c r="V207" s="80" t="str">
        <f>IF(ISNA(VLOOKUP($B207&amp;":"&amp;V$3,'x - authors'!$B$3:$E$10000,4,FALSE)),"",VLOOKUP($B207&amp;":"&amp;V$3,'x - authors'!$B$3:$E$10000,4,FALSE))</f>
        <v>michael_mandel</v>
      </c>
      <c r="W207" s="80" t="str">
        <f>IF(ISNA(VLOOKUP($B207&amp;":"&amp;W$3,'x - authors'!$B$3:$E$10000,4,FALSE)),"",VLOOKUP($B207&amp;":"&amp;W$3,'x - authors'!$B$3:$E$10000,4,FALSE))</f>
        <v>katia_sycara</v>
      </c>
      <c r="X207" s="80" t="str">
        <f>IF(ISNA(VLOOKUP($B207&amp;":"&amp;X$3,'x - authors'!$B$3:$E$10000,4,FALSE)),"",VLOOKUP($B207&amp;":"&amp;X$3,'x - authors'!$B$3:$E$10000,4,FALSE))</f>
        <v/>
      </c>
      <c r="Y207" s="80" t="str">
        <f>IF(ISNA(VLOOKUP($B207&amp;":"&amp;Y$3,'x - authors'!$B$3:$E$10000,4,FALSE)),"",VLOOKUP($B207&amp;":"&amp;Y$3,'x - authors'!$B$3:$E$10000,4,FALSE))</f>
        <v/>
      </c>
      <c r="Z207" s="80" t="str">
        <f>IF(ISNA(VLOOKUP($B207&amp;":"&amp;Z$3,'x - authors'!$B$3:$E$10000,4,FALSE)),"",VLOOKUP($B207&amp;":"&amp;Z$3,'x - authors'!$B$3:$E$10000,4,FALSE))</f>
        <v/>
      </c>
      <c r="AA207" s="80" t="str">
        <f>IF(ISNA(VLOOKUP($B207&amp;":"&amp;AA$3,'x - authors'!$B$3:$E$10000,4,FALSE)),"",VLOOKUP($B207&amp;":"&amp;AA$3,'x - authors'!$B$3:$E$10000,4,FALSE))</f>
        <v/>
      </c>
      <c r="AB207" s="80" t="str">
        <f>IF(ISNA(VLOOKUP($B207&amp;":"&amp;AB$3,'x - authors'!$B$3:$E$10000,4,FALSE)),"",VLOOKUP($B207&amp;":"&amp;AB$3,'x - authors'!$B$3:$E$10000,4,FALSE))</f>
        <v/>
      </c>
      <c r="AC207" s="80" t="str">
        <f>IF(ISNA(VLOOKUP($B207&amp;":"&amp;AC$3,'x - authors'!$B$3:$E$10000,4,FALSE)),"",VLOOKUP($B207&amp;":"&amp;AC$3,'x - authors'!$B$3:$E$10000,4,FALSE))</f>
        <v/>
      </c>
      <c r="AD207" s="80" t="str">
        <f>IF(ISNA(VLOOKUP($B207&amp;":"&amp;AD$3,'x - authors'!$B$3:$E$10000,4,FALSE)),"",VLOOKUP($B207&amp;":"&amp;AD$3,'x - authors'!$B$3:$E$10000,4,FALSE))</f>
        <v/>
      </c>
      <c r="AE207" s="80" t="str">
        <f>IF(ISNA(VLOOKUP($B207&amp;":"&amp;AE$3,'x - authors'!$B$3:$E$10000,4,FALSE)),"",VLOOKUP($B207&amp;":"&amp;AE$3,'x - authors'!$B$3:$E$10000,4,FALSE))</f>
        <v/>
      </c>
      <c r="AF207" s="80" t="str">
        <f>IF(ISNA(VLOOKUP($B207&amp;":"&amp;AF$3,'x - authors'!$B$3:$E$10000,4,FALSE)),"",VLOOKUP($B207&amp;":"&amp;AF$3,'x - authors'!$B$3:$E$10000,4,FALSE))</f>
        <v/>
      </c>
      <c r="AG207" s="80" t="str">
        <f>IF(ISNA(VLOOKUP($B207&amp;":"&amp;AG$3,'x - authors'!$B$3:$E$10000,4,FALSE)),"",VLOOKUP($B207&amp;":"&amp;AG$3,'x - authors'!$B$3:$E$10000,4,FALSE))</f>
        <v/>
      </c>
      <c r="AH207" s="80" t="str">
        <f>IF(ISNA(VLOOKUP($B207&amp;":"&amp;AH$3,'x - authors'!$B$3:$E$10000,4,FALSE)),"",VLOOKUP($B207&amp;":"&amp;AH$3,'x - authors'!$B$3:$E$10000,4,FALSE))</f>
        <v/>
      </c>
      <c r="AI207" s="80" t="str">
        <f>IF(ISNA(VLOOKUP($B207&amp;":"&amp;AI$3,'x - authors'!$B$3:$E$10000,4,FALSE)),"",VLOOKUP($B207&amp;":"&amp;AI$3,'x - authors'!$B$3:$E$10000,4,FALSE))</f>
        <v/>
      </c>
    </row>
    <row r="208" spans="2:35">
      <c r="B208" s="65" t="s">
        <v>6723</v>
      </c>
      <c r="C208" s="65" t="s">
        <v>129</v>
      </c>
      <c r="D208" s="65" t="s">
        <v>6724</v>
      </c>
      <c r="E208" s="83" t="s">
        <v>6758</v>
      </c>
      <c r="F208" s="65"/>
      <c r="G208" s="65"/>
      <c r="H208" s="65" t="s">
        <v>6725</v>
      </c>
      <c r="I208" s="65"/>
      <c r="J208" s="65"/>
      <c r="K208" s="65"/>
      <c r="L208" s="65"/>
      <c r="M208" s="65"/>
      <c r="N208" s="65"/>
      <c r="O208" s="15" t="str">
        <f t="shared" si="3"/>
        <v>citation:doc-x1039-01</v>
      </c>
      <c r="Q208" s="15" t="str">
        <f>VLOOKUP($O208,'x - paper citations'!$B$3:$E$2000,2,FALSE)</f>
        <v>https://scholar.google.co.uk/scholar?q=%22A generic framework for automated multi-attribute negotiation%22&amp;btnG=&amp;hl=en&amp;as_sdt=0%2C5</v>
      </c>
      <c r="R208" s="15">
        <f>VLOOKUP($O208,'x - paper citations'!$B$3:$E$2000,3,FALSE)</f>
        <v>83</v>
      </c>
      <c r="S208" s="15" t="str">
        <f>VLOOKUP($O208,'x - paper citations'!$B$3:$E$2000,4,FALSE)</f>
        <v>11/03/2016</v>
      </c>
      <c r="U208" s="80" t="str">
        <f>IF(ISNA(VLOOKUP($B208&amp;":"&amp;U$3,'x - authors'!$B$3:$E$10000,4,FALSE)),"",VLOOKUP($B208&amp;":"&amp;U$3,'x - authors'!$B$3:$E$10000,4,FALSE))</f>
        <v>guoming_lai</v>
      </c>
      <c r="V208" s="80" t="str">
        <f>IF(ISNA(VLOOKUP($B208&amp;":"&amp;V$3,'x - authors'!$B$3:$E$10000,4,FALSE)),"",VLOOKUP($B208&amp;":"&amp;V$3,'x - authors'!$B$3:$E$10000,4,FALSE))</f>
        <v>katia_sycara</v>
      </c>
      <c r="W208" s="80" t="str">
        <f>IF(ISNA(VLOOKUP($B208&amp;":"&amp;W$3,'x - authors'!$B$3:$E$10000,4,FALSE)),"",VLOOKUP($B208&amp;":"&amp;W$3,'x - authors'!$B$3:$E$10000,4,FALSE))</f>
        <v/>
      </c>
      <c r="X208" s="80" t="str">
        <f>IF(ISNA(VLOOKUP($B208&amp;":"&amp;X$3,'x - authors'!$B$3:$E$10000,4,FALSE)),"",VLOOKUP($B208&amp;":"&amp;X$3,'x - authors'!$B$3:$E$10000,4,FALSE))</f>
        <v/>
      </c>
      <c r="Y208" s="80" t="str">
        <f>IF(ISNA(VLOOKUP($B208&amp;":"&amp;Y$3,'x - authors'!$B$3:$E$10000,4,FALSE)),"",VLOOKUP($B208&amp;":"&amp;Y$3,'x - authors'!$B$3:$E$10000,4,FALSE))</f>
        <v/>
      </c>
      <c r="Z208" s="80" t="str">
        <f>IF(ISNA(VLOOKUP($B208&amp;":"&amp;Z$3,'x - authors'!$B$3:$E$10000,4,FALSE)),"",VLOOKUP($B208&amp;":"&amp;Z$3,'x - authors'!$B$3:$E$10000,4,FALSE))</f>
        <v/>
      </c>
      <c r="AA208" s="80" t="str">
        <f>IF(ISNA(VLOOKUP($B208&amp;":"&amp;AA$3,'x - authors'!$B$3:$E$10000,4,FALSE)),"",VLOOKUP($B208&amp;":"&amp;AA$3,'x - authors'!$B$3:$E$10000,4,FALSE))</f>
        <v/>
      </c>
      <c r="AB208" s="80" t="str">
        <f>IF(ISNA(VLOOKUP($B208&amp;":"&amp;AB$3,'x - authors'!$B$3:$E$10000,4,FALSE)),"",VLOOKUP($B208&amp;":"&amp;AB$3,'x - authors'!$B$3:$E$10000,4,FALSE))</f>
        <v/>
      </c>
      <c r="AC208" s="80" t="str">
        <f>IF(ISNA(VLOOKUP($B208&amp;":"&amp;AC$3,'x - authors'!$B$3:$E$10000,4,FALSE)),"",VLOOKUP($B208&amp;":"&amp;AC$3,'x - authors'!$B$3:$E$10000,4,FALSE))</f>
        <v/>
      </c>
      <c r="AD208" s="80" t="str">
        <f>IF(ISNA(VLOOKUP($B208&amp;":"&amp;AD$3,'x - authors'!$B$3:$E$10000,4,FALSE)),"",VLOOKUP($B208&amp;":"&amp;AD$3,'x - authors'!$B$3:$E$10000,4,FALSE))</f>
        <v/>
      </c>
      <c r="AE208" s="80" t="str">
        <f>IF(ISNA(VLOOKUP($B208&amp;":"&amp;AE$3,'x - authors'!$B$3:$E$10000,4,FALSE)),"",VLOOKUP($B208&amp;":"&amp;AE$3,'x - authors'!$B$3:$E$10000,4,FALSE))</f>
        <v/>
      </c>
      <c r="AF208" s="80" t="str">
        <f>IF(ISNA(VLOOKUP($B208&amp;":"&amp;AF$3,'x - authors'!$B$3:$E$10000,4,FALSE)),"",VLOOKUP($B208&amp;":"&amp;AF$3,'x - authors'!$B$3:$E$10000,4,FALSE))</f>
        <v/>
      </c>
      <c r="AG208" s="80" t="str">
        <f>IF(ISNA(VLOOKUP($B208&amp;":"&amp;AG$3,'x - authors'!$B$3:$E$10000,4,FALSE)),"",VLOOKUP($B208&amp;":"&amp;AG$3,'x - authors'!$B$3:$E$10000,4,FALSE))</f>
        <v/>
      </c>
      <c r="AH208" s="80" t="str">
        <f>IF(ISNA(VLOOKUP($B208&amp;":"&amp;AH$3,'x - authors'!$B$3:$E$10000,4,FALSE)),"",VLOOKUP($B208&amp;":"&amp;AH$3,'x - authors'!$B$3:$E$10000,4,FALSE))</f>
        <v/>
      </c>
      <c r="AI208" s="80" t="str">
        <f>IF(ISNA(VLOOKUP($B208&amp;":"&amp;AI$3,'x - authors'!$B$3:$E$10000,4,FALSE)),"",VLOOKUP($B208&amp;":"&amp;AI$3,'x - authors'!$B$3:$E$10000,4,FALSE))</f>
        <v/>
      </c>
    </row>
    <row r="209" spans="2:35">
      <c r="B209" s="65" t="s">
        <v>6727</v>
      </c>
      <c r="C209" s="65" t="s">
        <v>129</v>
      </c>
      <c r="D209" s="65" t="s">
        <v>6728</v>
      </c>
      <c r="E209" s="83" t="s">
        <v>6763</v>
      </c>
      <c r="F209" s="65"/>
      <c r="G209" s="65"/>
      <c r="H209" s="65" t="s">
        <v>6729</v>
      </c>
      <c r="I209" s="65"/>
      <c r="J209" s="65"/>
      <c r="K209" s="65"/>
      <c r="L209" s="65"/>
      <c r="M209" s="65" t="s">
        <v>6731</v>
      </c>
      <c r="N209" s="65"/>
      <c r="O209" s="15" t="str">
        <f t="shared" si="3"/>
        <v>citation:doc-x1044-01</v>
      </c>
      <c r="Q209" s="15" t="str">
        <f>VLOOKUP($O209,'x - paper citations'!$B$3:$E$2000,2,FALSE)</f>
        <v>https://scholar.google.co.uk/scholar?q=%22netCSI: A Generic Fault Diagnosis Algorithm for Large-Scale Failures in Computer Networks%22&amp;btnG=&amp;hl=en&amp;as_sdt=0%2C5</v>
      </c>
      <c r="R209" s="15">
        <f>VLOOKUP($O209,'x - paper citations'!$B$3:$E$2000,3,FALSE)</f>
        <v>0</v>
      </c>
      <c r="S209" s="15" t="str">
        <f>VLOOKUP($O209,'x - paper citations'!$B$3:$E$2000,4,FALSE)</f>
        <v>11/03/2016</v>
      </c>
      <c r="U209" s="80" t="str">
        <f>IF(ISNA(VLOOKUP($B209&amp;":"&amp;U$3,'x - authors'!$B$3:$E$10000,4,FALSE)),"",VLOOKUP($B209&amp;":"&amp;U$3,'x - authors'!$B$3:$E$10000,4,FALSE))</f>
        <v>srikar_tati</v>
      </c>
      <c r="V209" s="80" t="str">
        <f>IF(ISNA(VLOOKUP($B209&amp;":"&amp;V$3,'x - authors'!$B$3:$E$10000,4,FALSE)),"",VLOOKUP($B209&amp;":"&amp;V$3,'x - authors'!$B$3:$E$10000,4,FALSE))</f>
        <v>scott_rager</v>
      </c>
      <c r="W209" s="80" t="str">
        <f>IF(ISNA(VLOOKUP($B209&amp;":"&amp;W$3,'x - authors'!$B$3:$E$10000,4,FALSE)),"",VLOOKUP($B209&amp;":"&amp;W$3,'x - authors'!$B$3:$E$10000,4,FALSE))</f>
        <v>bong_jun_ko</v>
      </c>
      <c r="X209" s="80" t="str">
        <f>IF(ISNA(VLOOKUP($B209&amp;":"&amp;X$3,'x - authors'!$B$3:$E$10000,4,FALSE)),"",VLOOKUP($B209&amp;":"&amp;X$3,'x - authors'!$B$3:$E$10000,4,FALSE))</f>
        <v>guohong_cao</v>
      </c>
      <c r="Y209" s="80" t="str">
        <f>IF(ISNA(VLOOKUP($B209&amp;":"&amp;Y$3,'x - authors'!$B$3:$E$10000,4,FALSE)),"",VLOOKUP($B209&amp;":"&amp;Y$3,'x - authors'!$B$3:$E$10000,4,FALSE))</f>
        <v>ananthram_swami</v>
      </c>
      <c r="Z209" s="80" t="str">
        <f>IF(ISNA(VLOOKUP($B209&amp;":"&amp;Z$3,'x - authors'!$B$3:$E$10000,4,FALSE)),"",VLOOKUP($B209&amp;":"&amp;Z$3,'x - authors'!$B$3:$E$10000,4,FALSE))</f>
        <v>thomas_laporta</v>
      </c>
      <c r="AA209" s="80" t="str">
        <f>IF(ISNA(VLOOKUP($B209&amp;":"&amp;AA$3,'x - authors'!$B$3:$E$10000,4,FALSE)),"",VLOOKUP($B209&amp;":"&amp;AA$3,'x - authors'!$B$3:$E$10000,4,FALSE))</f>
        <v/>
      </c>
      <c r="AB209" s="80" t="str">
        <f>IF(ISNA(VLOOKUP($B209&amp;":"&amp;AB$3,'x - authors'!$B$3:$E$10000,4,FALSE)),"",VLOOKUP($B209&amp;":"&amp;AB$3,'x - authors'!$B$3:$E$10000,4,FALSE))</f>
        <v/>
      </c>
      <c r="AC209" s="80" t="str">
        <f>IF(ISNA(VLOOKUP($B209&amp;":"&amp;AC$3,'x - authors'!$B$3:$E$10000,4,FALSE)),"",VLOOKUP($B209&amp;":"&amp;AC$3,'x - authors'!$B$3:$E$10000,4,FALSE))</f>
        <v/>
      </c>
      <c r="AD209" s="80" t="str">
        <f>IF(ISNA(VLOOKUP($B209&amp;":"&amp;AD$3,'x - authors'!$B$3:$E$10000,4,FALSE)),"",VLOOKUP($B209&amp;":"&amp;AD$3,'x - authors'!$B$3:$E$10000,4,FALSE))</f>
        <v/>
      </c>
      <c r="AE209" s="80" t="str">
        <f>IF(ISNA(VLOOKUP($B209&amp;":"&amp;AE$3,'x - authors'!$B$3:$E$10000,4,FALSE)),"",VLOOKUP($B209&amp;":"&amp;AE$3,'x - authors'!$B$3:$E$10000,4,FALSE))</f>
        <v/>
      </c>
      <c r="AF209" s="80" t="str">
        <f>IF(ISNA(VLOOKUP($B209&amp;":"&amp;AF$3,'x - authors'!$B$3:$E$10000,4,FALSE)),"",VLOOKUP($B209&amp;":"&amp;AF$3,'x - authors'!$B$3:$E$10000,4,FALSE))</f>
        <v/>
      </c>
      <c r="AG209" s="80" t="str">
        <f>IF(ISNA(VLOOKUP($B209&amp;":"&amp;AG$3,'x - authors'!$B$3:$E$10000,4,FALSE)),"",VLOOKUP($B209&amp;":"&amp;AG$3,'x - authors'!$B$3:$E$10000,4,FALSE))</f>
        <v/>
      </c>
      <c r="AH209" s="80" t="str">
        <f>IF(ISNA(VLOOKUP($B209&amp;":"&amp;AH$3,'x - authors'!$B$3:$E$10000,4,FALSE)),"",VLOOKUP($B209&amp;":"&amp;AH$3,'x - authors'!$B$3:$E$10000,4,FALSE))</f>
        <v/>
      </c>
      <c r="AI209" s="80" t="str">
        <f>IF(ISNA(VLOOKUP($B209&amp;":"&amp;AI$3,'x - authors'!$B$3:$E$10000,4,FALSE)),"",VLOOKUP($B209&amp;":"&amp;AI$3,'x - authors'!$B$3:$E$10000,4,FALSE))</f>
        <v/>
      </c>
    </row>
    <row r="210" spans="2:35">
      <c r="B210" s="65" t="s">
        <v>6732</v>
      </c>
      <c r="C210" s="65" t="s">
        <v>129</v>
      </c>
      <c r="D210" s="65" t="s">
        <v>6733</v>
      </c>
      <c r="E210" s="83" t="s">
        <v>142</v>
      </c>
      <c r="F210" s="65"/>
      <c r="G210" s="65"/>
      <c r="H210" s="65" t="s">
        <v>6734</v>
      </c>
      <c r="I210" s="65"/>
      <c r="J210" s="65"/>
      <c r="K210" s="65"/>
      <c r="L210" s="65" t="s">
        <v>6261</v>
      </c>
      <c r="M210" s="65" t="s">
        <v>6736</v>
      </c>
      <c r="N210" s="65"/>
      <c r="O210" s="15" t="str">
        <f t="shared" si="3"/>
        <v>citation:doc-x2004-01</v>
      </c>
      <c r="Q210" s="15" t="str">
        <f>VLOOKUP($O210,'x - paper citations'!$B$3:$E$2000,2,FALSE)</f>
        <v>https://scholar.google.co.uk/scholar?q=%22Predicate encryption supporting disjunctions, polynomial equations, and inner products%22&amp;btnG=&amp;hl=en&amp;as_sdt=0%2C5</v>
      </c>
      <c r="R210" s="15">
        <f>VLOOKUP($O210,'x - paper citations'!$B$3:$E$2000,3,FALSE)</f>
        <v>51</v>
      </c>
      <c r="S210" s="15" t="str">
        <f>VLOOKUP($O210,'x - paper citations'!$B$3:$E$2000,4,FALSE)</f>
        <v>29/02/2016</v>
      </c>
      <c r="U210" s="80" t="str">
        <f>IF(ISNA(VLOOKUP($B210&amp;":"&amp;U$3,'x - authors'!$B$3:$E$10000,4,FALSE)),"",VLOOKUP($B210&amp;":"&amp;U$3,'x - authors'!$B$3:$E$10000,4,FALSE))</f>
        <v>jon_katz</v>
      </c>
      <c r="V210" s="80" t="str">
        <f>IF(ISNA(VLOOKUP($B210&amp;":"&amp;V$3,'x - authors'!$B$3:$E$10000,4,FALSE)),"",VLOOKUP($B210&amp;":"&amp;V$3,'x - authors'!$B$3:$E$10000,4,FALSE))</f>
        <v>amit_sahai</v>
      </c>
      <c r="W210" s="80" t="str">
        <f>IF(ISNA(VLOOKUP($B210&amp;":"&amp;W$3,'x - authors'!$B$3:$E$10000,4,FALSE)),"",VLOOKUP($B210&amp;":"&amp;W$3,'x - authors'!$B$3:$E$10000,4,FALSE))</f>
        <v>brent_waters</v>
      </c>
      <c r="X210" s="80" t="str">
        <f>IF(ISNA(VLOOKUP($B210&amp;":"&amp;X$3,'x - authors'!$B$3:$E$10000,4,FALSE)),"",VLOOKUP($B210&amp;":"&amp;X$3,'x - authors'!$B$3:$E$10000,4,FALSE))</f>
        <v/>
      </c>
      <c r="Y210" s="80" t="str">
        <f>IF(ISNA(VLOOKUP($B210&amp;":"&amp;Y$3,'x - authors'!$B$3:$E$10000,4,FALSE)),"",VLOOKUP($B210&amp;":"&amp;Y$3,'x - authors'!$B$3:$E$10000,4,FALSE))</f>
        <v/>
      </c>
      <c r="Z210" s="80" t="str">
        <f>IF(ISNA(VLOOKUP($B210&amp;":"&amp;Z$3,'x - authors'!$B$3:$E$10000,4,FALSE)),"",VLOOKUP($B210&amp;":"&amp;Z$3,'x - authors'!$B$3:$E$10000,4,FALSE))</f>
        <v/>
      </c>
      <c r="AA210" s="80" t="str">
        <f>IF(ISNA(VLOOKUP($B210&amp;":"&amp;AA$3,'x - authors'!$B$3:$E$10000,4,FALSE)),"",VLOOKUP($B210&amp;":"&amp;AA$3,'x - authors'!$B$3:$E$10000,4,FALSE))</f>
        <v/>
      </c>
      <c r="AB210" s="80" t="str">
        <f>IF(ISNA(VLOOKUP($B210&amp;":"&amp;AB$3,'x - authors'!$B$3:$E$10000,4,FALSE)),"",VLOOKUP($B210&amp;":"&amp;AB$3,'x - authors'!$B$3:$E$10000,4,FALSE))</f>
        <v/>
      </c>
      <c r="AC210" s="80" t="str">
        <f>IF(ISNA(VLOOKUP($B210&amp;":"&amp;AC$3,'x - authors'!$B$3:$E$10000,4,FALSE)),"",VLOOKUP($B210&amp;":"&amp;AC$3,'x - authors'!$B$3:$E$10000,4,FALSE))</f>
        <v/>
      </c>
      <c r="AD210" s="80" t="str">
        <f>IF(ISNA(VLOOKUP($B210&amp;":"&amp;AD$3,'x - authors'!$B$3:$E$10000,4,FALSE)),"",VLOOKUP($B210&amp;":"&amp;AD$3,'x - authors'!$B$3:$E$10000,4,FALSE))</f>
        <v/>
      </c>
      <c r="AE210" s="80" t="str">
        <f>IF(ISNA(VLOOKUP($B210&amp;":"&amp;AE$3,'x - authors'!$B$3:$E$10000,4,FALSE)),"",VLOOKUP($B210&amp;":"&amp;AE$3,'x - authors'!$B$3:$E$10000,4,FALSE))</f>
        <v/>
      </c>
      <c r="AF210" s="80" t="str">
        <f>IF(ISNA(VLOOKUP($B210&amp;":"&amp;AF$3,'x - authors'!$B$3:$E$10000,4,FALSE)),"",VLOOKUP($B210&amp;":"&amp;AF$3,'x - authors'!$B$3:$E$10000,4,FALSE))</f>
        <v/>
      </c>
      <c r="AG210" s="80" t="str">
        <f>IF(ISNA(VLOOKUP($B210&amp;":"&amp;AG$3,'x - authors'!$B$3:$E$10000,4,FALSE)),"",VLOOKUP($B210&amp;":"&amp;AG$3,'x - authors'!$B$3:$E$10000,4,FALSE))</f>
        <v/>
      </c>
      <c r="AH210" s="80" t="str">
        <f>IF(ISNA(VLOOKUP($B210&amp;":"&amp;AH$3,'x - authors'!$B$3:$E$10000,4,FALSE)),"",VLOOKUP($B210&amp;":"&amp;AH$3,'x - authors'!$B$3:$E$10000,4,FALSE))</f>
        <v/>
      </c>
      <c r="AI210" s="80" t="str">
        <f>IF(ISNA(VLOOKUP($B210&amp;":"&amp;AI$3,'x - authors'!$B$3:$E$10000,4,FALSE)),"",VLOOKUP($B210&amp;":"&amp;AI$3,'x - authors'!$B$3:$E$10000,4,FALSE))</f>
        <v/>
      </c>
    </row>
  </sheetData>
  <mergeCells count="2">
    <mergeCell ref="Q2:S2"/>
    <mergeCell ref="U2:AI2"/>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B2:Q891"/>
  <sheetViews>
    <sheetView workbookViewId="0"/>
  </sheetViews>
  <sheetFormatPr baseColWidth="10" defaultRowHeight="15" x14ac:dyDescent="0"/>
  <cols>
    <col min="1" max="1" width="2.33203125" customWidth="1"/>
    <col min="2" max="2" width="23.6640625" customWidth="1"/>
    <col min="3" max="4" width="14.1640625" customWidth="1"/>
    <col min="5" max="5" width="23.6640625" customWidth="1"/>
    <col min="6" max="6" width="18.83203125" customWidth="1"/>
    <col min="7" max="7" width="4.6640625" customWidth="1"/>
    <col min="8" max="8" width="23.6640625" customWidth="1"/>
    <col min="9" max="9" width="2.33203125" style="18" customWidth="1"/>
    <col min="10" max="10" width="9.5" customWidth="1"/>
    <col min="12" max="12" width="9.5" customWidth="1"/>
    <col min="13" max="13" width="11.83203125" style="41" customWidth="1"/>
    <col min="14" max="14" width="2.33203125" customWidth="1"/>
    <col min="15" max="16" width="23.6640625" customWidth="1"/>
  </cols>
  <sheetData>
    <row r="2" spans="2:17">
      <c r="B2" s="75" t="s">
        <v>69</v>
      </c>
      <c r="C2" s="76"/>
      <c r="D2" s="76"/>
      <c r="E2" s="76"/>
      <c r="F2" s="76"/>
      <c r="G2" s="76"/>
      <c r="H2" s="55"/>
      <c r="I2" s="16"/>
      <c r="J2" s="75" t="s">
        <v>68</v>
      </c>
      <c r="K2" s="76"/>
      <c r="L2" s="76"/>
      <c r="M2" s="77"/>
      <c r="O2" s="75" t="s">
        <v>127</v>
      </c>
      <c r="P2" s="77"/>
    </row>
    <row r="3" spans="2:17">
      <c r="B3" s="56" t="s">
        <v>2</v>
      </c>
      <c r="C3" s="57" t="s">
        <v>64</v>
      </c>
      <c r="D3" s="57" t="s">
        <v>65</v>
      </c>
      <c r="E3" s="57" t="s">
        <v>32</v>
      </c>
      <c r="F3" s="57" t="s">
        <v>66</v>
      </c>
      <c r="G3" s="57" t="s">
        <v>67</v>
      </c>
      <c r="H3" s="58" t="s">
        <v>178</v>
      </c>
      <c r="I3" s="17"/>
      <c r="J3" s="66" t="s">
        <v>35</v>
      </c>
      <c r="K3" s="67" t="s">
        <v>71</v>
      </c>
      <c r="L3" s="67" t="s">
        <v>72</v>
      </c>
      <c r="M3" s="68" t="s">
        <v>70</v>
      </c>
      <c r="O3" s="56" t="s">
        <v>252</v>
      </c>
      <c r="P3" s="58" t="s">
        <v>253</v>
      </c>
      <c r="Q3" s="60"/>
    </row>
    <row r="4" spans="2:17">
      <c r="B4" s="44" t="s">
        <v>1053</v>
      </c>
      <c r="C4" s="45" t="s">
        <v>1054</v>
      </c>
      <c r="D4" s="45" t="s">
        <v>1055</v>
      </c>
      <c r="E4" s="45" t="s">
        <v>3292</v>
      </c>
      <c r="F4" s="45" t="s">
        <v>328</v>
      </c>
      <c r="G4" s="45"/>
      <c r="H4" s="46"/>
      <c r="I4" s="47"/>
      <c r="J4" s="38"/>
      <c r="K4" s="38"/>
      <c r="L4" s="38"/>
      <c r="M4" s="69" t="s">
        <v>5380</v>
      </c>
      <c r="N4" s="45"/>
      <c r="O4" s="45"/>
      <c r="P4" s="48"/>
    </row>
    <row r="5" spans="2:17">
      <c r="B5" s="28" t="s">
        <v>1150</v>
      </c>
      <c r="C5" s="37" t="s">
        <v>1151</v>
      </c>
      <c r="D5" s="37" t="s">
        <v>1152</v>
      </c>
      <c r="E5" s="37" t="s">
        <v>3293</v>
      </c>
      <c r="F5" s="37" t="s">
        <v>343</v>
      </c>
      <c r="G5" s="37"/>
      <c r="H5" s="49" t="s">
        <v>5181</v>
      </c>
      <c r="I5" s="50"/>
      <c r="J5" s="38" t="s">
        <v>5380</v>
      </c>
      <c r="K5" s="38" t="s">
        <v>5380</v>
      </c>
      <c r="L5" s="38" t="s">
        <v>5380</v>
      </c>
      <c r="M5" s="69" t="s">
        <v>5383</v>
      </c>
      <c r="N5" s="37"/>
      <c r="O5" s="37"/>
      <c r="P5" s="29"/>
      <c r="Q5" s="64"/>
    </row>
    <row r="6" spans="2:17">
      <c r="B6" s="32" t="s">
        <v>1153</v>
      </c>
      <c r="C6" s="39" t="s">
        <v>1154</v>
      </c>
      <c r="D6" s="39" t="s">
        <v>1155</v>
      </c>
      <c r="E6" s="39" t="s">
        <v>3294</v>
      </c>
      <c r="F6" s="39" t="s">
        <v>343</v>
      </c>
      <c r="G6" s="39"/>
      <c r="H6" s="51" t="str">
        <f t="shared" ref="H6:H67" si="0">"citation:"&amp;B6&amp;"-01"</f>
        <v>citation:siddharth_mehrotra-01</v>
      </c>
      <c r="I6" s="52"/>
      <c r="J6" s="38" t="s">
        <v>5325</v>
      </c>
      <c r="K6" s="38">
        <v>36</v>
      </c>
      <c r="L6" s="38">
        <v>4</v>
      </c>
      <c r="M6" s="69" t="s">
        <v>5384</v>
      </c>
      <c r="N6" s="39"/>
      <c r="O6" s="39"/>
      <c r="P6" s="34"/>
    </row>
    <row r="7" spans="2:17">
      <c r="B7" s="32" t="s">
        <v>1156</v>
      </c>
      <c r="C7" s="39" t="s">
        <v>1157</v>
      </c>
      <c r="D7" s="39" t="s">
        <v>1158</v>
      </c>
      <c r="E7" s="39" t="s">
        <v>3295</v>
      </c>
      <c r="F7" s="39" t="s">
        <v>419</v>
      </c>
      <c r="G7" s="39"/>
      <c r="H7" s="51" t="str">
        <f t="shared" si="0"/>
        <v>citation:piotr_yordanov-01</v>
      </c>
      <c r="I7" s="52"/>
      <c r="J7" s="38" t="s">
        <v>5380</v>
      </c>
      <c r="K7" s="38" t="s">
        <v>5380</v>
      </c>
      <c r="L7" s="38" t="s">
        <v>5380</v>
      </c>
      <c r="M7" s="69" t="s">
        <v>5384</v>
      </c>
      <c r="N7" s="39"/>
      <c r="O7" s="39"/>
      <c r="P7" s="34"/>
    </row>
    <row r="8" spans="2:17">
      <c r="B8" s="32" t="s">
        <v>1159</v>
      </c>
      <c r="C8" s="39" t="s">
        <v>1160</v>
      </c>
      <c r="D8" s="39" t="s">
        <v>1161</v>
      </c>
      <c r="E8" s="39" t="s">
        <v>3296</v>
      </c>
      <c r="F8" s="39" t="s">
        <v>345</v>
      </c>
      <c r="G8" s="39"/>
      <c r="H8" s="51" t="str">
        <f t="shared" si="0"/>
        <v>citation:dov_gordon-01</v>
      </c>
      <c r="I8" s="52"/>
      <c r="J8" s="38" t="s">
        <v>5380</v>
      </c>
      <c r="K8" s="38" t="s">
        <v>5380</v>
      </c>
      <c r="L8" s="38" t="s">
        <v>5380</v>
      </c>
      <c r="M8" s="69" t="s">
        <v>5384</v>
      </c>
      <c r="N8" s="39"/>
      <c r="O8" s="39"/>
      <c r="P8" s="34"/>
    </row>
    <row r="9" spans="2:17">
      <c r="B9" s="30" t="s">
        <v>1056</v>
      </c>
      <c r="C9" s="38" t="s">
        <v>1057</v>
      </c>
      <c r="D9" s="38" t="s">
        <v>1058</v>
      </c>
      <c r="E9" s="38" t="s">
        <v>3297</v>
      </c>
      <c r="F9" s="38" t="s">
        <v>338</v>
      </c>
      <c r="G9" s="38"/>
      <c r="H9" s="53"/>
      <c r="I9" s="54"/>
      <c r="J9" s="38"/>
      <c r="K9" s="38"/>
      <c r="L9" s="38"/>
      <c r="M9" s="69" t="s">
        <v>5380</v>
      </c>
      <c r="N9" s="38"/>
      <c r="O9" s="38"/>
      <c r="P9" s="31"/>
    </row>
    <row r="10" spans="2:17">
      <c r="B10" s="30" t="s">
        <v>1059</v>
      </c>
      <c r="C10" s="38" t="s">
        <v>1060</v>
      </c>
      <c r="D10" s="38" t="s">
        <v>1061</v>
      </c>
      <c r="E10" s="38" t="s">
        <v>3298</v>
      </c>
      <c r="F10" s="38" t="s">
        <v>338</v>
      </c>
      <c r="G10" s="38"/>
      <c r="H10" s="53" t="str">
        <f t="shared" si="0"/>
        <v>citation:louise_rasmussen-01</v>
      </c>
      <c r="I10" s="54"/>
      <c r="J10" s="38" t="s">
        <v>5380</v>
      </c>
      <c r="K10" s="38" t="s">
        <v>5380</v>
      </c>
      <c r="L10" s="38" t="s">
        <v>5380</v>
      </c>
      <c r="M10" s="69" t="s">
        <v>5385</v>
      </c>
      <c r="N10" s="38"/>
      <c r="O10" s="38"/>
      <c r="P10" s="31"/>
    </row>
    <row r="11" spans="2:17">
      <c r="B11" s="30" t="s">
        <v>1062</v>
      </c>
      <c r="C11" s="38" t="s">
        <v>1063</v>
      </c>
      <c r="D11" s="38" t="s">
        <v>1064</v>
      </c>
      <c r="E11" s="38" t="s">
        <v>3299</v>
      </c>
      <c r="F11" s="38" t="s">
        <v>338</v>
      </c>
      <c r="G11" s="38"/>
      <c r="H11" s="53"/>
      <c r="I11" s="54"/>
      <c r="J11" s="38"/>
      <c r="K11" s="38"/>
      <c r="L11" s="38"/>
      <c r="M11" s="69" t="s">
        <v>5380</v>
      </c>
      <c r="N11" s="38"/>
      <c r="O11" s="38"/>
      <c r="P11" s="31"/>
    </row>
    <row r="12" spans="2:17">
      <c r="B12" s="32" t="s">
        <v>1065</v>
      </c>
      <c r="C12" s="39" t="s">
        <v>1066</v>
      </c>
      <c r="D12" s="39" t="s">
        <v>1067</v>
      </c>
      <c r="E12" s="39" t="s">
        <v>3300</v>
      </c>
      <c r="F12" s="39" t="s">
        <v>338</v>
      </c>
      <c r="G12" s="39"/>
      <c r="H12" s="51" t="str">
        <f t="shared" si="0"/>
        <v>citation:winston_sieck-01</v>
      </c>
      <c r="I12" s="52"/>
      <c r="J12" s="38" t="s">
        <v>5380</v>
      </c>
      <c r="K12" s="38" t="s">
        <v>5380</v>
      </c>
      <c r="L12" s="38" t="s">
        <v>5380</v>
      </c>
      <c r="M12" s="69" t="s">
        <v>5386</v>
      </c>
      <c r="N12" s="39"/>
      <c r="O12" s="39"/>
      <c r="P12" s="34"/>
    </row>
    <row r="13" spans="2:17">
      <c r="B13" s="30" t="s">
        <v>1162</v>
      </c>
      <c r="C13" s="38" t="s">
        <v>1163</v>
      </c>
      <c r="D13" s="38" t="s">
        <v>1164</v>
      </c>
      <c r="E13" s="38" t="s">
        <v>3301</v>
      </c>
      <c r="F13" s="38" t="s">
        <v>423</v>
      </c>
      <c r="G13" s="38"/>
      <c r="H13" s="53"/>
      <c r="I13" s="54"/>
      <c r="J13" s="38"/>
      <c r="K13" s="38"/>
      <c r="L13" s="38"/>
      <c r="M13" s="69" t="s">
        <v>5380</v>
      </c>
      <c r="N13" s="38"/>
      <c r="O13" s="38"/>
      <c r="P13" s="31"/>
    </row>
    <row r="14" spans="2:17">
      <c r="B14" s="32" t="s">
        <v>1165</v>
      </c>
      <c r="C14" s="39" t="s">
        <v>1166</v>
      </c>
      <c r="D14" s="39" t="s">
        <v>1167</v>
      </c>
      <c r="E14" s="39" t="s">
        <v>3302</v>
      </c>
      <c r="F14" s="39" t="s">
        <v>423</v>
      </c>
      <c r="G14" s="39"/>
      <c r="H14" s="51" t="str">
        <f t="shared" si="0"/>
        <v>citation:dijiang_huang-01</v>
      </c>
      <c r="I14" s="52"/>
      <c r="J14" s="38" t="s">
        <v>5115</v>
      </c>
      <c r="K14" s="38">
        <v>2256</v>
      </c>
      <c r="L14" s="38">
        <v>27</v>
      </c>
      <c r="M14" s="69" t="s">
        <v>5387</v>
      </c>
      <c r="N14" s="39"/>
      <c r="O14" s="39"/>
      <c r="P14" s="34"/>
    </row>
    <row r="15" spans="2:17">
      <c r="B15" s="30" t="s">
        <v>296</v>
      </c>
      <c r="C15" s="38" t="s">
        <v>1068</v>
      </c>
      <c r="D15" s="38" t="s">
        <v>1069</v>
      </c>
      <c r="E15" s="38" t="s">
        <v>3303</v>
      </c>
      <c r="F15" s="38" t="s">
        <v>18</v>
      </c>
      <c r="G15" s="38"/>
      <c r="H15" s="53" t="str">
        <f t="shared" si="0"/>
        <v>citation:ananthram_swami-01</v>
      </c>
      <c r="I15" s="54"/>
      <c r="J15" s="38" t="s">
        <v>5380</v>
      </c>
      <c r="K15" s="38" t="s">
        <v>5380</v>
      </c>
      <c r="L15" s="38" t="s">
        <v>5380</v>
      </c>
      <c r="M15" s="69" t="s">
        <v>5384</v>
      </c>
      <c r="N15" s="38"/>
      <c r="O15" s="38"/>
      <c r="P15" s="31"/>
    </row>
    <row r="16" spans="2:17">
      <c r="B16" s="30" t="s">
        <v>1070</v>
      </c>
      <c r="C16" s="38" t="s">
        <v>1071</v>
      </c>
      <c r="D16" s="38" t="s">
        <v>1072</v>
      </c>
      <c r="E16" s="38" t="s">
        <v>3304</v>
      </c>
      <c r="F16" s="38" t="s">
        <v>18</v>
      </c>
      <c r="G16" s="38"/>
      <c r="H16" s="53" t="str">
        <f t="shared" si="0"/>
        <v>citation:andrew_toth-01</v>
      </c>
      <c r="I16" s="54"/>
      <c r="J16" s="38" t="s">
        <v>5380</v>
      </c>
      <c r="K16" s="38" t="s">
        <v>5380</v>
      </c>
      <c r="L16" s="38" t="s">
        <v>5380</v>
      </c>
      <c r="M16" s="69" t="s">
        <v>5388</v>
      </c>
      <c r="N16" s="38"/>
      <c r="O16" s="38"/>
      <c r="P16" s="31"/>
    </row>
    <row r="17" spans="2:16">
      <c r="B17" s="30" t="s">
        <v>1073</v>
      </c>
      <c r="C17" s="38" t="s">
        <v>1074</v>
      </c>
      <c r="D17" s="38" t="s">
        <v>1075</v>
      </c>
      <c r="E17" s="38" t="s">
        <v>3305</v>
      </c>
      <c r="F17" s="38" t="s">
        <v>18</v>
      </c>
      <c r="G17" s="38"/>
      <c r="H17" s="53"/>
      <c r="I17" s="54"/>
      <c r="J17" s="38"/>
      <c r="K17" s="38"/>
      <c r="L17" s="38"/>
      <c r="M17" s="69" t="s">
        <v>5380</v>
      </c>
      <c r="N17" s="38"/>
      <c r="O17" s="38"/>
      <c r="P17" s="31"/>
    </row>
    <row r="18" spans="2:16">
      <c r="B18" s="30" t="s">
        <v>1076</v>
      </c>
      <c r="C18" s="38" t="s">
        <v>1074</v>
      </c>
      <c r="D18" s="38" t="s">
        <v>1077</v>
      </c>
      <c r="E18" s="38" t="s">
        <v>3306</v>
      </c>
      <c r="F18" s="38" t="s">
        <v>18</v>
      </c>
      <c r="G18" s="38"/>
      <c r="H18" s="53" t="str">
        <f t="shared" si="0"/>
        <v>citation:brian_sadler-01</v>
      </c>
      <c r="I18" s="54"/>
      <c r="J18" s="38" t="s">
        <v>5078</v>
      </c>
      <c r="K18" s="38">
        <v>10357</v>
      </c>
      <c r="L18" s="38">
        <v>44</v>
      </c>
      <c r="M18" s="69" t="s">
        <v>5387</v>
      </c>
      <c r="N18" s="38"/>
      <c r="O18" s="38"/>
      <c r="P18" s="31"/>
    </row>
    <row r="19" spans="2:16">
      <c r="B19" s="30" t="s">
        <v>1078</v>
      </c>
      <c r="C19" s="38" t="s">
        <v>1079</v>
      </c>
      <c r="D19" s="38" t="s">
        <v>1080</v>
      </c>
      <c r="E19" s="38" t="s">
        <v>3307</v>
      </c>
      <c r="F19" s="38" t="s">
        <v>18</v>
      </c>
      <c r="G19" s="38"/>
      <c r="H19" s="53" t="str">
        <f t="shared" si="0"/>
        <v>citation:cheryl_giammanco-01</v>
      </c>
      <c r="I19" s="54"/>
      <c r="J19" s="38" t="s">
        <v>5380</v>
      </c>
      <c r="K19" s="38" t="s">
        <v>5380</v>
      </c>
      <c r="L19" s="38" t="s">
        <v>5380</v>
      </c>
      <c r="M19" s="69" t="s">
        <v>5384</v>
      </c>
      <c r="N19" s="38"/>
      <c r="O19" s="38"/>
      <c r="P19" s="31"/>
    </row>
    <row r="20" spans="2:16">
      <c r="B20" s="30" t="s">
        <v>1081</v>
      </c>
      <c r="C20" s="38" t="s">
        <v>1082</v>
      </c>
      <c r="D20" s="38" t="s">
        <v>1083</v>
      </c>
      <c r="E20" s="38" t="s">
        <v>3308</v>
      </c>
      <c r="F20" s="38" t="s">
        <v>18</v>
      </c>
      <c r="G20" s="38"/>
      <c r="H20" s="53" t="str">
        <f t="shared" si="0"/>
        <v>citation:gene_whipps-01</v>
      </c>
      <c r="I20" s="54"/>
      <c r="J20" s="38" t="s">
        <v>5149</v>
      </c>
      <c r="K20" s="38">
        <v>155</v>
      </c>
      <c r="L20" s="38">
        <v>6</v>
      </c>
      <c r="M20" s="69" t="s">
        <v>5387</v>
      </c>
      <c r="N20" s="38"/>
      <c r="O20" s="38"/>
      <c r="P20" s="31"/>
    </row>
    <row r="21" spans="2:16">
      <c r="B21" s="30" t="s">
        <v>1084</v>
      </c>
      <c r="C21" s="38" t="s">
        <v>1085</v>
      </c>
      <c r="D21" s="38" t="s">
        <v>1086</v>
      </c>
      <c r="E21" s="38" t="s">
        <v>3309</v>
      </c>
      <c r="F21" s="38" t="s">
        <v>18</v>
      </c>
      <c r="G21" s="38"/>
      <c r="H21" s="53" t="str">
        <f t="shared" si="0"/>
        <v>citation:greg_cirincione-01</v>
      </c>
      <c r="I21" s="54"/>
      <c r="J21" s="38" t="s">
        <v>5380</v>
      </c>
      <c r="K21" s="38" t="s">
        <v>5380</v>
      </c>
      <c r="L21" s="38" t="s">
        <v>5380</v>
      </c>
      <c r="M21" s="69" t="s">
        <v>5389</v>
      </c>
      <c r="N21" s="38"/>
      <c r="O21" s="38"/>
      <c r="P21" s="31"/>
    </row>
    <row r="22" spans="2:16">
      <c r="B22" s="30" t="s">
        <v>1087</v>
      </c>
      <c r="C22" s="38" t="s">
        <v>1088</v>
      </c>
      <c r="D22" s="38" t="s">
        <v>1089</v>
      </c>
      <c r="E22" s="38" t="s">
        <v>3310</v>
      </c>
      <c r="F22" s="38" t="s">
        <v>18</v>
      </c>
      <c r="G22" s="38"/>
      <c r="H22" s="53" t="str">
        <f t="shared" si="0"/>
        <v>citation:gunjan_verma-01</v>
      </c>
      <c r="I22" s="54"/>
      <c r="J22" s="38" t="s">
        <v>5380</v>
      </c>
      <c r="K22" s="38" t="s">
        <v>5380</v>
      </c>
      <c r="L22" s="38" t="s">
        <v>5380</v>
      </c>
      <c r="M22" s="69" t="s">
        <v>5385</v>
      </c>
      <c r="N22" s="38"/>
      <c r="O22" s="38"/>
      <c r="P22" s="31"/>
    </row>
    <row r="23" spans="2:16">
      <c r="B23" s="30" t="s">
        <v>1090</v>
      </c>
      <c r="C23" s="38" t="s">
        <v>1091</v>
      </c>
      <c r="D23" s="38" t="s">
        <v>1092</v>
      </c>
      <c r="E23" s="38" t="s">
        <v>3311</v>
      </c>
      <c r="F23" s="38" t="s">
        <v>18</v>
      </c>
      <c r="G23" s="38"/>
      <c r="H23" s="53" t="str">
        <f t="shared" si="0"/>
        <v>citation:jemin_george-01</v>
      </c>
      <c r="I23" s="54"/>
      <c r="J23" s="38" t="s">
        <v>5380</v>
      </c>
      <c r="K23" s="38" t="s">
        <v>5380</v>
      </c>
      <c r="L23" s="38" t="s">
        <v>5380</v>
      </c>
      <c r="M23" s="69" t="s">
        <v>5385</v>
      </c>
      <c r="N23" s="38"/>
      <c r="O23" s="38"/>
      <c r="P23" s="31"/>
    </row>
    <row r="24" spans="2:16">
      <c r="B24" s="30" t="s">
        <v>1093</v>
      </c>
      <c r="C24" s="38" t="s">
        <v>1094</v>
      </c>
      <c r="D24" s="38" t="s">
        <v>1095</v>
      </c>
      <c r="E24" s="38" t="s">
        <v>3312</v>
      </c>
      <c r="F24" s="38" t="s">
        <v>18</v>
      </c>
      <c r="G24" s="38"/>
      <c r="H24" s="53" t="str">
        <f t="shared" si="0"/>
        <v>citation:jinhee_cho-01</v>
      </c>
      <c r="I24" s="54"/>
      <c r="J24" s="38" t="s">
        <v>5197</v>
      </c>
      <c r="K24" s="38">
        <v>947</v>
      </c>
      <c r="L24" s="38">
        <v>12</v>
      </c>
      <c r="M24" s="69" t="s">
        <v>5387</v>
      </c>
      <c r="N24" s="38"/>
      <c r="O24" s="38"/>
      <c r="P24" s="31"/>
    </row>
    <row r="25" spans="2:16">
      <c r="B25" s="30" t="s">
        <v>1096</v>
      </c>
      <c r="C25" s="38" t="s">
        <v>1097</v>
      </c>
      <c r="D25" s="38" t="s">
        <v>1098</v>
      </c>
      <c r="E25" s="38" t="s">
        <v>3313</v>
      </c>
      <c r="F25" s="38" t="s">
        <v>18</v>
      </c>
      <c r="G25" s="38"/>
      <c r="H25" s="53" t="str">
        <f t="shared" si="0"/>
        <v>citation:jon_bakdash-01</v>
      </c>
      <c r="I25" s="54"/>
      <c r="J25" s="38" t="s">
        <v>5206</v>
      </c>
      <c r="K25" s="38">
        <v>419</v>
      </c>
      <c r="L25" s="38">
        <v>10</v>
      </c>
      <c r="M25" s="69" t="s">
        <v>5385</v>
      </c>
      <c r="N25" s="38"/>
      <c r="O25" s="38"/>
      <c r="P25" s="31"/>
    </row>
    <row r="26" spans="2:16">
      <c r="B26" s="30" t="s">
        <v>1099</v>
      </c>
      <c r="C26" s="38" t="s">
        <v>1100</v>
      </c>
      <c r="D26" s="38" t="s">
        <v>1101</v>
      </c>
      <c r="E26" s="38" t="s">
        <v>3314</v>
      </c>
      <c r="F26" s="38" t="s">
        <v>18</v>
      </c>
      <c r="G26" s="38"/>
      <c r="H26" s="53"/>
      <c r="I26" s="54"/>
      <c r="J26" s="38"/>
      <c r="K26" s="38"/>
      <c r="L26" s="38"/>
      <c r="M26" s="69" t="s">
        <v>5380</v>
      </c>
      <c r="N26" s="38"/>
      <c r="O26" s="38"/>
      <c r="P26" s="31"/>
    </row>
    <row r="27" spans="2:16">
      <c r="B27" s="30" t="s">
        <v>1102</v>
      </c>
      <c r="C27" s="38" t="s">
        <v>1103</v>
      </c>
      <c r="D27" s="38" t="s">
        <v>1104</v>
      </c>
      <c r="E27" s="38" t="s">
        <v>3315</v>
      </c>
      <c r="F27" s="38" t="s">
        <v>18</v>
      </c>
      <c r="G27" s="38"/>
      <c r="H27" s="53" t="str">
        <f t="shared" si="0"/>
        <v>citation:kelvin_marcus-01</v>
      </c>
      <c r="I27" s="54"/>
      <c r="J27" s="38" t="s">
        <v>5380</v>
      </c>
      <c r="K27" s="38" t="s">
        <v>5380</v>
      </c>
      <c r="L27" s="38" t="s">
        <v>5380</v>
      </c>
      <c r="M27" s="69" t="s">
        <v>5384</v>
      </c>
      <c r="N27" s="38"/>
      <c r="O27" s="38"/>
      <c r="P27" s="31"/>
    </row>
    <row r="28" spans="2:16">
      <c r="B28" s="30" t="s">
        <v>1105</v>
      </c>
      <c r="C28" s="38" t="s">
        <v>1106</v>
      </c>
      <c r="D28" s="38" t="s">
        <v>1107</v>
      </c>
      <c r="E28" s="38" t="s">
        <v>3316</v>
      </c>
      <c r="F28" s="38" t="s">
        <v>18</v>
      </c>
      <c r="G28" s="38"/>
      <c r="H28" s="53" t="str">
        <f t="shared" si="0"/>
        <v>citation:kevin_chan-01</v>
      </c>
      <c r="I28" s="54"/>
      <c r="J28" s="38" t="s">
        <v>5380</v>
      </c>
      <c r="K28" s="38" t="s">
        <v>5380</v>
      </c>
      <c r="L28" s="38" t="s">
        <v>5380</v>
      </c>
      <c r="M28" s="69" t="s">
        <v>5384</v>
      </c>
      <c r="N28" s="38"/>
      <c r="O28" s="38"/>
      <c r="P28" s="31"/>
    </row>
    <row r="29" spans="2:16">
      <c r="B29" s="30" t="s">
        <v>1108</v>
      </c>
      <c r="C29" s="38" t="s">
        <v>1109</v>
      </c>
      <c r="D29" s="38" t="s">
        <v>1110</v>
      </c>
      <c r="E29" s="38" t="s">
        <v>3317</v>
      </c>
      <c r="F29" s="38" t="s">
        <v>18</v>
      </c>
      <c r="G29" s="38"/>
      <c r="H29" s="53" t="str">
        <f t="shared" si="0"/>
        <v>citation:lance_kaplan-01</v>
      </c>
      <c r="I29" s="54"/>
      <c r="J29" s="38" t="s">
        <v>5225</v>
      </c>
      <c r="K29" s="38">
        <v>2709</v>
      </c>
      <c r="L29" s="38">
        <v>23</v>
      </c>
      <c r="M29" s="69" t="s">
        <v>5385</v>
      </c>
      <c r="N29" s="38"/>
      <c r="O29" s="38"/>
      <c r="P29" s="31"/>
    </row>
    <row r="30" spans="2:16">
      <c r="B30" s="30" t="s">
        <v>1111</v>
      </c>
      <c r="C30" s="38" t="s">
        <v>1112</v>
      </c>
      <c r="D30" s="38" t="s">
        <v>1113</v>
      </c>
      <c r="E30" s="38" t="s">
        <v>3318</v>
      </c>
      <c r="F30" s="38" t="s">
        <v>18</v>
      </c>
      <c r="G30" s="38"/>
      <c r="H30" s="53"/>
      <c r="I30" s="54"/>
      <c r="J30" s="38"/>
      <c r="K30" s="38"/>
      <c r="L30" s="38"/>
      <c r="M30" s="69" t="s">
        <v>5380</v>
      </c>
      <c r="N30" s="38"/>
      <c r="O30" s="38"/>
      <c r="P30" s="31"/>
    </row>
    <row r="31" spans="2:16">
      <c r="B31" s="30" t="s">
        <v>1114</v>
      </c>
      <c r="C31" s="38" t="s">
        <v>1112</v>
      </c>
      <c r="D31" s="38" t="s">
        <v>1115</v>
      </c>
      <c r="E31" s="38" t="s">
        <v>3319</v>
      </c>
      <c r="F31" s="38" t="s">
        <v>18</v>
      </c>
      <c r="G31" s="38"/>
      <c r="H31" s="53" t="str">
        <f t="shared" si="0"/>
        <v>citation:mike_strub-01</v>
      </c>
      <c r="I31" s="54"/>
      <c r="J31" s="38" t="s">
        <v>5380</v>
      </c>
      <c r="K31" s="38" t="s">
        <v>5380</v>
      </c>
      <c r="L31" s="38" t="s">
        <v>5380</v>
      </c>
      <c r="M31" s="69" t="s">
        <v>5384</v>
      </c>
      <c r="N31" s="38"/>
      <c r="O31" s="38"/>
      <c r="P31" s="31"/>
    </row>
    <row r="32" spans="2:16">
      <c r="B32" s="30" t="s">
        <v>1116</v>
      </c>
      <c r="C32" s="38" t="s">
        <v>1117</v>
      </c>
      <c r="D32" s="38" t="s">
        <v>1118</v>
      </c>
      <c r="E32" s="38" t="s">
        <v>3320</v>
      </c>
      <c r="F32" s="38" t="s">
        <v>18</v>
      </c>
      <c r="G32" s="38"/>
      <c r="H32" s="53" t="str">
        <f t="shared" si="0"/>
        <v>citation:natalie_ivanic-01</v>
      </c>
      <c r="I32" s="54"/>
      <c r="J32" s="38" t="s">
        <v>5380</v>
      </c>
      <c r="K32" s="38" t="s">
        <v>5380</v>
      </c>
      <c r="L32" s="38" t="s">
        <v>5380</v>
      </c>
      <c r="M32" s="69" t="s">
        <v>5384</v>
      </c>
      <c r="N32" s="38"/>
      <c r="O32" s="38"/>
      <c r="P32" s="31"/>
    </row>
    <row r="33" spans="2:16">
      <c r="B33" s="30" t="s">
        <v>1119</v>
      </c>
      <c r="C33" s="38" t="s">
        <v>1120</v>
      </c>
      <c r="D33" s="38" t="s">
        <v>1121</v>
      </c>
      <c r="E33" s="38" t="s">
        <v>3321</v>
      </c>
      <c r="F33" s="38" t="s">
        <v>18</v>
      </c>
      <c r="G33" s="38"/>
      <c r="H33" s="53" t="str">
        <f t="shared" si="0"/>
        <v>citation:paul_sullivan-01</v>
      </c>
      <c r="I33" s="54"/>
      <c r="J33" s="38" t="s">
        <v>5380</v>
      </c>
      <c r="K33" s="38" t="s">
        <v>5380</v>
      </c>
      <c r="L33" s="38" t="s">
        <v>5380</v>
      </c>
      <c r="M33" s="69" t="s">
        <v>5388</v>
      </c>
      <c r="N33" s="38"/>
      <c r="O33" s="38"/>
      <c r="P33" s="31"/>
    </row>
    <row r="34" spans="2:16">
      <c r="B34" s="30" t="s">
        <v>1122</v>
      </c>
      <c r="C34" s="38" t="s">
        <v>1120</v>
      </c>
      <c r="D34" s="38" t="s">
        <v>1123</v>
      </c>
      <c r="E34" s="38" t="s">
        <v>3322</v>
      </c>
      <c r="F34" s="38" t="s">
        <v>18</v>
      </c>
      <c r="G34" s="38"/>
      <c r="H34" s="53" t="str">
        <f t="shared" si="0"/>
        <v>citation:paul_yu-01</v>
      </c>
      <c r="I34" s="54"/>
      <c r="J34" s="38" t="s">
        <v>5380</v>
      </c>
      <c r="K34" s="38" t="s">
        <v>5380</v>
      </c>
      <c r="L34" s="38" t="s">
        <v>5380</v>
      </c>
      <c r="M34" s="69" t="s">
        <v>5387</v>
      </c>
      <c r="N34" s="38"/>
      <c r="O34" s="38"/>
      <c r="P34" s="31"/>
    </row>
    <row r="35" spans="2:16">
      <c r="B35" s="30" t="s">
        <v>1124</v>
      </c>
      <c r="C35" s="38" t="s">
        <v>1125</v>
      </c>
      <c r="D35" s="38" t="s">
        <v>1126</v>
      </c>
      <c r="E35" s="38" t="s">
        <v>3323</v>
      </c>
      <c r="F35" s="38" t="s">
        <v>18</v>
      </c>
      <c r="G35" s="38"/>
      <c r="H35" s="53" t="str">
        <f t="shared" si="0"/>
        <v>citation:pearl_gendason-01</v>
      </c>
      <c r="I35" s="54"/>
      <c r="J35" s="38" t="s">
        <v>5380</v>
      </c>
      <c r="K35" s="38" t="s">
        <v>5380</v>
      </c>
      <c r="L35" s="38" t="s">
        <v>5380</v>
      </c>
      <c r="M35" s="69" t="s">
        <v>5390</v>
      </c>
      <c r="N35" s="38"/>
      <c r="O35" s="38"/>
      <c r="P35" s="31"/>
    </row>
    <row r="36" spans="2:16">
      <c r="B36" s="30" t="s">
        <v>1127</v>
      </c>
      <c r="C36" s="38" t="s">
        <v>1128</v>
      </c>
      <c r="D36" s="38" t="s">
        <v>1129</v>
      </c>
      <c r="E36" s="38" t="s">
        <v>3324</v>
      </c>
      <c r="F36" s="38" t="s">
        <v>18</v>
      </c>
      <c r="G36" s="38"/>
      <c r="H36" s="53" t="str">
        <f t="shared" si="0"/>
        <v>citation:raju_damarla-01</v>
      </c>
      <c r="I36" s="54"/>
      <c r="J36" s="38" t="s">
        <v>5380</v>
      </c>
      <c r="K36" s="38" t="s">
        <v>5380</v>
      </c>
      <c r="L36" s="38" t="s">
        <v>5380</v>
      </c>
      <c r="M36" s="69" t="s">
        <v>5387</v>
      </c>
      <c r="N36" s="38"/>
      <c r="O36" s="38"/>
      <c r="P36" s="31"/>
    </row>
    <row r="37" spans="2:16">
      <c r="B37" s="30" t="s">
        <v>1130</v>
      </c>
      <c r="C37" s="38" t="s">
        <v>1131</v>
      </c>
      <c r="D37" s="38" t="s">
        <v>1132</v>
      </c>
      <c r="E37" s="38" t="s">
        <v>3325</v>
      </c>
      <c r="F37" s="38" t="s">
        <v>18</v>
      </c>
      <c r="G37" s="38"/>
      <c r="H37" s="53" t="str">
        <f t="shared" si="0"/>
        <v>citation:ray_mcgowan-01</v>
      </c>
      <c r="I37" s="54"/>
      <c r="J37" s="38" t="s">
        <v>5380</v>
      </c>
      <c r="K37" s="38" t="s">
        <v>5380</v>
      </c>
      <c r="L37" s="38" t="s">
        <v>5380</v>
      </c>
      <c r="M37" s="69" t="s">
        <v>5386</v>
      </c>
      <c r="N37" s="38"/>
      <c r="O37" s="38"/>
      <c r="P37" s="31"/>
    </row>
    <row r="38" spans="2:16">
      <c r="B38" s="30" t="s">
        <v>1133</v>
      </c>
      <c r="C38" s="38" t="s">
        <v>1134</v>
      </c>
      <c r="D38" s="38" t="s">
        <v>1135</v>
      </c>
      <c r="E38" s="38" t="s">
        <v>3326</v>
      </c>
      <c r="F38" s="38" t="s">
        <v>18</v>
      </c>
      <c r="G38" s="38"/>
      <c r="H38" s="53" t="str">
        <f t="shared" si="0"/>
        <v>citation:ryan_pressley-01</v>
      </c>
      <c r="I38" s="54"/>
      <c r="J38" s="38" t="s">
        <v>5380</v>
      </c>
      <c r="K38" s="38" t="s">
        <v>5380</v>
      </c>
      <c r="L38" s="38" t="s">
        <v>5380</v>
      </c>
      <c r="M38" s="69" t="s">
        <v>5384</v>
      </c>
      <c r="N38" s="38"/>
      <c r="O38" s="38"/>
      <c r="P38" s="31"/>
    </row>
    <row r="39" spans="2:16">
      <c r="B39" s="30" t="s">
        <v>1136</v>
      </c>
      <c r="C39" s="38" t="s">
        <v>1137</v>
      </c>
      <c r="D39" s="38" t="s">
        <v>1138</v>
      </c>
      <c r="E39" s="38" t="s">
        <v>3327</v>
      </c>
      <c r="F39" s="38" t="s">
        <v>18</v>
      </c>
      <c r="G39" s="38"/>
      <c r="H39" s="53" t="str">
        <f t="shared" si="0"/>
        <v>citation:scott_mastin-01</v>
      </c>
      <c r="I39" s="54"/>
      <c r="J39" s="38" t="s">
        <v>5380</v>
      </c>
      <c r="K39" s="38" t="s">
        <v>5380</v>
      </c>
      <c r="L39" s="38" t="s">
        <v>5380</v>
      </c>
      <c r="M39" s="69" t="s">
        <v>5384</v>
      </c>
      <c r="N39" s="38"/>
      <c r="O39" s="38"/>
      <c r="P39" s="31"/>
    </row>
    <row r="40" spans="2:16">
      <c r="B40" s="30" t="s">
        <v>1139</v>
      </c>
      <c r="C40" s="38" t="s">
        <v>1140</v>
      </c>
      <c r="D40" s="38" t="s">
        <v>1072</v>
      </c>
      <c r="E40" s="38" t="s">
        <v>3328</v>
      </c>
      <c r="F40" s="38" t="s">
        <v>18</v>
      </c>
      <c r="G40" s="38"/>
      <c r="H40" s="53" t="str">
        <f t="shared" si="0"/>
        <v>citation:sue_toth-01</v>
      </c>
      <c r="I40" s="54"/>
      <c r="J40" s="38" t="s">
        <v>5380</v>
      </c>
      <c r="K40" s="38" t="s">
        <v>5380</v>
      </c>
      <c r="L40" s="38" t="s">
        <v>5380</v>
      </c>
      <c r="M40" s="69" t="s">
        <v>5388</v>
      </c>
      <c r="N40" s="38"/>
      <c r="O40" s="38"/>
      <c r="P40" s="31"/>
    </row>
    <row r="41" spans="2:16">
      <c r="B41" s="30" t="s">
        <v>1141</v>
      </c>
      <c r="C41" s="38" t="s">
        <v>1142</v>
      </c>
      <c r="D41" s="38" t="s">
        <v>1143</v>
      </c>
      <c r="E41" s="38" t="s">
        <v>3329</v>
      </c>
      <c r="F41" s="38" t="s">
        <v>18</v>
      </c>
      <c r="G41" s="38"/>
      <c r="H41" s="53"/>
      <c r="I41" s="54"/>
      <c r="J41" s="38"/>
      <c r="K41" s="38"/>
      <c r="L41" s="38"/>
      <c r="M41" s="69" t="s">
        <v>5380</v>
      </c>
      <c r="N41" s="38"/>
      <c r="O41" s="38"/>
      <c r="P41" s="31"/>
    </row>
    <row r="42" spans="2:16">
      <c r="B42" s="32" t="s">
        <v>107</v>
      </c>
      <c r="C42" s="39" t="s">
        <v>108</v>
      </c>
      <c r="D42" s="39" t="s">
        <v>109</v>
      </c>
      <c r="E42" s="39" t="s">
        <v>3330</v>
      </c>
      <c r="F42" s="39" t="s">
        <v>18</v>
      </c>
      <c r="G42" s="39"/>
      <c r="H42" s="51" t="str">
        <f t="shared" si="0"/>
        <v>citation:tien_pham-01</v>
      </c>
      <c r="I42" s="52"/>
      <c r="J42" s="38" t="s">
        <v>5380</v>
      </c>
      <c r="K42" s="38" t="s">
        <v>5380</v>
      </c>
      <c r="L42" s="38" t="s">
        <v>5380</v>
      </c>
      <c r="M42" s="69" t="s">
        <v>5388</v>
      </c>
      <c r="N42" s="39"/>
      <c r="O42" s="39"/>
      <c r="P42" s="34"/>
    </row>
    <row r="43" spans="2:16">
      <c r="B43" s="30" t="s">
        <v>1144</v>
      </c>
      <c r="C43" s="38" t="s">
        <v>1145</v>
      </c>
      <c r="D43" s="38" t="s">
        <v>1146</v>
      </c>
      <c r="E43" s="38" t="s">
        <v>3331</v>
      </c>
      <c r="F43" s="38" t="s">
        <v>340</v>
      </c>
      <c r="G43" s="38"/>
      <c r="H43" s="53" t="str">
        <f t="shared" si="0"/>
        <v>citation:jennifer_yates-01</v>
      </c>
      <c r="I43" s="54"/>
      <c r="J43" s="38" t="s">
        <v>5380</v>
      </c>
      <c r="K43" s="38" t="s">
        <v>5380</v>
      </c>
      <c r="L43" s="38" t="s">
        <v>5380</v>
      </c>
      <c r="M43" s="69" t="s">
        <v>5386</v>
      </c>
      <c r="N43" s="38"/>
      <c r="O43" s="38"/>
      <c r="P43" s="31"/>
    </row>
    <row r="44" spans="2:16">
      <c r="B44" s="32" t="s">
        <v>1147</v>
      </c>
      <c r="C44" s="39" t="s">
        <v>1148</v>
      </c>
      <c r="D44" s="39" t="s">
        <v>1149</v>
      </c>
      <c r="E44" s="39" t="s">
        <v>3332</v>
      </c>
      <c r="F44" s="39" t="s">
        <v>340</v>
      </c>
      <c r="G44" s="39"/>
      <c r="H44" s="51"/>
      <c r="I44" s="52"/>
      <c r="J44" s="38"/>
      <c r="K44" s="38"/>
      <c r="L44" s="38"/>
      <c r="M44" s="69" t="s">
        <v>5380</v>
      </c>
      <c r="N44" s="39"/>
      <c r="O44" s="39"/>
      <c r="P44" s="34"/>
    </row>
    <row r="45" spans="2:16">
      <c r="B45" s="32" t="s">
        <v>1188</v>
      </c>
      <c r="C45" s="39" t="s">
        <v>1189</v>
      </c>
      <c r="D45" s="39" t="s">
        <v>1190</v>
      </c>
      <c r="E45" s="39" t="s">
        <v>3333</v>
      </c>
      <c r="F45" s="39" t="s">
        <v>426</v>
      </c>
      <c r="G45" s="39"/>
      <c r="H45" s="51" t="str">
        <f t="shared" si="0"/>
        <v>citation:yehuda_lindell-01</v>
      </c>
      <c r="I45" s="52"/>
      <c r="J45" s="38" t="s">
        <v>5368</v>
      </c>
      <c r="K45" s="38">
        <v>8526</v>
      </c>
      <c r="L45" s="38">
        <v>43</v>
      </c>
      <c r="M45" s="69" t="s">
        <v>5386</v>
      </c>
      <c r="N45" s="39"/>
      <c r="O45" s="39"/>
      <c r="P45" s="34"/>
    </row>
    <row r="46" spans="2:16">
      <c r="B46" s="28" t="s">
        <v>1168</v>
      </c>
      <c r="C46" s="37" t="s">
        <v>1169</v>
      </c>
      <c r="D46" s="37" t="s">
        <v>1170</v>
      </c>
      <c r="E46" s="37" t="s">
        <v>3334</v>
      </c>
      <c r="F46" s="37" t="s">
        <v>348</v>
      </c>
      <c r="G46" s="37"/>
      <c r="H46" s="49" t="str">
        <f t="shared" si="0"/>
        <v>citation:alberto_medina-01</v>
      </c>
      <c r="I46" s="50"/>
      <c r="J46" s="38" t="s">
        <v>5380</v>
      </c>
      <c r="K46" s="38" t="s">
        <v>5380</v>
      </c>
      <c r="L46" s="38" t="s">
        <v>5380</v>
      </c>
      <c r="M46" s="69" t="s">
        <v>5388</v>
      </c>
      <c r="N46" s="37"/>
      <c r="O46" s="37"/>
      <c r="P46" s="29"/>
    </row>
    <row r="47" spans="2:16">
      <c r="B47" s="30" t="s">
        <v>1171</v>
      </c>
      <c r="C47" s="38" t="s">
        <v>1172</v>
      </c>
      <c r="D47" s="38" t="s">
        <v>1173</v>
      </c>
      <c r="E47" s="38" t="s">
        <v>3335</v>
      </c>
      <c r="F47" s="38" t="s">
        <v>348</v>
      </c>
      <c r="G47" s="38"/>
      <c r="H47" s="53" t="str">
        <f t="shared" si="0"/>
        <v>citation:prithwish_basu-01</v>
      </c>
      <c r="I47" s="54"/>
      <c r="J47" s="38" t="s">
        <v>5290</v>
      </c>
      <c r="K47" s="38">
        <v>2340</v>
      </c>
      <c r="L47" s="38">
        <v>21</v>
      </c>
      <c r="M47" s="69" t="s">
        <v>5384</v>
      </c>
      <c r="N47" s="38"/>
      <c r="O47" s="38"/>
      <c r="P47" s="31"/>
    </row>
    <row r="48" spans="2:16">
      <c r="B48" s="30" t="s">
        <v>1174</v>
      </c>
      <c r="C48" s="38" t="s">
        <v>1175</v>
      </c>
      <c r="D48" s="38" t="s">
        <v>1176</v>
      </c>
      <c r="E48" s="38" t="s">
        <v>3336</v>
      </c>
      <c r="F48" s="38" t="s">
        <v>348</v>
      </c>
      <c r="G48" s="38"/>
      <c r="H48" s="53" t="str">
        <f t="shared" si="0"/>
        <v>citation:rick_allen-01</v>
      </c>
      <c r="I48" s="54"/>
      <c r="J48" s="38" t="s">
        <v>5380</v>
      </c>
      <c r="K48" s="38" t="s">
        <v>5380</v>
      </c>
      <c r="L48" s="38" t="s">
        <v>5380</v>
      </c>
      <c r="M48" s="69" t="s">
        <v>5391</v>
      </c>
      <c r="N48" s="38"/>
      <c r="O48" s="38"/>
      <c r="P48" s="31"/>
    </row>
    <row r="49" spans="2:16">
      <c r="B49" s="30" t="s">
        <v>1177</v>
      </c>
      <c r="C49" s="38" t="s">
        <v>1134</v>
      </c>
      <c r="D49" s="38" t="s">
        <v>1178</v>
      </c>
      <c r="E49" s="38" t="s">
        <v>3337</v>
      </c>
      <c r="F49" s="38" t="s">
        <v>348</v>
      </c>
      <c r="G49" s="38"/>
      <c r="H49" s="53" t="str">
        <f t="shared" si="0"/>
        <v>citation:ryan_irwin-01</v>
      </c>
      <c r="I49" s="54"/>
      <c r="J49" s="38" t="s">
        <v>5380</v>
      </c>
      <c r="K49" s="38" t="s">
        <v>5380</v>
      </c>
      <c r="L49" s="38" t="s">
        <v>5380</v>
      </c>
      <c r="M49" s="69" t="s">
        <v>5387</v>
      </c>
      <c r="N49" s="38"/>
      <c r="O49" s="38"/>
      <c r="P49" s="31"/>
    </row>
    <row r="50" spans="2:16">
      <c r="B50" s="30" t="s">
        <v>1179</v>
      </c>
      <c r="C50" s="38" t="s">
        <v>1180</v>
      </c>
      <c r="D50" s="38" t="s">
        <v>1181</v>
      </c>
      <c r="E50" s="38" t="s">
        <v>3338</v>
      </c>
      <c r="F50" s="38" t="s">
        <v>348</v>
      </c>
      <c r="G50" s="38"/>
      <c r="H50" s="53" t="str">
        <f t="shared" si="0"/>
        <v>citation:saikat_guha-01</v>
      </c>
      <c r="I50" s="54"/>
      <c r="J50" s="38" t="s">
        <v>5307</v>
      </c>
      <c r="K50" s="38">
        <v>1434</v>
      </c>
      <c r="L50" s="38">
        <v>20</v>
      </c>
      <c r="M50" s="69" t="s">
        <v>5384</v>
      </c>
      <c r="N50" s="38"/>
      <c r="O50" s="38"/>
      <c r="P50" s="31"/>
    </row>
    <row r="51" spans="2:16">
      <c r="B51" s="30" t="s">
        <v>1182</v>
      </c>
      <c r="C51" s="38" t="s">
        <v>1183</v>
      </c>
      <c r="D51" s="38" t="s">
        <v>1184</v>
      </c>
      <c r="E51" s="38" t="s">
        <v>3339</v>
      </c>
      <c r="F51" s="38" t="s">
        <v>348</v>
      </c>
      <c r="G51" s="38"/>
      <c r="H51" s="53" t="str">
        <f t="shared" si="0"/>
        <v>citation:sam_nelson-01</v>
      </c>
      <c r="I51" s="54"/>
      <c r="J51" s="38" t="s">
        <v>5380</v>
      </c>
      <c r="K51" s="38" t="s">
        <v>5380</v>
      </c>
      <c r="L51" s="38" t="s">
        <v>5380</v>
      </c>
      <c r="M51" s="69" t="s">
        <v>5391</v>
      </c>
      <c r="N51" s="38"/>
      <c r="O51" s="38"/>
      <c r="P51" s="31"/>
    </row>
    <row r="52" spans="2:16">
      <c r="B52" s="32" t="s">
        <v>1185</v>
      </c>
      <c r="C52" s="39" t="s">
        <v>1186</v>
      </c>
      <c r="D52" s="39" t="s">
        <v>1187</v>
      </c>
      <c r="E52" s="39" t="s">
        <v>3340</v>
      </c>
      <c r="F52" s="39" t="s">
        <v>348</v>
      </c>
      <c r="G52" s="39"/>
      <c r="H52" s="51" t="str">
        <f t="shared" si="0"/>
        <v>citation:will_leland-01</v>
      </c>
      <c r="I52" s="52"/>
      <c r="J52" s="38" t="s">
        <v>5380</v>
      </c>
      <c r="K52" s="38" t="s">
        <v>5380</v>
      </c>
      <c r="L52" s="38" t="s">
        <v>5380</v>
      </c>
      <c r="M52" s="69" t="s">
        <v>5389</v>
      </c>
      <c r="N52" s="39"/>
      <c r="O52" s="39"/>
      <c r="P52" s="34"/>
    </row>
    <row r="53" spans="2:16">
      <c r="B53" s="30" t="s">
        <v>1191</v>
      </c>
      <c r="C53" s="38" t="s">
        <v>1192</v>
      </c>
      <c r="D53" s="38" t="s">
        <v>1193</v>
      </c>
      <c r="E53" s="38" t="s">
        <v>3341</v>
      </c>
      <c r="F53" s="38" t="s">
        <v>430</v>
      </c>
      <c r="G53" s="38"/>
      <c r="H53" s="53"/>
      <c r="I53" s="54"/>
      <c r="J53" s="38"/>
      <c r="K53" s="38"/>
      <c r="L53" s="38"/>
      <c r="M53" s="69" t="s">
        <v>5380</v>
      </c>
      <c r="N53" s="38"/>
      <c r="O53" s="38"/>
      <c r="P53" s="31"/>
    </row>
    <row r="54" spans="2:16">
      <c r="B54" s="32" t="s">
        <v>1194</v>
      </c>
      <c r="C54" s="39" t="s">
        <v>1195</v>
      </c>
      <c r="D54" s="39" t="s">
        <v>1196</v>
      </c>
      <c r="E54" s="39" t="s">
        <v>3342</v>
      </c>
      <c r="F54" s="39" t="s">
        <v>430</v>
      </c>
      <c r="G54" s="39"/>
      <c r="H54" s="51"/>
      <c r="I54" s="52"/>
      <c r="J54" s="38"/>
      <c r="K54" s="38"/>
      <c r="L54" s="38"/>
      <c r="M54" s="69" t="s">
        <v>5380</v>
      </c>
      <c r="N54" s="39"/>
      <c r="O54" s="39"/>
      <c r="P54" s="34"/>
    </row>
    <row r="55" spans="2:16">
      <c r="B55" s="30" t="s">
        <v>1197</v>
      </c>
      <c r="C55" s="38" t="s">
        <v>1198</v>
      </c>
      <c r="D55" s="38" t="s">
        <v>1199</v>
      </c>
      <c r="E55" s="38" t="s">
        <v>3343</v>
      </c>
      <c r="F55" s="38" t="s">
        <v>350</v>
      </c>
      <c r="G55" s="38"/>
      <c r="H55" s="53" t="str">
        <f t="shared" si="0"/>
        <v>citation:ali_bahrami-01</v>
      </c>
      <c r="I55" s="54"/>
      <c r="J55" s="38" t="s">
        <v>5380</v>
      </c>
      <c r="K55" s="38" t="s">
        <v>5380</v>
      </c>
      <c r="L55" s="38" t="s">
        <v>5380</v>
      </c>
      <c r="M55" s="69" t="s">
        <v>5388</v>
      </c>
      <c r="N55" s="38"/>
      <c r="O55" s="38"/>
      <c r="P55" s="31"/>
    </row>
    <row r="56" spans="2:16">
      <c r="B56" s="30" t="s">
        <v>1200</v>
      </c>
      <c r="C56" s="38" t="s">
        <v>1201</v>
      </c>
      <c r="D56" s="38" t="s">
        <v>1202</v>
      </c>
      <c r="E56" s="38" t="s">
        <v>3344</v>
      </c>
      <c r="F56" s="38" t="s">
        <v>350</v>
      </c>
      <c r="G56" s="38"/>
      <c r="H56" s="53" t="str">
        <f t="shared" si="0"/>
        <v>citation:anne_hunt-01</v>
      </c>
      <c r="I56" s="54"/>
      <c r="J56" s="38" t="s">
        <v>5380</v>
      </c>
      <c r="K56" s="38" t="s">
        <v>5380</v>
      </c>
      <c r="L56" s="38" t="s">
        <v>5380</v>
      </c>
      <c r="M56" s="69" t="s">
        <v>5384</v>
      </c>
      <c r="N56" s="38"/>
      <c r="O56" s="38"/>
      <c r="P56" s="31"/>
    </row>
    <row r="57" spans="2:16">
      <c r="B57" s="30" t="s">
        <v>1203</v>
      </c>
      <c r="C57" s="38" t="s">
        <v>1201</v>
      </c>
      <c r="D57" s="38" t="s">
        <v>1204</v>
      </c>
      <c r="E57" s="38" t="s">
        <v>3345</v>
      </c>
      <c r="F57" s="38" t="s">
        <v>350</v>
      </c>
      <c r="G57" s="38"/>
      <c r="H57" s="53" t="str">
        <f t="shared" si="0"/>
        <v>citation:anne_kao-01</v>
      </c>
      <c r="I57" s="54"/>
      <c r="J57" s="38" t="s">
        <v>5380</v>
      </c>
      <c r="K57" s="38" t="s">
        <v>5380</v>
      </c>
      <c r="L57" s="38" t="s">
        <v>5380</v>
      </c>
      <c r="M57" s="69" t="s">
        <v>5384</v>
      </c>
      <c r="N57" s="38"/>
      <c r="O57" s="38"/>
      <c r="P57" s="31"/>
    </row>
    <row r="58" spans="2:16">
      <c r="B58" s="30" t="s">
        <v>1205</v>
      </c>
      <c r="C58" s="38" t="s">
        <v>1206</v>
      </c>
      <c r="D58" s="38" t="s">
        <v>1196</v>
      </c>
      <c r="E58" s="38" t="s">
        <v>3346</v>
      </c>
      <c r="F58" s="38" t="s">
        <v>350</v>
      </c>
      <c r="G58" s="38"/>
      <c r="H58" s="53" t="str">
        <f t="shared" si="0"/>
        <v>citation:changzhou_wang-01</v>
      </c>
      <c r="I58" s="54"/>
      <c r="J58" s="38" t="s">
        <v>5380</v>
      </c>
      <c r="K58" s="38" t="s">
        <v>5380</v>
      </c>
      <c r="L58" s="38" t="s">
        <v>5380</v>
      </c>
      <c r="M58" s="69" t="s">
        <v>5387</v>
      </c>
      <c r="N58" s="38"/>
      <c r="O58" s="38"/>
      <c r="P58" s="31"/>
    </row>
    <row r="59" spans="2:16">
      <c r="B59" s="30" t="s">
        <v>1207</v>
      </c>
      <c r="C59" s="38" t="s">
        <v>1208</v>
      </c>
      <c r="D59" s="38" t="s">
        <v>1209</v>
      </c>
      <c r="E59" s="38" t="s">
        <v>3347</v>
      </c>
      <c r="F59" s="38" t="s">
        <v>350</v>
      </c>
      <c r="G59" s="38"/>
      <c r="H59" s="53" t="str">
        <f t="shared" si="0"/>
        <v>citation:guangyu_pei-01</v>
      </c>
      <c r="I59" s="54"/>
      <c r="J59" s="38" t="s">
        <v>5380</v>
      </c>
      <c r="K59" s="38" t="s">
        <v>5380</v>
      </c>
      <c r="L59" s="38" t="s">
        <v>5380</v>
      </c>
      <c r="M59" s="69" t="s">
        <v>5387</v>
      </c>
      <c r="N59" s="38"/>
      <c r="O59" s="38"/>
      <c r="P59" s="31"/>
    </row>
    <row r="60" spans="2:16">
      <c r="B60" s="30" t="s">
        <v>1210</v>
      </c>
      <c r="C60" s="38" t="s">
        <v>1211</v>
      </c>
      <c r="D60" s="38" t="s">
        <v>1212</v>
      </c>
      <c r="E60" s="38" t="s">
        <v>3348</v>
      </c>
      <c r="F60" s="38" t="s">
        <v>350</v>
      </c>
      <c r="G60" s="38"/>
      <c r="H60" s="53" t="str">
        <f t="shared" si="0"/>
        <v>citation:jae_kim-01</v>
      </c>
      <c r="I60" s="54"/>
      <c r="J60" s="38" t="s">
        <v>5380</v>
      </c>
      <c r="K60" s="38" t="s">
        <v>5380</v>
      </c>
      <c r="L60" s="38" t="s">
        <v>5380</v>
      </c>
      <c r="M60" s="69" t="s">
        <v>5387</v>
      </c>
      <c r="N60" s="38"/>
      <c r="O60" s="38"/>
      <c r="P60" s="31"/>
    </row>
    <row r="61" spans="2:16">
      <c r="B61" s="30" t="s">
        <v>1213</v>
      </c>
      <c r="C61" s="38" t="s">
        <v>1214</v>
      </c>
      <c r="D61" s="38" t="s">
        <v>1215</v>
      </c>
      <c r="E61" s="38" t="s">
        <v>3349</v>
      </c>
      <c r="F61" s="38" t="s">
        <v>350</v>
      </c>
      <c r="G61" s="38"/>
      <c r="H61" s="53" t="str">
        <f t="shared" si="0"/>
        <v>citation:jun_yuan-01</v>
      </c>
      <c r="I61" s="54"/>
      <c r="J61" s="38" t="s">
        <v>5380</v>
      </c>
      <c r="K61" s="38" t="s">
        <v>5380</v>
      </c>
      <c r="L61" s="38" t="s">
        <v>5380</v>
      </c>
      <c r="M61" s="69" t="s">
        <v>5387</v>
      </c>
      <c r="N61" s="38"/>
      <c r="O61" s="38"/>
      <c r="P61" s="31"/>
    </row>
    <row r="62" spans="2:16">
      <c r="B62" s="30" t="s">
        <v>1216</v>
      </c>
      <c r="C62" s="38" t="s">
        <v>1217</v>
      </c>
      <c r="D62" s="38" t="s">
        <v>1218</v>
      </c>
      <c r="E62" s="38" t="s">
        <v>3350</v>
      </c>
      <c r="F62" s="38" t="s">
        <v>350</v>
      </c>
      <c r="G62" s="38"/>
      <c r="H62" s="53" t="str">
        <f t="shared" si="0"/>
        <v>citation:mark_handel-01</v>
      </c>
      <c r="I62" s="54"/>
      <c r="J62" s="38" t="s">
        <v>5380</v>
      </c>
      <c r="K62" s="38" t="s">
        <v>5380</v>
      </c>
      <c r="L62" s="38" t="s">
        <v>5380</v>
      </c>
      <c r="M62" s="69" t="s">
        <v>5384</v>
      </c>
      <c r="N62" s="38"/>
      <c r="O62" s="38"/>
      <c r="P62" s="31"/>
    </row>
    <row r="63" spans="2:16">
      <c r="B63" s="30" t="s">
        <v>1219</v>
      </c>
      <c r="C63" s="38" t="s">
        <v>1120</v>
      </c>
      <c r="D63" s="38" t="s">
        <v>1220</v>
      </c>
      <c r="E63" s="38" t="s">
        <v>3351</v>
      </c>
      <c r="F63" s="38" t="s">
        <v>350</v>
      </c>
      <c r="G63" s="38"/>
      <c r="H63" s="53" t="str">
        <f t="shared" si="0"/>
        <v>citation:paul_murray-01</v>
      </c>
      <c r="I63" s="54"/>
      <c r="J63" s="38" t="s">
        <v>5380</v>
      </c>
      <c r="K63" s="38" t="s">
        <v>5380</v>
      </c>
      <c r="L63" s="38" t="s">
        <v>5380</v>
      </c>
      <c r="M63" s="69" t="s">
        <v>5385</v>
      </c>
      <c r="N63" s="38"/>
      <c r="O63" s="38"/>
      <c r="P63" s="31"/>
    </row>
    <row r="64" spans="2:16">
      <c r="B64" s="30" t="s">
        <v>1221</v>
      </c>
      <c r="C64" s="38" t="s">
        <v>1222</v>
      </c>
      <c r="D64" s="38" t="s">
        <v>1223</v>
      </c>
      <c r="E64" s="38" t="s">
        <v>3352</v>
      </c>
      <c r="F64" s="38" t="s">
        <v>350</v>
      </c>
      <c r="G64" s="38"/>
      <c r="H64" s="53" t="str">
        <f t="shared" si="0"/>
        <v>citation:ping_xue-01</v>
      </c>
      <c r="I64" s="54"/>
      <c r="J64" s="38" t="s">
        <v>5380</v>
      </c>
      <c r="K64" s="38" t="s">
        <v>5380</v>
      </c>
      <c r="L64" s="38" t="s">
        <v>5380</v>
      </c>
      <c r="M64" s="69" t="s">
        <v>5386</v>
      </c>
      <c r="N64" s="38"/>
      <c r="O64" s="38"/>
      <c r="P64" s="31"/>
    </row>
    <row r="65" spans="2:16">
      <c r="B65" s="30" t="s">
        <v>1224</v>
      </c>
      <c r="C65" s="38" t="s">
        <v>1225</v>
      </c>
      <c r="D65" s="38" t="s">
        <v>1226</v>
      </c>
      <c r="E65" s="38" t="s">
        <v>3353</v>
      </c>
      <c r="F65" s="38" t="s">
        <v>350</v>
      </c>
      <c r="G65" s="38"/>
      <c r="H65" s="53" t="str">
        <f t="shared" si="0"/>
        <v>citation:stephen_poltrock-01</v>
      </c>
      <c r="I65" s="54"/>
      <c r="J65" s="38" t="s">
        <v>5380</v>
      </c>
      <c r="K65" s="38" t="s">
        <v>5380</v>
      </c>
      <c r="L65" s="38" t="s">
        <v>5380</v>
      </c>
      <c r="M65" s="69" t="s">
        <v>5386</v>
      </c>
      <c r="N65" s="38"/>
      <c r="O65" s="38"/>
      <c r="P65" s="31"/>
    </row>
    <row r="66" spans="2:16">
      <c r="B66" s="32" t="s">
        <v>1227</v>
      </c>
      <c r="C66" s="39" t="s">
        <v>1225</v>
      </c>
      <c r="D66" s="39" t="s">
        <v>1228</v>
      </c>
      <c r="E66" s="39" t="s">
        <v>3354</v>
      </c>
      <c r="F66" s="39" t="s">
        <v>350</v>
      </c>
      <c r="G66" s="39"/>
      <c r="H66" s="51" t="str">
        <f t="shared" si="0"/>
        <v>citation:stephen_poteet-01</v>
      </c>
      <c r="I66" s="52"/>
      <c r="J66" s="38" t="s">
        <v>5380</v>
      </c>
      <c r="K66" s="38" t="s">
        <v>5380</v>
      </c>
      <c r="L66" s="38" t="s">
        <v>5380</v>
      </c>
      <c r="M66" s="69" t="s">
        <v>5384</v>
      </c>
      <c r="N66" s="39"/>
      <c r="O66" s="39"/>
      <c r="P66" s="34"/>
    </row>
    <row r="67" spans="2:16">
      <c r="B67" s="30" t="s">
        <v>1229</v>
      </c>
      <c r="C67" s="38" t="s">
        <v>1230</v>
      </c>
      <c r="D67" s="38" t="s">
        <v>1231</v>
      </c>
      <c r="E67" s="38" t="s">
        <v>3355</v>
      </c>
      <c r="F67" s="38" t="s">
        <v>433</v>
      </c>
      <c r="G67" s="38"/>
      <c r="H67" s="53" t="str">
        <f t="shared" si="0"/>
        <v>citation:bruno_courcelle-01</v>
      </c>
      <c r="I67" s="54"/>
      <c r="J67" s="38" t="s">
        <v>5079</v>
      </c>
      <c r="K67" s="38">
        <v>10578</v>
      </c>
      <c r="L67" s="38">
        <v>44</v>
      </c>
      <c r="M67" s="69" t="s">
        <v>5388</v>
      </c>
      <c r="N67" s="38"/>
      <c r="O67" s="38"/>
      <c r="P67" s="31"/>
    </row>
    <row r="68" spans="2:16">
      <c r="B68" s="30" t="s">
        <v>1232</v>
      </c>
      <c r="C68" s="38" t="s">
        <v>1233</v>
      </c>
      <c r="D68" s="38" t="s">
        <v>1234</v>
      </c>
      <c r="E68" s="38" t="s">
        <v>3356</v>
      </c>
      <c r="F68" s="38" t="s">
        <v>433</v>
      </c>
      <c r="G68" s="38"/>
      <c r="H68" s="53" t="str">
        <f t="shared" ref="H68:H131" si="1">"citation:"&amp;B68&amp;"-01"</f>
        <v>citation:cyril_gavoille-01</v>
      </c>
      <c r="I68" s="54"/>
      <c r="J68" s="38" t="s">
        <v>5380</v>
      </c>
      <c r="K68" s="38" t="s">
        <v>5380</v>
      </c>
      <c r="L68" s="38" t="s">
        <v>5380</v>
      </c>
      <c r="M68" s="69" t="s">
        <v>5386</v>
      </c>
      <c r="N68" s="38"/>
      <c r="O68" s="38"/>
      <c r="P68" s="31"/>
    </row>
    <row r="69" spans="2:16">
      <c r="B69" s="32" t="s">
        <v>1235</v>
      </c>
      <c r="C69" s="39" t="s">
        <v>1236</v>
      </c>
      <c r="D69" s="39" t="s">
        <v>1237</v>
      </c>
      <c r="E69" s="39" t="s">
        <v>3357</v>
      </c>
      <c r="F69" s="39" t="s">
        <v>433</v>
      </c>
      <c r="G69" s="39"/>
      <c r="H69" s="51" t="str">
        <f t="shared" si="1"/>
        <v>citation:mamadou_kante-01</v>
      </c>
      <c r="I69" s="52"/>
      <c r="J69" s="38" t="s">
        <v>5380</v>
      </c>
      <c r="K69" s="38" t="s">
        <v>5380</v>
      </c>
      <c r="L69" s="38" t="s">
        <v>5380</v>
      </c>
      <c r="M69" s="69" t="s">
        <v>5386</v>
      </c>
      <c r="N69" s="39"/>
      <c r="O69" s="39"/>
      <c r="P69" s="34"/>
    </row>
    <row r="70" spans="2:16">
      <c r="B70" s="30" t="s">
        <v>1238</v>
      </c>
      <c r="C70" s="38" t="s">
        <v>1239</v>
      </c>
      <c r="D70" s="38" t="s">
        <v>1240</v>
      </c>
      <c r="E70" s="38" t="s">
        <v>3358</v>
      </c>
      <c r="F70" s="38" t="s">
        <v>436</v>
      </c>
      <c r="G70" s="38"/>
      <c r="H70" s="53" t="str">
        <f t="shared" si="1"/>
        <v>citation:gonca_gursun-01</v>
      </c>
      <c r="I70" s="54"/>
      <c r="J70" s="38" t="s">
        <v>5380</v>
      </c>
      <c r="K70" s="38" t="s">
        <v>5380</v>
      </c>
      <c r="L70" s="38" t="s">
        <v>5380</v>
      </c>
      <c r="M70" s="69" t="s">
        <v>5385</v>
      </c>
      <c r="N70" s="38"/>
      <c r="O70" s="38"/>
      <c r="P70" s="31"/>
    </row>
    <row r="71" spans="2:16">
      <c r="B71" s="30" t="s">
        <v>1241</v>
      </c>
      <c r="C71" s="38" t="s">
        <v>1242</v>
      </c>
      <c r="D71" s="38" t="s">
        <v>1243</v>
      </c>
      <c r="E71" s="38" t="s">
        <v>3359</v>
      </c>
      <c r="F71" s="38" t="s">
        <v>436</v>
      </c>
      <c r="G71" s="38"/>
      <c r="H71" s="53" t="str">
        <f t="shared" si="1"/>
        <v>citation:ibrahim_matta-01</v>
      </c>
      <c r="I71" s="54"/>
      <c r="J71" s="38" t="s">
        <v>5173</v>
      </c>
      <c r="K71" s="38">
        <v>6685</v>
      </c>
      <c r="L71" s="38">
        <v>36</v>
      </c>
      <c r="M71" s="69" t="s">
        <v>5386</v>
      </c>
      <c r="N71" s="38"/>
      <c r="O71" s="38"/>
      <c r="P71" s="31"/>
    </row>
    <row r="72" spans="2:16">
      <c r="B72" s="32" t="s">
        <v>1244</v>
      </c>
      <c r="C72" s="39" t="s">
        <v>1217</v>
      </c>
      <c r="D72" s="39" t="s">
        <v>1245</v>
      </c>
      <c r="E72" s="39" t="s">
        <v>3360</v>
      </c>
      <c r="F72" s="39" t="s">
        <v>436</v>
      </c>
      <c r="G72" s="39"/>
      <c r="H72" s="51"/>
      <c r="I72" s="52"/>
      <c r="J72" s="38"/>
      <c r="K72" s="38"/>
      <c r="L72" s="38"/>
      <c r="M72" s="69" t="s">
        <v>5380</v>
      </c>
      <c r="N72" s="39"/>
      <c r="O72" s="39"/>
      <c r="P72" s="34"/>
    </row>
    <row r="73" spans="2:16">
      <c r="B73" s="44" t="s">
        <v>1451</v>
      </c>
      <c r="C73" s="45" t="s">
        <v>1452</v>
      </c>
      <c r="D73" s="45" t="s">
        <v>1167</v>
      </c>
      <c r="E73" s="45" t="s">
        <v>3361</v>
      </c>
      <c r="F73" s="45" t="s">
        <v>449</v>
      </c>
      <c r="G73" s="45"/>
      <c r="H73" s="46" t="str">
        <f t="shared" si="1"/>
        <v>citation:wentao_huang-01</v>
      </c>
      <c r="I73" s="47"/>
      <c r="J73" s="38" t="s">
        <v>5360</v>
      </c>
      <c r="K73" s="38">
        <v>283</v>
      </c>
      <c r="L73" s="38">
        <v>6</v>
      </c>
      <c r="M73" s="69" t="s">
        <v>5386</v>
      </c>
      <c r="N73" s="45"/>
      <c r="O73" s="45"/>
      <c r="P73" s="48"/>
    </row>
    <row r="74" spans="2:16">
      <c r="B74" s="30" t="s">
        <v>73</v>
      </c>
      <c r="C74" s="38" t="s">
        <v>74</v>
      </c>
      <c r="D74" s="38" t="s">
        <v>75</v>
      </c>
      <c r="E74" s="38" t="s">
        <v>3362</v>
      </c>
      <c r="F74" s="38" t="s">
        <v>452</v>
      </c>
      <c r="G74" s="38" t="s">
        <v>3269</v>
      </c>
      <c r="H74" s="53" t="str">
        <f t="shared" si="1"/>
        <v>citation:alun_preece-01</v>
      </c>
      <c r="I74" s="54"/>
      <c r="J74" s="38" t="s">
        <v>5048</v>
      </c>
      <c r="K74" s="38">
        <v>3741</v>
      </c>
      <c r="L74" s="38">
        <v>34</v>
      </c>
      <c r="M74" s="69" t="s">
        <v>5385</v>
      </c>
      <c r="N74" s="38"/>
      <c r="O74" s="38"/>
      <c r="P74" s="31"/>
    </row>
    <row r="75" spans="2:16">
      <c r="B75" s="30" t="s">
        <v>1453</v>
      </c>
      <c r="C75" s="38" t="s">
        <v>1454</v>
      </c>
      <c r="D75" s="38" t="s">
        <v>1455</v>
      </c>
      <c r="E75" s="38" t="s">
        <v>3363</v>
      </c>
      <c r="F75" s="38" t="s">
        <v>452</v>
      </c>
      <c r="G75" s="38"/>
      <c r="H75" s="53" t="str">
        <f t="shared" si="1"/>
        <v>citation:chris_gwilliams-01</v>
      </c>
      <c r="I75" s="54"/>
      <c r="J75" s="38" t="s">
        <v>5094</v>
      </c>
      <c r="K75" s="38">
        <v>10</v>
      </c>
      <c r="L75" s="38">
        <v>2</v>
      </c>
      <c r="M75" s="69" t="s">
        <v>5385</v>
      </c>
      <c r="N75" s="38"/>
      <c r="O75" s="38"/>
      <c r="P75" s="31"/>
    </row>
    <row r="76" spans="2:16">
      <c r="B76" s="30" t="s">
        <v>76</v>
      </c>
      <c r="C76" s="38" t="s">
        <v>77</v>
      </c>
      <c r="D76" s="38" t="s">
        <v>78</v>
      </c>
      <c r="E76" s="38" t="s">
        <v>3364</v>
      </c>
      <c r="F76" s="38" t="s">
        <v>452</v>
      </c>
      <c r="G76" s="38"/>
      <c r="H76" s="53" t="str">
        <f t="shared" si="1"/>
        <v>citation:christos_parizas-01</v>
      </c>
      <c r="I76" s="54"/>
      <c r="J76" s="38" t="s">
        <v>5380</v>
      </c>
      <c r="K76" s="38" t="s">
        <v>5380</v>
      </c>
      <c r="L76" s="38" t="s">
        <v>5380</v>
      </c>
      <c r="M76" s="69" t="s">
        <v>5384</v>
      </c>
      <c r="N76" s="38"/>
      <c r="O76" s="38"/>
      <c r="P76" s="31"/>
    </row>
    <row r="77" spans="2:16">
      <c r="B77" s="30" t="s">
        <v>1456</v>
      </c>
      <c r="C77" s="38" t="s">
        <v>1457</v>
      </c>
      <c r="D77" s="38" t="s">
        <v>1458</v>
      </c>
      <c r="E77" s="38" t="s">
        <v>3365</v>
      </c>
      <c r="F77" s="38" t="s">
        <v>452</v>
      </c>
      <c r="G77" s="38"/>
      <c r="H77" s="53" t="str">
        <f t="shared" si="1"/>
        <v>citation:colin_roberts-01</v>
      </c>
      <c r="I77" s="54"/>
      <c r="J77" s="38" t="s">
        <v>5380</v>
      </c>
      <c r="K77" s="38" t="s">
        <v>5380</v>
      </c>
      <c r="L77" s="38" t="s">
        <v>5380</v>
      </c>
      <c r="M77" s="69" t="s">
        <v>5391</v>
      </c>
      <c r="N77" s="38"/>
      <c r="O77" s="38"/>
      <c r="P77" s="31"/>
    </row>
    <row r="78" spans="2:16">
      <c r="B78" s="30" t="s">
        <v>1459</v>
      </c>
      <c r="C78" s="38" t="s">
        <v>83</v>
      </c>
      <c r="D78" s="38" t="s">
        <v>1460</v>
      </c>
      <c r="E78" s="38" t="s">
        <v>3366</v>
      </c>
      <c r="F78" s="38" t="s">
        <v>452</v>
      </c>
      <c r="G78" s="38"/>
      <c r="H78" s="53"/>
      <c r="I78" s="54"/>
      <c r="J78" s="38"/>
      <c r="K78" s="38"/>
      <c r="L78" s="38"/>
      <c r="M78" s="69" t="s">
        <v>5380</v>
      </c>
      <c r="N78" s="38"/>
      <c r="O78" s="38"/>
      <c r="P78" s="31"/>
    </row>
    <row r="79" spans="2:16">
      <c r="B79" s="30" t="s">
        <v>87</v>
      </c>
      <c r="C79" s="38" t="s">
        <v>88</v>
      </c>
      <c r="D79" s="38" t="s">
        <v>89</v>
      </c>
      <c r="E79" s="38" t="s">
        <v>3367</v>
      </c>
      <c r="F79" s="38" t="s">
        <v>452</v>
      </c>
      <c r="G79" s="38"/>
      <c r="H79" s="53" t="str">
        <f t="shared" si="1"/>
        <v>citation:diego_pizzocaro-01</v>
      </c>
      <c r="I79" s="54"/>
      <c r="J79" s="38" t="s">
        <v>5114</v>
      </c>
      <c r="K79" s="38">
        <v>311</v>
      </c>
      <c r="L79" s="38">
        <v>10</v>
      </c>
      <c r="M79" s="69" t="s">
        <v>5385</v>
      </c>
      <c r="N79" s="38"/>
      <c r="O79" s="38"/>
      <c r="P79" s="31"/>
    </row>
    <row r="80" spans="2:16">
      <c r="B80" s="30" t="s">
        <v>1461</v>
      </c>
      <c r="C80" s="38" t="s">
        <v>1462</v>
      </c>
      <c r="D80" s="38" t="s">
        <v>1463</v>
      </c>
      <c r="E80" s="38" t="s">
        <v>3368</v>
      </c>
      <c r="F80" s="38" t="s">
        <v>452</v>
      </c>
      <c r="G80" s="38"/>
      <c r="H80" s="53" t="str">
        <f t="shared" si="1"/>
        <v>citation:federico_cerutti-01</v>
      </c>
      <c r="I80" s="54"/>
      <c r="J80" s="38" t="s">
        <v>5137</v>
      </c>
      <c r="K80" s="38">
        <v>257</v>
      </c>
      <c r="L80" s="38">
        <v>8</v>
      </c>
      <c r="M80" s="69" t="s">
        <v>5385</v>
      </c>
      <c r="N80" s="38"/>
      <c r="O80" s="38"/>
      <c r="P80" s="31"/>
    </row>
    <row r="81" spans="2:16">
      <c r="B81" s="30" t="s">
        <v>1464</v>
      </c>
      <c r="C81" s="38" t="s">
        <v>1465</v>
      </c>
      <c r="D81" s="38" t="s">
        <v>1466</v>
      </c>
      <c r="E81" s="38" t="s">
        <v>3369</v>
      </c>
      <c r="F81" s="38" t="s">
        <v>452</v>
      </c>
      <c r="G81" s="38"/>
      <c r="H81" s="53" t="str">
        <f t="shared" si="1"/>
        <v>citation:irena_spasic-01</v>
      </c>
      <c r="I81" s="54"/>
      <c r="J81" s="38" t="s">
        <v>5176</v>
      </c>
      <c r="K81" s="38">
        <v>2077</v>
      </c>
      <c r="L81" s="38">
        <v>23</v>
      </c>
      <c r="M81" s="69" t="s">
        <v>5388</v>
      </c>
      <c r="N81" s="38"/>
      <c r="O81" s="38"/>
      <c r="P81" s="31"/>
    </row>
    <row r="82" spans="2:16">
      <c r="B82" s="30" t="s">
        <v>1467</v>
      </c>
      <c r="C82" s="38" t="s">
        <v>1468</v>
      </c>
      <c r="D82" s="38" t="s">
        <v>1469</v>
      </c>
      <c r="E82" s="38" t="s">
        <v>3370</v>
      </c>
      <c r="F82" s="38" t="s">
        <v>452</v>
      </c>
      <c r="G82" s="38"/>
      <c r="H82" s="53" t="str">
        <f t="shared" si="1"/>
        <v>citation:konrad_borowiecki-01</v>
      </c>
      <c r="I82" s="54"/>
      <c r="J82" s="38" t="s">
        <v>5380</v>
      </c>
      <c r="K82" s="38" t="s">
        <v>5380</v>
      </c>
      <c r="L82" s="38" t="s">
        <v>5380</v>
      </c>
      <c r="M82" s="69" t="s">
        <v>5388</v>
      </c>
      <c r="N82" s="38"/>
      <c r="O82" s="38"/>
      <c r="P82" s="31"/>
    </row>
    <row r="83" spans="2:16">
      <c r="B83" s="30" t="s">
        <v>1470</v>
      </c>
      <c r="C83" s="38" t="s">
        <v>1471</v>
      </c>
      <c r="D83" s="38" t="s">
        <v>1472</v>
      </c>
      <c r="E83" s="38" t="s">
        <v>3371</v>
      </c>
      <c r="F83" s="38" t="s">
        <v>452</v>
      </c>
      <c r="G83" s="38"/>
      <c r="H83" s="53" t="str">
        <f t="shared" si="1"/>
        <v>citation:martin_innes-01</v>
      </c>
      <c r="I83" s="54"/>
      <c r="J83" s="38" t="s">
        <v>5380</v>
      </c>
      <c r="K83" s="38" t="s">
        <v>5380</v>
      </c>
      <c r="L83" s="38" t="s">
        <v>5380</v>
      </c>
      <c r="M83" s="69" t="s">
        <v>5386</v>
      </c>
      <c r="N83" s="38"/>
      <c r="O83" s="38"/>
      <c r="P83" s="31"/>
    </row>
    <row r="84" spans="2:16">
      <c r="B84" s="30" t="s">
        <v>1473</v>
      </c>
      <c r="C84" s="38" t="s">
        <v>1474</v>
      </c>
      <c r="D84" s="38" t="s">
        <v>1475</v>
      </c>
      <c r="E84" s="38" t="s">
        <v>3372</v>
      </c>
      <c r="F84" s="38" t="s">
        <v>452</v>
      </c>
      <c r="G84" s="38"/>
      <c r="H84" s="53" t="str">
        <f t="shared" si="1"/>
        <v>citation:sarah_tucker-01</v>
      </c>
      <c r="I84" s="54"/>
      <c r="J84" s="38" t="s">
        <v>5380</v>
      </c>
      <c r="K84" s="38" t="s">
        <v>5380</v>
      </c>
      <c r="L84" s="38" t="s">
        <v>5380</v>
      </c>
      <c r="M84" s="69" t="s">
        <v>5386</v>
      </c>
      <c r="N84" s="38"/>
      <c r="O84" s="38"/>
      <c r="P84" s="31"/>
    </row>
    <row r="85" spans="2:16">
      <c r="B85" s="32" t="s">
        <v>1476</v>
      </c>
      <c r="C85" s="39" t="s">
        <v>1186</v>
      </c>
      <c r="D85" s="39" t="s">
        <v>1477</v>
      </c>
      <c r="E85" s="39" t="s">
        <v>3373</v>
      </c>
      <c r="F85" s="39" t="s">
        <v>452</v>
      </c>
      <c r="G85" s="39"/>
      <c r="H85" s="51" t="str">
        <f t="shared" si="1"/>
        <v>citation:will_webberley-01</v>
      </c>
      <c r="I85" s="52"/>
      <c r="J85" s="38" t="s">
        <v>5362</v>
      </c>
      <c r="K85" s="38">
        <v>28</v>
      </c>
      <c r="L85" s="38">
        <v>2</v>
      </c>
      <c r="M85" s="69" t="s">
        <v>5385</v>
      </c>
      <c r="N85" s="39"/>
      <c r="O85" s="39"/>
      <c r="P85" s="34"/>
    </row>
    <row r="86" spans="2:16">
      <c r="B86" s="30" t="s">
        <v>1246</v>
      </c>
      <c r="C86" s="38" t="s">
        <v>248</v>
      </c>
      <c r="D86" s="38" t="s">
        <v>1247</v>
      </c>
      <c r="E86" s="38" t="s">
        <v>3374</v>
      </c>
      <c r="F86" s="38" t="s">
        <v>330</v>
      </c>
      <c r="G86" s="38"/>
      <c r="H86" s="53"/>
      <c r="I86" s="54"/>
      <c r="J86" s="38"/>
      <c r="K86" s="38"/>
      <c r="L86" s="38"/>
      <c r="M86" s="69" t="s">
        <v>5380</v>
      </c>
      <c r="N86" s="38"/>
      <c r="O86" s="38"/>
      <c r="P86" s="31"/>
    </row>
    <row r="87" spans="2:16">
      <c r="B87" s="32" t="s">
        <v>1248</v>
      </c>
      <c r="C87" s="39" t="s">
        <v>1249</v>
      </c>
      <c r="D87" s="39" t="s">
        <v>1250</v>
      </c>
      <c r="E87" s="39" t="s">
        <v>3375</v>
      </c>
      <c r="F87" s="39" t="s">
        <v>330</v>
      </c>
      <c r="G87" s="39"/>
      <c r="H87" s="51"/>
      <c r="I87" s="52"/>
      <c r="J87" s="38"/>
      <c r="K87" s="38"/>
      <c r="L87" s="38"/>
      <c r="M87" s="69" t="s">
        <v>5380</v>
      </c>
      <c r="N87" s="39"/>
      <c r="O87" s="39"/>
      <c r="P87" s="34"/>
    </row>
    <row r="88" spans="2:16">
      <c r="B88" s="32" t="s">
        <v>1478</v>
      </c>
      <c r="C88" s="39" t="s">
        <v>1479</v>
      </c>
      <c r="D88" s="39" t="s">
        <v>1164</v>
      </c>
      <c r="E88" s="39" t="s">
        <v>3376</v>
      </c>
      <c r="F88" s="39" t="s">
        <v>453</v>
      </c>
      <c r="G88" s="39"/>
      <c r="H88" s="51" t="str">
        <f t="shared" si="1"/>
        <v>citation:yi-dong_shen-01</v>
      </c>
      <c r="I88" s="52"/>
      <c r="J88" s="38" t="s">
        <v>5371</v>
      </c>
      <c r="K88" s="38">
        <v>874</v>
      </c>
      <c r="L88" s="38">
        <v>14</v>
      </c>
      <c r="M88" s="69" t="s">
        <v>5391</v>
      </c>
      <c r="N88" s="39"/>
      <c r="O88" s="39"/>
      <c r="P88" s="34"/>
    </row>
    <row r="89" spans="2:16">
      <c r="B89" s="32" t="s">
        <v>1480</v>
      </c>
      <c r="C89" s="39" t="s">
        <v>1481</v>
      </c>
      <c r="D89" s="39" t="s">
        <v>1268</v>
      </c>
      <c r="E89" s="39" t="s">
        <v>3377</v>
      </c>
      <c r="F89" s="39" t="s">
        <v>356</v>
      </c>
      <c r="G89" s="39"/>
      <c r="H89" s="51"/>
      <c r="I89" s="52"/>
      <c r="J89" s="38"/>
      <c r="K89" s="38"/>
      <c r="L89" s="38"/>
      <c r="M89" s="69" t="s">
        <v>5380</v>
      </c>
      <c r="N89" s="39"/>
      <c r="O89" s="39"/>
      <c r="P89" s="34"/>
    </row>
    <row r="90" spans="2:16">
      <c r="B90" s="44" t="s">
        <v>1482</v>
      </c>
      <c r="C90" s="45" t="s">
        <v>1483</v>
      </c>
      <c r="D90" s="45" t="s">
        <v>1484</v>
      </c>
      <c r="E90" s="45" t="s">
        <v>3378</v>
      </c>
      <c r="F90" s="45" t="s">
        <v>456</v>
      </c>
      <c r="G90" s="45"/>
      <c r="H90" s="46" t="str">
        <f t="shared" si="1"/>
        <v>citation:muttukrishnan_rajarajan-01</v>
      </c>
      <c r="I90" s="47"/>
      <c r="J90" s="38" t="s">
        <v>5262</v>
      </c>
      <c r="K90" s="38">
        <v>1412</v>
      </c>
      <c r="L90" s="38">
        <v>20</v>
      </c>
      <c r="M90" s="69" t="s">
        <v>5387</v>
      </c>
      <c r="N90" s="45"/>
      <c r="O90" s="45"/>
      <c r="P90" s="48"/>
    </row>
    <row r="91" spans="2:16">
      <c r="B91" s="28" t="s">
        <v>1251</v>
      </c>
      <c r="C91" s="37" t="s">
        <v>1252</v>
      </c>
      <c r="D91" s="37" t="s">
        <v>1253</v>
      </c>
      <c r="E91" s="37" t="s">
        <v>3379</v>
      </c>
      <c r="F91" s="37" t="s">
        <v>257</v>
      </c>
      <c r="G91" s="37"/>
      <c r="H91" s="49" t="str">
        <f t="shared" si="1"/>
        <v>citation:adrian_perrig-01</v>
      </c>
      <c r="I91" s="50"/>
      <c r="J91" s="38" t="s">
        <v>5043</v>
      </c>
      <c r="K91" s="38">
        <v>44257</v>
      </c>
      <c r="L91" s="38">
        <v>79</v>
      </c>
      <c r="M91" s="69" t="s">
        <v>5385</v>
      </c>
      <c r="N91" s="37"/>
      <c r="O91" s="37"/>
      <c r="P91" s="29"/>
    </row>
    <row r="92" spans="2:16">
      <c r="B92" s="30" t="s">
        <v>1254</v>
      </c>
      <c r="C92" s="38" t="s">
        <v>1255</v>
      </c>
      <c r="D92" s="38" t="s">
        <v>1256</v>
      </c>
      <c r="E92" s="38" t="s">
        <v>3380</v>
      </c>
      <c r="F92" s="38" t="s">
        <v>257</v>
      </c>
      <c r="G92" s="38"/>
      <c r="H92" s="53" t="str">
        <f t="shared" si="1"/>
        <v>citation:avrim_blum-01</v>
      </c>
      <c r="I92" s="54"/>
      <c r="J92" s="38" t="s">
        <v>5067</v>
      </c>
      <c r="K92" s="38">
        <v>20726</v>
      </c>
      <c r="L92" s="38">
        <v>64</v>
      </c>
      <c r="M92" s="69" t="s">
        <v>5384</v>
      </c>
      <c r="N92" s="38"/>
      <c r="O92" s="38"/>
      <c r="P92" s="31"/>
    </row>
    <row r="93" spans="2:16">
      <c r="B93" s="30" t="s">
        <v>1257</v>
      </c>
      <c r="C93" s="38" t="s">
        <v>1258</v>
      </c>
      <c r="D93" s="38" t="s">
        <v>1259</v>
      </c>
      <c r="E93" s="38" t="s">
        <v>3381</v>
      </c>
      <c r="F93" s="38" t="s">
        <v>257</v>
      </c>
      <c r="G93" s="38"/>
      <c r="H93" s="53" t="str">
        <f t="shared" si="1"/>
        <v>citation:balajee_kannan-01</v>
      </c>
      <c r="I93" s="54"/>
      <c r="J93" s="38" t="s">
        <v>5069</v>
      </c>
      <c r="K93" s="38">
        <v>286</v>
      </c>
      <c r="L93" s="38">
        <v>8</v>
      </c>
      <c r="M93" s="69" t="s">
        <v>5386</v>
      </c>
      <c r="N93" s="38"/>
      <c r="O93" s="38"/>
      <c r="P93" s="31"/>
    </row>
    <row r="94" spans="2:16">
      <c r="B94" s="30" t="s">
        <v>1260</v>
      </c>
      <c r="C94" s="38" t="s">
        <v>1261</v>
      </c>
      <c r="D94" s="38" t="s">
        <v>1262</v>
      </c>
      <c r="E94" s="38" t="s">
        <v>3382</v>
      </c>
      <c r="F94" s="38" t="s">
        <v>257</v>
      </c>
      <c r="G94" s="38"/>
      <c r="H94" s="53" t="str">
        <f t="shared" si="1"/>
        <v>citation:bernardine_dias-01</v>
      </c>
      <c r="I94" s="54"/>
      <c r="J94" s="38" t="s">
        <v>5071</v>
      </c>
      <c r="K94" s="38">
        <v>3443</v>
      </c>
      <c r="L94" s="38">
        <v>26</v>
      </c>
      <c r="M94" s="69" t="s">
        <v>5388</v>
      </c>
      <c r="N94" s="38"/>
      <c r="O94" s="38"/>
      <c r="P94" s="31"/>
    </row>
    <row r="95" spans="2:16">
      <c r="B95" s="30" t="s">
        <v>1263</v>
      </c>
      <c r="C95" s="38" t="s">
        <v>1264</v>
      </c>
      <c r="D95" s="38" t="s">
        <v>1265</v>
      </c>
      <c r="E95" s="38" t="s">
        <v>3383</v>
      </c>
      <c r="F95" s="38" t="s">
        <v>257</v>
      </c>
      <c r="G95" s="38"/>
      <c r="H95" s="53" t="str">
        <f t="shared" si="1"/>
        <v>citation:christian_lebiere-01</v>
      </c>
      <c r="I95" s="54"/>
      <c r="J95" s="38" t="s">
        <v>5380</v>
      </c>
      <c r="K95" s="38" t="s">
        <v>5380</v>
      </c>
      <c r="L95" s="38" t="s">
        <v>5380</v>
      </c>
      <c r="M95" s="69" t="s">
        <v>5384</v>
      </c>
      <c r="N95" s="38"/>
      <c r="O95" s="38"/>
      <c r="P95" s="31"/>
    </row>
    <row r="96" spans="2:16">
      <c r="B96" s="30" t="s">
        <v>1266</v>
      </c>
      <c r="C96" s="38" t="s">
        <v>1267</v>
      </c>
      <c r="D96" s="38" t="s">
        <v>1268</v>
      </c>
      <c r="E96" s="38" t="s">
        <v>3384</v>
      </c>
      <c r="F96" s="38" t="s">
        <v>257</v>
      </c>
      <c r="G96" s="38"/>
      <c r="H96" s="53"/>
      <c r="I96" s="54"/>
      <c r="J96" s="38"/>
      <c r="K96" s="38"/>
      <c r="L96" s="38"/>
      <c r="M96" s="69" t="s">
        <v>5380</v>
      </c>
      <c r="N96" s="38"/>
      <c r="O96" s="38"/>
      <c r="P96" s="31"/>
    </row>
    <row r="97" spans="2:16">
      <c r="B97" s="30" t="s">
        <v>1269</v>
      </c>
      <c r="C97" s="38" t="s">
        <v>1270</v>
      </c>
      <c r="D97" s="38" t="s">
        <v>1271</v>
      </c>
      <c r="E97" s="38" t="s">
        <v>3385</v>
      </c>
      <c r="F97" s="38" t="s">
        <v>257</v>
      </c>
      <c r="G97" s="38"/>
      <c r="H97" s="53" t="str">
        <f t="shared" si="1"/>
        <v>citation:dawn_song-01</v>
      </c>
      <c r="I97" s="54"/>
      <c r="J97" s="38" t="s">
        <v>5111</v>
      </c>
      <c r="K97" s="38">
        <v>30981</v>
      </c>
      <c r="L97" s="38">
        <v>76</v>
      </c>
      <c r="M97" s="69" t="s">
        <v>5386</v>
      </c>
      <c r="N97" s="38"/>
      <c r="O97" s="38"/>
      <c r="P97" s="31"/>
    </row>
    <row r="98" spans="2:16">
      <c r="B98" s="30" t="s">
        <v>1272</v>
      </c>
      <c r="C98" s="38" t="s">
        <v>1273</v>
      </c>
      <c r="D98" s="38" t="s">
        <v>1274</v>
      </c>
      <c r="E98" s="38" t="s">
        <v>3386</v>
      </c>
      <c r="F98" s="38" t="s">
        <v>257</v>
      </c>
      <c r="G98" s="38"/>
      <c r="H98" s="53" t="str">
        <f t="shared" si="1"/>
        <v>citation:don_morrison-01</v>
      </c>
      <c r="I98" s="54"/>
      <c r="J98" s="38" t="s">
        <v>5380</v>
      </c>
      <c r="K98" s="38" t="s">
        <v>5380</v>
      </c>
      <c r="L98" s="38" t="s">
        <v>5380</v>
      </c>
      <c r="M98" s="69" t="s">
        <v>5391</v>
      </c>
      <c r="N98" s="38"/>
      <c r="O98" s="38"/>
      <c r="P98" s="31"/>
    </row>
    <row r="99" spans="2:16">
      <c r="B99" s="30" t="s">
        <v>1275</v>
      </c>
      <c r="C99" s="38" t="s">
        <v>1276</v>
      </c>
      <c r="D99" s="38" t="s">
        <v>1277</v>
      </c>
      <c r="E99" s="38" t="s">
        <v>3387</v>
      </c>
      <c r="F99" s="38" t="s">
        <v>257</v>
      </c>
      <c r="G99" s="38"/>
      <c r="H99" s="53" t="str">
        <f t="shared" si="1"/>
        <v>citation:felipe_meneguzzi-01</v>
      </c>
      <c r="I99" s="54"/>
      <c r="J99" s="38" t="s">
        <v>5138</v>
      </c>
      <c r="K99" s="38">
        <v>594</v>
      </c>
      <c r="L99" s="38">
        <v>12</v>
      </c>
      <c r="M99" s="69" t="s">
        <v>5384</v>
      </c>
      <c r="N99" s="38"/>
      <c r="O99" s="38"/>
      <c r="P99" s="31"/>
    </row>
    <row r="100" spans="2:16">
      <c r="B100" s="30" t="s">
        <v>1278</v>
      </c>
      <c r="C100" s="38" t="s">
        <v>1279</v>
      </c>
      <c r="D100" s="38" t="s">
        <v>1280</v>
      </c>
      <c r="E100" s="38" t="s">
        <v>3388</v>
      </c>
      <c r="F100" s="38" t="s">
        <v>257</v>
      </c>
      <c r="G100" s="38"/>
      <c r="H100" s="53"/>
      <c r="I100" s="54"/>
      <c r="J100" s="38"/>
      <c r="K100" s="38"/>
      <c r="L100" s="38"/>
      <c r="M100" s="69" t="s">
        <v>5380</v>
      </c>
      <c r="N100" s="38"/>
      <c r="O100" s="38"/>
      <c r="P100" s="31"/>
    </row>
    <row r="101" spans="2:16">
      <c r="B101" s="30" t="s">
        <v>1281</v>
      </c>
      <c r="C101" s="38" t="s">
        <v>1282</v>
      </c>
      <c r="D101" s="38" t="s">
        <v>1107</v>
      </c>
      <c r="E101" s="38" t="s">
        <v>3389</v>
      </c>
      <c r="F101" s="38" t="s">
        <v>257</v>
      </c>
      <c r="G101" s="38"/>
      <c r="H101" s="53" t="str">
        <f t="shared" si="1"/>
        <v>citation:haowen_chan-01</v>
      </c>
      <c r="I101" s="54"/>
      <c r="J101" s="38" t="s">
        <v>5380</v>
      </c>
      <c r="K101" s="38" t="s">
        <v>5380</v>
      </c>
      <c r="L101" s="38" t="s">
        <v>5380</v>
      </c>
      <c r="M101" s="69" t="s">
        <v>5386</v>
      </c>
      <c r="N101" s="38"/>
      <c r="O101" s="38"/>
      <c r="P101" s="31"/>
    </row>
    <row r="102" spans="2:16">
      <c r="B102" s="30" t="s">
        <v>1283</v>
      </c>
      <c r="C102" s="38" t="s">
        <v>1284</v>
      </c>
      <c r="D102" s="38" t="s">
        <v>1285</v>
      </c>
      <c r="E102" s="38" t="s">
        <v>3390</v>
      </c>
      <c r="F102" s="38" t="s">
        <v>257</v>
      </c>
      <c r="G102" s="38"/>
      <c r="H102" s="53" t="str">
        <f t="shared" si="1"/>
        <v>citation:jean_oh-01</v>
      </c>
      <c r="I102" s="54"/>
      <c r="J102" s="38" t="s">
        <v>5184</v>
      </c>
      <c r="K102" s="38">
        <v>729</v>
      </c>
      <c r="L102" s="38">
        <v>11</v>
      </c>
      <c r="M102" s="69" t="s">
        <v>5384</v>
      </c>
      <c r="N102" s="38"/>
      <c r="O102" s="38"/>
      <c r="P102" s="31"/>
    </row>
    <row r="103" spans="2:16">
      <c r="B103" s="30" t="s">
        <v>1286</v>
      </c>
      <c r="C103" s="38" t="s">
        <v>1287</v>
      </c>
      <c r="D103" s="38" t="s">
        <v>1288</v>
      </c>
      <c r="E103" s="38" t="s">
        <v>3391</v>
      </c>
      <c r="F103" s="38" t="s">
        <v>257</v>
      </c>
      <c r="G103" s="38"/>
      <c r="H103" s="53" t="str">
        <f t="shared" si="1"/>
        <v>citation:joseph_giampapa-01</v>
      </c>
      <c r="I103" s="54"/>
      <c r="J103" s="38" t="s">
        <v>5380</v>
      </c>
      <c r="K103" s="38" t="s">
        <v>5380</v>
      </c>
      <c r="L103" s="38" t="s">
        <v>5380</v>
      </c>
      <c r="M103" s="69" t="s">
        <v>5386</v>
      </c>
      <c r="N103" s="38"/>
      <c r="O103" s="38"/>
      <c r="P103" s="31"/>
    </row>
    <row r="104" spans="2:16">
      <c r="B104" s="30" t="s">
        <v>1289</v>
      </c>
      <c r="C104" s="38" t="s">
        <v>1148</v>
      </c>
      <c r="D104" s="38" t="s">
        <v>1290</v>
      </c>
      <c r="E104" s="38" t="s">
        <v>3392</v>
      </c>
      <c r="F104" s="38" t="s">
        <v>257</v>
      </c>
      <c r="G104" s="38"/>
      <c r="H104" s="53" t="str">
        <f t="shared" si="1"/>
        <v>citation:juan_caballero-01</v>
      </c>
      <c r="I104" s="54"/>
      <c r="J104" s="38" t="s">
        <v>5212</v>
      </c>
      <c r="K104" s="38">
        <v>1767</v>
      </c>
      <c r="L104" s="38">
        <v>17</v>
      </c>
      <c r="M104" s="69" t="s">
        <v>5387</v>
      </c>
      <c r="N104" s="38"/>
      <c r="O104" s="38"/>
      <c r="P104" s="31"/>
    </row>
    <row r="105" spans="2:16">
      <c r="B105" s="30" t="s">
        <v>254</v>
      </c>
      <c r="C105" s="38" t="s">
        <v>255</v>
      </c>
      <c r="D105" s="38" t="s">
        <v>256</v>
      </c>
      <c r="E105" s="38" t="s">
        <v>3393</v>
      </c>
      <c r="F105" s="38" t="s">
        <v>257</v>
      </c>
      <c r="G105" s="38"/>
      <c r="H105" s="53" t="str">
        <f t="shared" si="1"/>
        <v>citation:katia_sycara-01</v>
      </c>
      <c r="I105" s="54"/>
      <c r="J105" s="38" t="s">
        <v>5218</v>
      </c>
      <c r="K105" s="38">
        <v>36317</v>
      </c>
      <c r="L105" s="38">
        <v>82</v>
      </c>
      <c r="M105" s="69" t="s">
        <v>5385</v>
      </c>
      <c r="N105" s="38"/>
      <c r="O105" s="38" t="s">
        <v>258</v>
      </c>
      <c r="P105" s="31" t="s">
        <v>259</v>
      </c>
    </row>
    <row r="106" spans="2:16">
      <c r="B106" s="30" t="s">
        <v>1291</v>
      </c>
      <c r="C106" s="38" t="s">
        <v>3394</v>
      </c>
      <c r="D106" s="38" t="s">
        <v>1292</v>
      </c>
      <c r="E106" s="38" t="s">
        <v>3395</v>
      </c>
      <c r="F106" s="38" t="s">
        <v>257</v>
      </c>
      <c r="G106" s="38"/>
      <c r="H106" s="53" t="str">
        <f t="shared" si="1"/>
        <v>citation:min_guang_kang-01</v>
      </c>
      <c r="I106" s="54"/>
      <c r="J106" s="38" t="s">
        <v>5380</v>
      </c>
      <c r="K106" s="38" t="s">
        <v>5380</v>
      </c>
      <c r="L106" s="38" t="s">
        <v>5380</v>
      </c>
      <c r="M106" s="69" t="s">
        <v>5385</v>
      </c>
      <c r="N106" s="38"/>
      <c r="O106" s="38"/>
      <c r="P106" s="31"/>
    </row>
    <row r="107" spans="2:16">
      <c r="B107" s="30" t="s">
        <v>1293</v>
      </c>
      <c r="C107" s="38" t="s">
        <v>1294</v>
      </c>
      <c r="D107" s="38" t="s">
        <v>1295</v>
      </c>
      <c r="E107" s="38" t="s">
        <v>3396</v>
      </c>
      <c r="F107" s="38" t="s">
        <v>257</v>
      </c>
      <c r="G107" s="38"/>
      <c r="H107" s="53" t="str">
        <f t="shared" si="1"/>
        <v>citation:nilanjan_chakraborty-01</v>
      </c>
      <c r="I107" s="54"/>
      <c r="J107" s="38" t="s">
        <v>5268</v>
      </c>
      <c r="K107" s="38">
        <v>529</v>
      </c>
      <c r="L107" s="38">
        <v>13</v>
      </c>
      <c r="M107" s="69" t="s">
        <v>5387</v>
      </c>
      <c r="N107" s="38"/>
      <c r="O107" s="38"/>
      <c r="P107" s="31"/>
    </row>
    <row r="108" spans="2:16">
      <c r="B108" s="30" t="s">
        <v>1296</v>
      </c>
      <c r="C108" s="38" t="s">
        <v>1297</v>
      </c>
      <c r="D108" s="38" t="s">
        <v>1298</v>
      </c>
      <c r="E108" s="38" t="s">
        <v>3397</v>
      </c>
      <c r="F108" s="38" t="s">
        <v>257</v>
      </c>
      <c r="G108" s="38"/>
      <c r="H108" s="53"/>
      <c r="I108" s="54"/>
      <c r="J108" s="38"/>
      <c r="K108" s="38"/>
      <c r="L108" s="38"/>
      <c r="M108" s="69" t="s">
        <v>5380</v>
      </c>
      <c r="N108" s="38"/>
      <c r="O108" s="38"/>
      <c r="P108" s="31"/>
    </row>
    <row r="109" spans="2:16">
      <c r="B109" s="30" t="s">
        <v>1299</v>
      </c>
      <c r="C109" s="38" t="s">
        <v>1120</v>
      </c>
      <c r="D109" s="38" t="s">
        <v>1300</v>
      </c>
      <c r="E109" s="38" t="s">
        <v>3398</v>
      </c>
      <c r="F109" s="38" t="s">
        <v>257</v>
      </c>
      <c r="G109" s="38"/>
      <c r="H109" s="53" t="str">
        <f t="shared" si="1"/>
        <v>citation:paul_scerri-01</v>
      </c>
      <c r="I109" s="54"/>
      <c r="J109" s="38" t="s">
        <v>5279</v>
      </c>
      <c r="K109" s="38">
        <v>2637</v>
      </c>
      <c r="L109" s="38">
        <v>26</v>
      </c>
      <c r="M109" s="69" t="s">
        <v>5391</v>
      </c>
      <c r="N109" s="38"/>
      <c r="O109" s="38"/>
      <c r="P109" s="31"/>
    </row>
    <row r="110" spans="2:16">
      <c r="B110" s="30" t="s">
        <v>1301</v>
      </c>
      <c r="C110" s="38" t="s">
        <v>1302</v>
      </c>
      <c r="D110" s="38" t="s">
        <v>1303</v>
      </c>
      <c r="E110" s="38" t="s">
        <v>3399</v>
      </c>
      <c r="F110" s="38" t="s">
        <v>257</v>
      </c>
      <c r="G110" s="38"/>
      <c r="H110" s="53" t="str">
        <f t="shared" si="1"/>
        <v>citation:pongsin_pooksman-01</v>
      </c>
      <c r="I110" s="54"/>
      <c r="J110" s="38" t="s">
        <v>5380</v>
      </c>
      <c r="K110" s="38" t="s">
        <v>5380</v>
      </c>
      <c r="L110" s="38" t="s">
        <v>5380</v>
      </c>
      <c r="M110" s="69" t="s">
        <v>5387</v>
      </c>
      <c r="N110" s="38"/>
      <c r="O110" s="38"/>
      <c r="P110" s="31"/>
    </row>
    <row r="111" spans="2:16">
      <c r="B111" s="30" t="s">
        <v>1304</v>
      </c>
      <c r="C111" s="38" t="s">
        <v>1305</v>
      </c>
      <c r="D111" s="38" t="s">
        <v>1306</v>
      </c>
      <c r="E111" s="38" t="s">
        <v>3400</v>
      </c>
      <c r="F111" s="38" t="s">
        <v>257</v>
      </c>
      <c r="G111" s="38"/>
      <c r="H111" s="53"/>
      <c r="I111" s="54"/>
      <c r="J111" s="38"/>
      <c r="K111" s="38"/>
      <c r="L111" s="38"/>
      <c r="M111" s="69" t="s">
        <v>5380</v>
      </c>
      <c r="N111" s="38"/>
      <c r="O111" s="38"/>
      <c r="P111" s="31"/>
    </row>
    <row r="112" spans="2:16">
      <c r="B112" s="30" t="s">
        <v>1307</v>
      </c>
      <c r="C112" s="38" t="s">
        <v>1308</v>
      </c>
      <c r="D112" s="38" t="s">
        <v>1309</v>
      </c>
      <c r="E112" s="38" t="s">
        <v>3401</v>
      </c>
      <c r="F112" s="38" t="s">
        <v>257</v>
      </c>
      <c r="G112" s="38"/>
      <c r="H112" s="53" t="str">
        <f t="shared" si="1"/>
        <v>citation:shobha_venkataraman-01</v>
      </c>
      <c r="I112" s="54"/>
      <c r="J112" s="38" t="s">
        <v>5323</v>
      </c>
      <c r="K112" s="38">
        <v>1425</v>
      </c>
      <c r="L112" s="38">
        <v>11</v>
      </c>
      <c r="M112" s="69" t="s">
        <v>5387</v>
      </c>
      <c r="N112" s="38"/>
      <c r="O112" s="38"/>
      <c r="P112" s="31"/>
    </row>
    <row r="113" spans="2:16">
      <c r="B113" s="30" t="s">
        <v>1310</v>
      </c>
      <c r="C113" s="38" t="s">
        <v>1311</v>
      </c>
      <c r="D113" s="38" t="s">
        <v>1268</v>
      </c>
      <c r="E113" s="38" t="s">
        <v>3402</v>
      </c>
      <c r="F113" s="38" t="s">
        <v>257</v>
      </c>
      <c r="G113" s="38"/>
      <c r="H113" s="53"/>
      <c r="I113" s="54"/>
      <c r="J113" s="38"/>
      <c r="K113" s="38"/>
      <c r="L113" s="38"/>
      <c r="M113" s="69" t="s">
        <v>5380</v>
      </c>
      <c r="N113" s="38"/>
      <c r="O113" s="38"/>
      <c r="P113" s="31"/>
    </row>
    <row r="114" spans="2:16">
      <c r="B114" s="30" t="s">
        <v>1312</v>
      </c>
      <c r="C114" s="38" t="s">
        <v>1313</v>
      </c>
      <c r="D114" s="38" t="s">
        <v>1314</v>
      </c>
      <c r="E114" s="38" t="s">
        <v>3403</v>
      </c>
      <c r="F114" s="38" t="s">
        <v>257</v>
      </c>
      <c r="G114" s="38"/>
      <c r="H114" s="53"/>
      <c r="I114" s="54"/>
      <c r="J114" s="38"/>
      <c r="K114" s="38"/>
      <c r="L114" s="38"/>
      <c r="M114" s="69" t="s">
        <v>5380</v>
      </c>
      <c r="N114" s="38"/>
      <c r="O114" s="38"/>
      <c r="P114" s="31"/>
    </row>
    <row r="115" spans="2:16">
      <c r="B115" s="30" t="s">
        <v>1315</v>
      </c>
      <c r="C115" s="38" t="s">
        <v>1316</v>
      </c>
      <c r="D115" s="38" t="s">
        <v>1317</v>
      </c>
      <c r="E115" s="38" t="s">
        <v>3404</v>
      </c>
      <c r="F115" s="38" t="s">
        <v>257</v>
      </c>
      <c r="G115" s="38"/>
      <c r="H115" s="53"/>
      <c r="I115" s="54"/>
      <c r="J115" s="38"/>
      <c r="K115" s="38"/>
      <c r="L115" s="38"/>
      <c r="M115" s="69" t="s">
        <v>5380</v>
      </c>
      <c r="N115" s="38"/>
      <c r="O115" s="38"/>
      <c r="P115" s="31"/>
    </row>
    <row r="116" spans="2:16">
      <c r="B116" s="30" t="s">
        <v>1318</v>
      </c>
      <c r="C116" s="38" t="s">
        <v>1319</v>
      </c>
      <c r="D116" s="38" t="s">
        <v>1320</v>
      </c>
      <c r="E116" s="38" t="s">
        <v>3405</v>
      </c>
      <c r="F116" s="38" t="s">
        <v>257</v>
      </c>
      <c r="G116" s="38"/>
      <c r="H116" s="53" t="str">
        <f t="shared" si="1"/>
        <v>citation:virgil_gligor-01</v>
      </c>
      <c r="I116" s="54"/>
      <c r="J116" s="38" t="s">
        <v>5380</v>
      </c>
      <c r="K116" s="38" t="s">
        <v>5380</v>
      </c>
      <c r="L116" s="38" t="s">
        <v>5380</v>
      </c>
      <c r="M116" s="69" t="s">
        <v>5388</v>
      </c>
      <c r="N116" s="38"/>
      <c r="O116" s="38"/>
      <c r="P116" s="31"/>
    </row>
    <row r="117" spans="2:16">
      <c r="B117" s="32" t="s">
        <v>1321</v>
      </c>
      <c r="C117" s="39" t="s">
        <v>1322</v>
      </c>
      <c r="D117" s="39" t="s">
        <v>1323</v>
      </c>
      <c r="E117" s="39" t="s">
        <v>3406</v>
      </c>
      <c r="F117" s="39" t="s">
        <v>257</v>
      </c>
      <c r="G117" s="39"/>
      <c r="H117" s="51" t="str">
        <f t="shared" si="1"/>
        <v>citation:yuqing_tang-01</v>
      </c>
      <c r="I117" s="52"/>
      <c r="J117" s="38" t="s">
        <v>5376</v>
      </c>
      <c r="K117" s="38">
        <v>405</v>
      </c>
      <c r="L117" s="38">
        <v>12</v>
      </c>
      <c r="M117" s="69" t="s">
        <v>5385</v>
      </c>
      <c r="N117" s="39"/>
      <c r="O117" s="39"/>
      <c r="P117" s="34"/>
    </row>
    <row r="118" spans="2:16">
      <c r="B118" s="28" t="s">
        <v>1324</v>
      </c>
      <c r="C118" s="37" t="s">
        <v>1325</v>
      </c>
      <c r="D118" s="37" t="s">
        <v>1326</v>
      </c>
      <c r="E118" s="37" t="s">
        <v>3407</v>
      </c>
      <c r="F118" s="37" t="s">
        <v>440</v>
      </c>
      <c r="G118" s="37"/>
      <c r="H118" s="49" t="str">
        <f t="shared" si="1"/>
        <v>citation:claudia_angelini-01</v>
      </c>
      <c r="I118" s="50"/>
      <c r="J118" s="38" t="s">
        <v>5100</v>
      </c>
      <c r="K118" s="38">
        <v>721</v>
      </c>
      <c r="L118" s="38">
        <v>14</v>
      </c>
      <c r="M118" s="69" t="s">
        <v>5387</v>
      </c>
      <c r="N118" s="37"/>
      <c r="O118" s="37"/>
      <c r="P118" s="29"/>
    </row>
    <row r="119" spans="2:16">
      <c r="B119" s="30" t="s">
        <v>1327</v>
      </c>
      <c r="C119" s="38" t="s">
        <v>1328</v>
      </c>
      <c r="D119" s="38" t="s">
        <v>3408</v>
      </c>
      <c r="E119" s="38" t="s">
        <v>3409</v>
      </c>
      <c r="F119" s="38" t="s">
        <v>440</v>
      </c>
      <c r="G119" s="38"/>
      <c r="H119" s="53" t="str">
        <f t="shared" si="1"/>
        <v>citation:italia_de_feis-01</v>
      </c>
      <c r="I119" s="54"/>
      <c r="J119" s="38" t="s">
        <v>5178</v>
      </c>
      <c r="K119" s="38">
        <v>567</v>
      </c>
      <c r="L119" s="38">
        <v>9</v>
      </c>
      <c r="M119" s="69" t="s">
        <v>5387</v>
      </c>
      <c r="N119" s="38"/>
      <c r="O119" s="38"/>
      <c r="P119" s="31"/>
    </row>
    <row r="120" spans="2:16">
      <c r="B120" s="32" t="s">
        <v>1329</v>
      </c>
      <c r="C120" s="39" t="s">
        <v>1330</v>
      </c>
      <c r="D120" s="39" t="s">
        <v>1331</v>
      </c>
      <c r="E120" s="39" t="s">
        <v>3410</v>
      </c>
      <c r="F120" s="39" t="s">
        <v>440</v>
      </c>
      <c r="G120" s="39"/>
      <c r="H120" s="51" t="str">
        <f t="shared" si="1"/>
        <v>citation:luisa_cutillo-01</v>
      </c>
      <c r="I120" s="52"/>
      <c r="J120" s="38" t="s">
        <v>5234</v>
      </c>
      <c r="K120" s="38">
        <v>533</v>
      </c>
      <c r="L120" s="38">
        <v>9</v>
      </c>
      <c r="M120" s="69" t="s">
        <v>5388</v>
      </c>
      <c r="N120" s="39"/>
      <c r="O120" s="39"/>
      <c r="P120" s="34"/>
    </row>
    <row r="121" spans="2:16">
      <c r="B121" s="30" t="s">
        <v>1485</v>
      </c>
      <c r="C121" s="38" t="s">
        <v>1486</v>
      </c>
      <c r="D121" s="38" t="s">
        <v>1487</v>
      </c>
      <c r="E121" s="38" t="s">
        <v>3411</v>
      </c>
      <c r="F121" s="38" t="s">
        <v>459</v>
      </c>
      <c r="G121" s="38"/>
      <c r="H121" s="53"/>
      <c r="I121" s="54"/>
      <c r="J121" s="38"/>
      <c r="K121" s="38"/>
      <c r="L121" s="38"/>
      <c r="M121" s="69" t="s">
        <v>5380</v>
      </c>
      <c r="N121" s="38"/>
      <c r="O121" s="38"/>
      <c r="P121" s="31"/>
    </row>
    <row r="122" spans="2:16">
      <c r="B122" s="30" t="s">
        <v>1488</v>
      </c>
      <c r="C122" s="38" t="s">
        <v>1489</v>
      </c>
      <c r="D122" s="38" t="s">
        <v>1490</v>
      </c>
      <c r="E122" s="38" t="s">
        <v>3412</v>
      </c>
      <c r="F122" s="38" t="s">
        <v>459</v>
      </c>
      <c r="G122" s="38"/>
      <c r="H122" s="53"/>
      <c r="I122" s="54"/>
      <c r="J122" s="38"/>
      <c r="K122" s="38"/>
      <c r="L122" s="38"/>
      <c r="M122" s="69" t="s">
        <v>5380</v>
      </c>
      <c r="N122" s="38"/>
      <c r="O122" s="38"/>
      <c r="P122" s="31"/>
    </row>
    <row r="123" spans="2:16">
      <c r="B123" s="30" t="s">
        <v>1491</v>
      </c>
      <c r="C123" s="38" t="s">
        <v>1492</v>
      </c>
      <c r="D123" s="38" t="s">
        <v>1493</v>
      </c>
      <c r="E123" s="38" t="s">
        <v>3413</v>
      </c>
      <c r="F123" s="38" t="s">
        <v>459</v>
      </c>
      <c r="G123" s="38"/>
      <c r="H123" s="53" t="str">
        <f t="shared" si="1"/>
        <v>citation:hang_zhao-01</v>
      </c>
      <c r="I123" s="54"/>
      <c r="J123" s="38" t="s">
        <v>5159</v>
      </c>
      <c r="K123" s="38">
        <v>279</v>
      </c>
      <c r="L123" s="38">
        <v>9</v>
      </c>
      <c r="M123" s="69" t="s">
        <v>5388</v>
      </c>
      <c r="N123" s="38"/>
      <c r="O123" s="38"/>
      <c r="P123" s="31"/>
    </row>
    <row r="124" spans="2:16">
      <c r="B124" s="30" t="s">
        <v>1494</v>
      </c>
      <c r="C124" s="38" t="s">
        <v>1495</v>
      </c>
      <c r="D124" s="38" t="s">
        <v>1496</v>
      </c>
      <c r="E124" s="38" t="s">
        <v>3414</v>
      </c>
      <c r="F124" s="38" t="s">
        <v>459</v>
      </c>
      <c r="G124" s="38"/>
      <c r="H124" s="53" t="str">
        <f t="shared" si="1"/>
        <v>citation:henning_schulzrinne-01</v>
      </c>
      <c r="I124" s="54"/>
      <c r="J124" s="38" t="s">
        <v>5162</v>
      </c>
      <c r="K124" s="38">
        <v>45602</v>
      </c>
      <c r="L124" s="38">
        <v>80</v>
      </c>
      <c r="M124" s="69" t="s">
        <v>5384</v>
      </c>
      <c r="N124" s="38"/>
      <c r="O124" s="38"/>
      <c r="P124" s="31"/>
    </row>
    <row r="125" spans="2:16">
      <c r="B125" s="30" t="s">
        <v>1497</v>
      </c>
      <c r="C125" s="38" t="s">
        <v>1498</v>
      </c>
      <c r="D125" s="38" t="s">
        <v>1499</v>
      </c>
      <c r="E125" s="38" t="s">
        <v>3415</v>
      </c>
      <c r="F125" s="38" t="s">
        <v>459</v>
      </c>
      <c r="G125" s="38"/>
      <c r="H125" s="53" t="str">
        <f t="shared" si="1"/>
        <v>citation:mariana_raykova-01</v>
      </c>
      <c r="I125" s="54"/>
      <c r="J125" s="38" t="s">
        <v>5240</v>
      </c>
      <c r="K125" s="38">
        <v>1418</v>
      </c>
      <c r="L125" s="38">
        <v>15</v>
      </c>
      <c r="M125" s="69" t="s">
        <v>5384</v>
      </c>
      <c r="N125" s="38"/>
      <c r="O125" s="38"/>
      <c r="P125" s="31"/>
    </row>
    <row r="126" spans="2:16">
      <c r="B126" s="30" t="s">
        <v>1500</v>
      </c>
      <c r="C126" s="38" t="s">
        <v>1501</v>
      </c>
      <c r="D126" s="38" t="s">
        <v>1502</v>
      </c>
      <c r="E126" s="38" t="s">
        <v>3416</v>
      </c>
      <c r="F126" s="38" t="s">
        <v>459</v>
      </c>
      <c r="G126" s="38"/>
      <c r="H126" s="53"/>
      <c r="I126" s="54"/>
      <c r="J126" s="38"/>
      <c r="K126" s="38"/>
      <c r="L126" s="38"/>
      <c r="M126" s="69" t="s">
        <v>5380</v>
      </c>
      <c r="N126" s="38"/>
      <c r="O126" s="38"/>
      <c r="P126" s="31"/>
    </row>
    <row r="127" spans="2:16">
      <c r="B127" s="30" t="s">
        <v>1503</v>
      </c>
      <c r="C127" s="38" t="s">
        <v>1504</v>
      </c>
      <c r="D127" s="38" t="s">
        <v>1505</v>
      </c>
      <c r="E127" s="38" t="s">
        <v>3417</v>
      </c>
      <c r="F127" s="38" t="s">
        <v>459</v>
      </c>
      <c r="G127" s="38"/>
      <c r="H127" s="53" t="str">
        <f t="shared" si="1"/>
        <v>citation:shih-fu_chang-01</v>
      </c>
      <c r="I127" s="54"/>
      <c r="J127" s="38" t="s">
        <v>5320</v>
      </c>
      <c r="K127" s="38">
        <v>33823</v>
      </c>
      <c r="L127" s="38">
        <v>88</v>
      </c>
      <c r="M127" s="69" t="s">
        <v>5387</v>
      </c>
      <c r="N127" s="38"/>
      <c r="O127" s="38"/>
      <c r="P127" s="31"/>
    </row>
    <row r="128" spans="2:16">
      <c r="B128" s="30" t="s">
        <v>1506</v>
      </c>
      <c r="C128" s="38" t="s">
        <v>1507</v>
      </c>
      <c r="D128" s="38" t="s">
        <v>1508</v>
      </c>
      <c r="E128" s="38" t="s">
        <v>3418</v>
      </c>
      <c r="F128" s="38" t="s">
        <v>459</v>
      </c>
      <c r="G128" s="38"/>
      <c r="H128" s="53" t="str">
        <f t="shared" si="1"/>
        <v>citation:shruti_gandhi-01</v>
      </c>
      <c r="I128" s="54"/>
      <c r="J128" s="38" t="s">
        <v>5380</v>
      </c>
      <c r="K128" s="38" t="s">
        <v>5380</v>
      </c>
      <c r="L128" s="38" t="s">
        <v>5380</v>
      </c>
      <c r="M128" s="69" t="s">
        <v>5384</v>
      </c>
      <c r="N128" s="38"/>
      <c r="O128" s="38"/>
      <c r="P128" s="31"/>
    </row>
    <row r="129" spans="2:16">
      <c r="B129" s="30" t="s">
        <v>1509</v>
      </c>
      <c r="C129" s="38" t="s">
        <v>1510</v>
      </c>
      <c r="D129" s="38" t="s">
        <v>1511</v>
      </c>
      <c r="E129" s="38" t="s">
        <v>3419</v>
      </c>
      <c r="F129" s="38" t="s">
        <v>459</v>
      </c>
      <c r="G129" s="38"/>
      <c r="H129" s="53" t="str">
        <f t="shared" si="1"/>
        <v>citation:steve_bellovin-01</v>
      </c>
      <c r="I129" s="54"/>
      <c r="J129" s="38" t="s">
        <v>5380</v>
      </c>
      <c r="K129" s="38" t="s">
        <v>5380</v>
      </c>
      <c r="L129" s="38" t="s">
        <v>5380</v>
      </c>
      <c r="M129" s="69" t="s">
        <v>5385</v>
      </c>
      <c r="N129" s="38"/>
      <c r="O129" s="38"/>
      <c r="P129" s="31"/>
    </row>
    <row r="130" spans="2:16">
      <c r="B130" s="30" t="s">
        <v>1512</v>
      </c>
      <c r="C130" s="38" t="s">
        <v>1513</v>
      </c>
      <c r="D130" s="38" t="s">
        <v>1514</v>
      </c>
      <c r="E130" s="38" t="s">
        <v>3420</v>
      </c>
      <c r="F130" s="38" t="s">
        <v>459</v>
      </c>
      <c r="G130" s="38"/>
      <c r="H130" s="53" t="str">
        <f t="shared" si="1"/>
        <v>citation:vishal_singh-01</v>
      </c>
      <c r="I130" s="54"/>
      <c r="J130" s="38" t="s">
        <v>5380</v>
      </c>
      <c r="K130" s="38" t="s">
        <v>5380</v>
      </c>
      <c r="L130" s="38" t="s">
        <v>5380</v>
      </c>
      <c r="M130" s="69" t="s">
        <v>5387</v>
      </c>
      <c r="N130" s="38"/>
      <c r="O130" s="38"/>
      <c r="P130" s="31"/>
    </row>
    <row r="131" spans="2:16">
      <c r="B131" s="32" t="s">
        <v>1515</v>
      </c>
      <c r="C131" s="39" t="s">
        <v>1516</v>
      </c>
      <c r="D131" s="39" t="s">
        <v>1517</v>
      </c>
      <c r="E131" s="39" t="s">
        <v>3421</v>
      </c>
      <c r="F131" s="39" t="s">
        <v>459</v>
      </c>
      <c r="G131" s="39"/>
      <c r="H131" s="51" t="str">
        <f t="shared" si="1"/>
        <v>citation:yevgeniy_vahlis-01</v>
      </c>
      <c r="I131" s="52"/>
      <c r="J131" s="38" t="s">
        <v>5370</v>
      </c>
      <c r="K131" s="38">
        <v>445</v>
      </c>
      <c r="L131" s="38">
        <v>7</v>
      </c>
      <c r="M131" s="69" t="s">
        <v>5387</v>
      </c>
      <c r="N131" s="39"/>
      <c r="O131" s="39"/>
      <c r="P131" s="34"/>
    </row>
    <row r="132" spans="2:16">
      <c r="B132" s="32" t="s">
        <v>1518</v>
      </c>
      <c r="C132" s="39" t="s">
        <v>1519</v>
      </c>
      <c r="D132" s="39" t="s">
        <v>1520</v>
      </c>
      <c r="E132" s="39" t="s">
        <v>3422</v>
      </c>
      <c r="F132" s="39" t="s">
        <v>461</v>
      </c>
      <c r="G132" s="39"/>
      <c r="H132" s="51"/>
      <c r="I132" s="52"/>
      <c r="J132" s="38"/>
      <c r="K132" s="38"/>
      <c r="L132" s="38"/>
      <c r="M132" s="69" t="s">
        <v>5380</v>
      </c>
      <c r="N132" s="39"/>
      <c r="O132" s="39"/>
      <c r="P132" s="34"/>
    </row>
    <row r="133" spans="2:16">
      <c r="B133" s="30" t="s">
        <v>1521</v>
      </c>
      <c r="C133" s="38" t="s">
        <v>1522</v>
      </c>
      <c r="D133" s="38" t="s">
        <v>1523</v>
      </c>
      <c r="E133" s="38" t="s">
        <v>3423</v>
      </c>
      <c r="F133" s="38" t="s">
        <v>463</v>
      </c>
      <c r="G133" s="38"/>
      <c r="H133" s="53"/>
      <c r="I133" s="54"/>
      <c r="J133" s="38"/>
      <c r="K133" s="38"/>
      <c r="L133" s="38"/>
      <c r="M133" s="69" t="s">
        <v>5380</v>
      </c>
      <c r="N133" s="38"/>
      <c r="O133" s="38"/>
      <c r="P133" s="31"/>
    </row>
    <row r="134" spans="2:16">
      <c r="B134" s="30" t="s">
        <v>1524</v>
      </c>
      <c r="C134" s="38" t="s">
        <v>1525</v>
      </c>
      <c r="D134" s="38" t="s">
        <v>1526</v>
      </c>
      <c r="E134" s="38" t="s">
        <v>3424</v>
      </c>
      <c r="F134" s="38" t="s">
        <v>463</v>
      </c>
      <c r="G134" s="38"/>
      <c r="H134" s="53" t="str">
        <f t="shared" ref="H134:H195" si="2">"citation:"&amp;B134&amp;"-01"</f>
        <v>citation:annika_larsson-01</v>
      </c>
      <c r="I134" s="54"/>
      <c r="J134" s="38" t="s">
        <v>5380</v>
      </c>
      <c r="K134" s="38" t="s">
        <v>5380</v>
      </c>
      <c r="L134" s="38" t="s">
        <v>5380</v>
      </c>
      <c r="M134" s="69" t="s">
        <v>5385</v>
      </c>
      <c r="N134" s="38"/>
      <c r="O134" s="38"/>
      <c r="P134" s="31"/>
    </row>
    <row r="135" spans="2:16">
      <c r="B135" s="30" t="s">
        <v>1527</v>
      </c>
      <c r="C135" s="38" t="s">
        <v>1528</v>
      </c>
      <c r="D135" s="38" t="s">
        <v>1529</v>
      </c>
      <c r="E135" s="38" t="s">
        <v>3425</v>
      </c>
      <c r="F135" s="38" t="s">
        <v>463</v>
      </c>
      <c r="G135" s="38"/>
      <c r="H135" s="53"/>
      <c r="I135" s="54"/>
      <c r="J135" s="38"/>
      <c r="K135" s="38"/>
      <c r="L135" s="38"/>
      <c r="M135" s="69" t="s">
        <v>5380</v>
      </c>
      <c r="N135" s="38"/>
      <c r="O135" s="38"/>
      <c r="P135" s="31"/>
    </row>
    <row r="136" spans="2:16">
      <c r="B136" s="30" t="s">
        <v>1530</v>
      </c>
      <c r="C136" s="38" t="s">
        <v>1531</v>
      </c>
      <c r="D136" s="38" t="s">
        <v>1532</v>
      </c>
      <c r="E136" s="38" t="s">
        <v>3426</v>
      </c>
      <c r="F136" s="38" t="s">
        <v>463</v>
      </c>
      <c r="G136" s="38"/>
      <c r="H136" s="53"/>
      <c r="I136" s="54"/>
      <c r="J136" s="38"/>
      <c r="K136" s="38"/>
      <c r="L136" s="38"/>
      <c r="M136" s="69" t="s">
        <v>5380</v>
      </c>
      <c r="N136" s="38"/>
      <c r="O136" s="38"/>
      <c r="P136" s="31"/>
    </row>
    <row r="137" spans="2:16">
      <c r="B137" s="30" t="s">
        <v>1533</v>
      </c>
      <c r="C137" s="38" t="s">
        <v>1534</v>
      </c>
      <c r="D137" s="38" t="s">
        <v>1535</v>
      </c>
      <c r="E137" s="38" t="s">
        <v>3427</v>
      </c>
      <c r="F137" s="38" t="s">
        <v>463</v>
      </c>
      <c r="G137" s="38"/>
      <c r="H137" s="53" t="str">
        <f t="shared" si="2"/>
        <v>citation:howard_chivers-01</v>
      </c>
      <c r="I137" s="54"/>
      <c r="J137" s="38" t="s">
        <v>5380</v>
      </c>
      <c r="K137" s="38" t="s">
        <v>5380</v>
      </c>
      <c r="L137" s="38" t="s">
        <v>5380</v>
      </c>
      <c r="M137" s="69" t="s">
        <v>5388</v>
      </c>
      <c r="N137" s="38"/>
      <c r="O137" s="38"/>
      <c r="P137" s="31"/>
    </row>
    <row r="138" spans="2:16">
      <c r="B138" s="30" t="s">
        <v>1536</v>
      </c>
      <c r="C138" s="38" t="s">
        <v>1537</v>
      </c>
      <c r="D138" s="38" t="s">
        <v>1538</v>
      </c>
      <c r="E138" s="38" t="s">
        <v>3428</v>
      </c>
      <c r="F138" s="38" t="s">
        <v>463</v>
      </c>
      <c r="G138" s="38"/>
      <c r="H138" s="53"/>
      <c r="I138" s="54"/>
      <c r="J138" s="38"/>
      <c r="K138" s="38"/>
      <c r="L138" s="38"/>
      <c r="M138" s="69" t="s">
        <v>5380</v>
      </c>
      <c r="N138" s="38"/>
      <c r="O138" s="38"/>
      <c r="P138" s="31"/>
    </row>
    <row r="139" spans="2:16">
      <c r="B139" s="32" t="s">
        <v>1539</v>
      </c>
      <c r="C139" s="39" t="s">
        <v>1540</v>
      </c>
      <c r="D139" s="39" t="s">
        <v>1541</v>
      </c>
      <c r="E139" s="39" t="s">
        <v>3429</v>
      </c>
      <c r="F139" s="39" t="s">
        <v>463</v>
      </c>
      <c r="G139" s="39"/>
      <c r="H139" s="51"/>
      <c r="I139" s="52"/>
      <c r="J139" s="38"/>
      <c r="K139" s="38"/>
      <c r="L139" s="38"/>
      <c r="M139" s="69" t="s">
        <v>5380</v>
      </c>
      <c r="N139" s="39"/>
      <c r="O139" s="39"/>
      <c r="P139" s="34"/>
    </row>
    <row r="140" spans="2:16">
      <c r="B140" s="30" t="s">
        <v>1332</v>
      </c>
      <c r="C140" s="38" t="s">
        <v>1333</v>
      </c>
      <c r="D140" s="38" t="s">
        <v>1334</v>
      </c>
      <c r="E140" s="38" t="s">
        <v>3430</v>
      </c>
      <c r="F140" s="38" t="s">
        <v>354</v>
      </c>
      <c r="G140" s="38"/>
      <c r="H140" s="53"/>
      <c r="I140" s="54"/>
      <c r="J140" s="38"/>
      <c r="K140" s="38"/>
      <c r="L140" s="38"/>
      <c r="M140" s="69" t="s">
        <v>5380</v>
      </c>
      <c r="N140" s="38"/>
      <c r="O140" s="38"/>
      <c r="P140" s="31"/>
    </row>
    <row r="141" spans="2:16">
      <c r="B141" s="30" t="s">
        <v>1335</v>
      </c>
      <c r="C141" s="38" t="s">
        <v>1074</v>
      </c>
      <c r="D141" s="38" t="s">
        <v>1336</v>
      </c>
      <c r="E141" s="38" t="s">
        <v>3431</v>
      </c>
      <c r="F141" s="38" t="s">
        <v>354</v>
      </c>
      <c r="G141" s="38"/>
      <c r="H141" s="53"/>
      <c r="I141" s="54"/>
      <c r="J141" s="38"/>
      <c r="K141" s="38"/>
      <c r="L141" s="38"/>
      <c r="M141" s="69" t="s">
        <v>5380</v>
      </c>
      <c r="N141" s="38"/>
      <c r="O141" s="38"/>
      <c r="P141" s="31"/>
    </row>
    <row r="142" spans="2:16">
      <c r="B142" s="30" t="s">
        <v>1337</v>
      </c>
      <c r="C142" s="38" t="s">
        <v>1338</v>
      </c>
      <c r="D142" s="38" t="s">
        <v>1339</v>
      </c>
      <c r="E142" s="38" t="s">
        <v>3432</v>
      </c>
      <c r="F142" s="38" t="s">
        <v>354</v>
      </c>
      <c r="G142" s="38"/>
      <c r="H142" s="53"/>
      <c r="I142" s="54"/>
      <c r="J142" s="38"/>
      <c r="K142" s="38"/>
      <c r="L142" s="38"/>
      <c r="M142" s="69" t="s">
        <v>5380</v>
      </c>
      <c r="N142" s="38"/>
      <c r="O142" s="38"/>
      <c r="P142" s="31"/>
    </row>
    <row r="143" spans="2:16">
      <c r="B143" s="32" t="s">
        <v>1340</v>
      </c>
      <c r="C143" s="39" t="s">
        <v>1341</v>
      </c>
      <c r="D143" s="39" t="s">
        <v>1342</v>
      </c>
      <c r="E143" s="39" t="s">
        <v>3433</v>
      </c>
      <c r="F143" s="39" t="s">
        <v>354</v>
      </c>
      <c r="G143" s="39"/>
      <c r="H143" s="51"/>
      <c r="I143" s="52"/>
      <c r="J143" s="38"/>
      <c r="K143" s="38"/>
      <c r="L143" s="38"/>
      <c r="M143" s="69" t="s">
        <v>5380</v>
      </c>
      <c r="N143" s="39"/>
      <c r="O143" s="39"/>
      <c r="P143" s="34"/>
    </row>
    <row r="144" spans="2:16">
      <c r="B144" s="30" t="s">
        <v>1343</v>
      </c>
      <c r="C144" s="38" t="s">
        <v>1344</v>
      </c>
      <c r="D144" s="38" t="s">
        <v>1345</v>
      </c>
      <c r="E144" s="38" t="s">
        <v>3434</v>
      </c>
      <c r="F144" s="38" t="s">
        <v>443</v>
      </c>
      <c r="G144" s="38" t="s">
        <v>3268</v>
      </c>
      <c r="H144" s="53" t="str">
        <f t="shared" si="2"/>
        <v>citation:abbe_mowshowitz-01</v>
      </c>
      <c r="I144" s="54"/>
      <c r="J144" s="38" t="s">
        <v>5041</v>
      </c>
      <c r="K144" s="38">
        <v>3146</v>
      </c>
      <c r="L144" s="38">
        <v>26</v>
      </c>
      <c r="M144" s="69" t="s">
        <v>5384</v>
      </c>
      <c r="N144" s="38"/>
      <c r="O144" s="38"/>
      <c r="P144" s="31"/>
    </row>
    <row r="145" spans="2:16">
      <c r="B145" s="30" t="s">
        <v>1346</v>
      </c>
      <c r="C145" s="38" t="s">
        <v>1347</v>
      </c>
      <c r="D145" s="38" t="s">
        <v>1348</v>
      </c>
      <c r="E145" s="38" t="s">
        <v>3435</v>
      </c>
      <c r="F145" s="38" t="s">
        <v>443</v>
      </c>
      <c r="G145" s="38"/>
      <c r="H145" s="53" t="str">
        <f t="shared" si="2"/>
        <v>citation:akira_kawaguchi-01</v>
      </c>
      <c r="I145" s="54"/>
      <c r="J145" s="38" t="s">
        <v>5044</v>
      </c>
      <c r="K145" s="38">
        <v>952</v>
      </c>
      <c r="L145" s="38">
        <v>11</v>
      </c>
      <c r="M145" s="69" t="s">
        <v>5388</v>
      </c>
      <c r="N145" s="38"/>
      <c r="O145" s="38"/>
      <c r="P145" s="31"/>
    </row>
    <row r="146" spans="2:16">
      <c r="B146" s="30" t="s">
        <v>1349</v>
      </c>
      <c r="C146" s="38" t="s">
        <v>1350</v>
      </c>
      <c r="D146" s="38" t="s">
        <v>1351</v>
      </c>
      <c r="E146" s="38" t="s">
        <v>3436</v>
      </c>
      <c r="F146" s="38" t="s">
        <v>443</v>
      </c>
      <c r="G146" s="38"/>
      <c r="H146" s="53" t="str">
        <f t="shared" si="2"/>
        <v>citation:amotz_bar_noy-01</v>
      </c>
      <c r="I146" s="54"/>
      <c r="J146" s="38" t="s">
        <v>5049</v>
      </c>
      <c r="K146" s="38">
        <v>7554</v>
      </c>
      <c r="L146" s="38">
        <v>42</v>
      </c>
      <c r="M146" s="69" t="s">
        <v>5385</v>
      </c>
      <c r="N146" s="38"/>
      <c r="O146" s="38"/>
      <c r="P146" s="31"/>
    </row>
    <row r="147" spans="2:16">
      <c r="B147" s="30" t="s">
        <v>1352</v>
      </c>
      <c r="C147" s="38" t="s">
        <v>1353</v>
      </c>
      <c r="D147" s="38" t="s">
        <v>1354</v>
      </c>
      <c r="E147" s="38" t="s">
        <v>3437</v>
      </c>
      <c r="F147" s="38" t="s">
        <v>443</v>
      </c>
      <c r="G147" s="38"/>
      <c r="H147" s="53" t="str">
        <f t="shared" si="2"/>
        <v>citation:andi_toce-01</v>
      </c>
      <c r="I147" s="54"/>
      <c r="J147" s="38" t="s">
        <v>5052</v>
      </c>
      <c r="K147" s="38">
        <v>53</v>
      </c>
      <c r="L147" s="38">
        <v>2</v>
      </c>
      <c r="M147" s="69" t="s">
        <v>5387</v>
      </c>
      <c r="N147" s="38"/>
      <c r="O147" s="38"/>
      <c r="P147" s="31"/>
    </row>
    <row r="148" spans="2:16">
      <c r="B148" s="30" t="s">
        <v>1355</v>
      </c>
      <c r="C148" s="38" t="s">
        <v>1071</v>
      </c>
      <c r="D148" s="38" t="s">
        <v>1356</v>
      </c>
      <c r="E148" s="38" t="s">
        <v>3438</v>
      </c>
      <c r="F148" s="38" t="s">
        <v>443</v>
      </c>
      <c r="G148" s="38"/>
      <c r="H148" s="53" t="str">
        <f t="shared" si="2"/>
        <v>citation:andrew_nagel-01</v>
      </c>
      <c r="I148" s="54"/>
      <c r="J148" s="38" t="s">
        <v>5380</v>
      </c>
      <c r="K148" s="38" t="s">
        <v>5380</v>
      </c>
      <c r="L148" s="38" t="s">
        <v>5380</v>
      </c>
      <c r="M148" s="69" t="s">
        <v>5385</v>
      </c>
      <c r="N148" s="38"/>
      <c r="O148" s="38"/>
      <c r="P148" s="31"/>
    </row>
    <row r="149" spans="2:16">
      <c r="B149" s="30" t="s">
        <v>1357</v>
      </c>
      <c r="C149" s="38" t="s">
        <v>1358</v>
      </c>
      <c r="D149" s="38" t="s">
        <v>1359</v>
      </c>
      <c r="E149" s="38" t="s">
        <v>3439</v>
      </c>
      <c r="F149" s="38" t="s">
        <v>443</v>
      </c>
      <c r="G149" s="38"/>
      <c r="H149" s="53" t="str">
        <f t="shared" si="2"/>
        <v>citation:berker_soyluoglu-01</v>
      </c>
      <c r="I149" s="54"/>
      <c r="J149" s="38" t="s">
        <v>5380</v>
      </c>
      <c r="K149" s="38" t="s">
        <v>5380</v>
      </c>
      <c r="L149" s="38" t="s">
        <v>5380</v>
      </c>
      <c r="M149" s="69" t="s">
        <v>5391</v>
      </c>
      <c r="N149" s="38"/>
      <c r="O149" s="38"/>
      <c r="P149" s="31"/>
    </row>
    <row r="150" spans="2:16">
      <c r="B150" s="30" t="s">
        <v>1360</v>
      </c>
      <c r="C150" s="38" t="s">
        <v>1361</v>
      </c>
      <c r="D150" s="38" t="s">
        <v>1362</v>
      </c>
      <c r="E150" s="38" t="s">
        <v>3440</v>
      </c>
      <c r="F150" s="38" t="s">
        <v>443</v>
      </c>
      <c r="G150" s="38"/>
      <c r="H150" s="53"/>
      <c r="I150" s="54"/>
      <c r="J150" s="38"/>
      <c r="K150" s="38"/>
      <c r="L150" s="38"/>
      <c r="M150" s="69" t="s">
        <v>5380</v>
      </c>
      <c r="N150" s="38"/>
      <c r="O150" s="38"/>
      <c r="P150" s="31"/>
    </row>
    <row r="151" spans="2:16">
      <c r="B151" s="30" t="s">
        <v>1363</v>
      </c>
      <c r="C151" s="38" t="s">
        <v>1364</v>
      </c>
      <c r="D151" s="38" t="s">
        <v>1365</v>
      </c>
      <c r="E151" s="38" t="s">
        <v>3441</v>
      </c>
      <c r="F151" s="38" t="s">
        <v>443</v>
      </c>
      <c r="G151" s="38"/>
      <c r="H151" s="53" t="str">
        <f t="shared" si="2"/>
        <v>citation:christopher_seaman-01</v>
      </c>
      <c r="I151" s="54"/>
      <c r="J151" s="38" t="s">
        <v>5380</v>
      </c>
      <c r="K151" s="38" t="s">
        <v>5380</v>
      </c>
      <c r="L151" s="38" t="s">
        <v>5380</v>
      </c>
      <c r="M151" s="69" t="s">
        <v>5387</v>
      </c>
      <c r="N151" s="38"/>
      <c r="O151" s="38"/>
      <c r="P151" s="31"/>
    </row>
    <row r="152" spans="2:16">
      <c r="B152" s="30" t="s">
        <v>1366</v>
      </c>
      <c r="C152" s="38" t="s">
        <v>1367</v>
      </c>
      <c r="D152" s="38" t="s">
        <v>1368</v>
      </c>
      <c r="E152" s="38" t="s">
        <v>3442</v>
      </c>
      <c r="F152" s="38" t="s">
        <v>443</v>
      </c>
      <c r="G152" s="38"/>
      <c r="H152" s="53" t="str">
        <f t="shared" si="2"/>
        <v>citation:deniz_sarioz-01</v>
      </c>
      <c r="I152" s="54"/>
      <c r="J152" s="38" t="s">
        <v>5380</v>
      </c>
      <c r="K152" s="38" t="s">
        <v>5380</v>
      </c>
      <c r="L152" s="38" t="s">
        <v>5380</v>
      </c>
      <c r="M152" s="69" t="s">
        <v>5386</v>
      </c>
      <c r="N152" s="38"/>
      <c r="O152" s="38"/>
      <c r="P152" s="31"/>
    </row>
    <row r="153" spans="2:16">
      <c r="B153" s="30" t="s">
        <v>1369</v>
      </c>
      <c r="C153" s="38" t="s">
        <v>1370</v>
      </c>
      <c r="D153" s="38" t="s">
        <v>1371</v>
      </c>
      <c r="E153" s="38" t="s">
        <v>3443</v>
      </c>
      <c r="F153" s="38" t="s">
        <v>443</v>
      </c>
      <c r="G153" s="38"/>
      <c r="H153" s="53"/>
      <c r="I153" s="54"/>
      <c r="J153" s="38"/>
      <c r="K153" s="38"/>
      <c r="L153" s="38"/>
      <c r="M153" s="69" t="s">
        <v>5380</v>
      </c>
      <c r="N153" s="38"/>
      <c r="O153" s="38"/>
      <c r="P153" s="31"/>
    </row>
    <row r="154" spans="2:16">
      <c r="B154" s="30" t="s">
        <v>1372</v>
      </c>
      <c r="C154" s="38" t="s">
        <v>1373</v>
      </c>
      <c r="D154" s="38" t="s">
        <v>1374</v>
      </c>
      <c r="E154" s="38" t="s">
        <v>3444</v>
      </c>
      <c r="F154" s="38" t="s">
        <v>443</v>
      </c>
      <c r="G154" s="38"/>
      <c r="H154" s="53" t="str">
        <f t="shared" si="2"/>
        <v>citation:hoeteck_wee-01</v>
      </c>
      <c r="I154" s="54"/>
      <c r="J154" s="38" t="s">
        <v>5166</v>
      </c>
      <c r="K154" s="38">
        <v>1764</v>
      </c>
      <c r="L154" s="38">
        <v>24</v>
      </c>
      <c r="M154" s="69" t="s">
        <v>5384</v>
      </c>
      <c r="N154" s="38"/>
      <c r="O154" s="38"/>
      <c r="P154" s="31"/>
    </row>
    <row r="155" spans="2:16">
      <c r="B155" s="30" t="s">
        <v>1375</v>
      </c>
      <c r="C155" s="38" t="s">
        <v>1376</v>
      </c>
      <c r="D155" s="38" t="s">
        <v>1377</v>
      </c>
      <c r="E155" s="38" t="s">
        <v>3445</v>
      </c>
      <c r="F155" s="38" t="s">
        <v>443</v>
      </c>
      <c r="G155" s="38"/>
      <c r="H155" s="53" t="str">
        <f t="shared" si="2"/>
        <v>citation:ihab_darwish-01</v>
      </c>
      <c r="I155" s="54"/>
      <c r="J155" s="38" t="s">
        <v>5380</v>
      </c>
      <c r="K155" s="38" t="s">
        <v>5380</v>
      </c>
      <c r="L155" s="38" t="s">
        <v>5380</v>
      </c>
      <c r="M155" s="69" t="s">
        <v>5387</v>
      </c>
      <c r="N155" s="38"/>
      <c r="O155" s="38"/>
      <c r="P155" s="31"/>
    </row>
    <row r="156" spans="2:16">
      <c r="B156" s="30" t="s">
        <v>1378</v>
      </c>
      <c r="C156" s="38" t="s">
        <v>1379</v>
      </c>
      <c r="D156" s="38" t="s">
        <v>1380</v>
      </c>
      <c r="E156" s="38" t="s">
        <v>3446</v>
      </c>
      <c r="F156" s="38" t="s">
        <v>443</v>
      </c>
      <c r="G156" s="38"/>
      <c r="H156" s="53" t="str">
        <f t="shared" si="2"/>
        <v>citation:irippuge_perera-01</v>
      </c>
      <c r="I156" s="54"/>
      <c r="J156" s="38" t="s">
        <v>5177</v>
      </c>
      <c r="K156" s="38">
        <v>42</v>
      </c>
      <c r="L156" s="38">
        <v>2</v>
      </c>
      <c r="M156" s="69" t="s">
        <v>5386</v>
      </c>
      <c r="N156" s="38"/>
      <c r="O156" s="38"/>
      <c r="P156" s="31"/>
    </row>
    <row r="157" spans="2:16">
      <c r="B157" s="30" t="s">
        <v>1381</v>
      </c>
      <c r="C157" s="38" t="s">
        <v>1382</v>
      </c>
      <c r="D157" s="38" t="s">
        <v>1383</v>
      </c>
      <c r="E157" s="38" t="s">
        <v>3447</v>
      </c>
      <c r="F157" s="38" t="s">
        <v>443</v>
      </c>
      <c r="G157" s="38"/>
      <c r="H157" s="53" t="str">
        <f t="shared" si="2"/>
        <v>citation:javier_pajuelo-01</v>
      </c>
      <c r="I157" s="54"/>
      <c r="J157" s="38" t="s">
        <v>5380</v>
      </c>
      <c r="K157" s="38" t="s">
        <v>5380</v>
      </c>
      <c r="L157" s="38" t="s">
        <v>5380</v>
      </c>
      <c r="M157" s="69" t="s">
        <v>5387</v>
      </c>
      <c r="N157" s="38"/>
      <c r="O157" s="38"/>
      <c r="P157" s="31"/>
    </row>
    <row r="158" spans="2:16">
      <c r="B158" s="30" t="s">
        <v>1384</v>
      </c>
      <c r="C158" s="38" t="s">
        <v>1385</v>
      </c>
      <c r="D158" s="38" t="s">
        <v>1212</v>
      </c>
      <c r="E158" s="38" t="s">
        <v>3448</v>
      </c>
      <c r="F158" s="38" t="s">
        <v>443</v>
      </c>
      <c r="G158" s="38"/>
      <c r="H158" s="53"/>
      <c r="I158" s="54"/>
      <c r="J158" s="38"/>
      <c r="K158" s="38"/>
      <c r="L158" s="38"/>
      <c r="M158" s="69" t="s">
        <v>5380</v>
      </c>
      <c r="N158" s="38"/>
      <c r="O158" s="38"/>
      <c r="P158" s="31"/>
    </row>
    <row r="159" spans="2:16">
      <c r="B159" s="30" t="s">
        <v>1386</v>
      </c>
      <c r="C159" s="38" t="s">
        <v>1287</v>
      </c>
      <c r="D159" s="38" t="s">
        <v>1387</v>
      </c>
      <c r="E159" s="38" t="s">
        <v>3449</v>
      </c>
      <c r="F159" s="38" t="s">
        <v>443</v>
      </c>
      <c r="G159" s="38"/>
      <c r="H159" s="53" t="str">
        <f t="shared" si="2"/>
        <v>citation:joseph_soryal-01</v>
      </c>
      <c r="I159" s="54"/>
      <c r="J159" s="38" t="s">
        <v>5211</v>
      </c>
      <c r="K159" s="38">
        <v>15</v>
      </c>
      <c r="L159" s="38">
        <v>2</v>
      </c>
      <c r="M159" s="69" t="s">
        <v>5384</v>
      </c>
      <c r="N159" s="38"/>
      <c r="O159" s="38"/>
      <c r="P159" s="31"/>
    </row>
    <row r="160" spans="2:16">
      <c r="B160" s="30" t="s">
        <v>1388</v>
      </c>
      <c r="C160" s="38" t="s">
        <v>711</v>
      </c>
      <c r="D160" s="38" t="s">
        <v>1389</v>
      </c>
      <c r="E160" s="38" t="s">
        <v>3450</v>
      </c>
      <c r="F160" s="38" t="s">
        <v>443</v>
      </c>
      <c r="G160" s="38"/>
      <c r="H160" s="53" t="str">
        <f t="shared" si="2"/>
        <v>citation:kent_boklan-01</v>
      </c>
      <c r="I160" s="54"/>
      <c r="J160" s="38" t="s">
        <v>5380</v>
      </c>
      <c r="K160" s="38" t="s">
        <v>5380</v>
      </c>
      <c r="L160" s="38" t="s">
        <v>5380</v>
      </c>
      <c r="M160" s="69" t="s">
        <v>5388</v>
      </c>
      <c r="N160" s="38"/>
      <c r="O160" s="38"/>
      <c r="P160" s="31"/>
    </row>
    <row r="161" spans="2:17">
      <c r="B161" s="30" t="s">
        <v>1390</v>
      </c>
      <c r="C161" s="38" t="s">
        <v>1106</v>
      </c>
      <c r="D161" s="38" t="s">
        <v>1391</v>
      </c>
      <c r="E161" s="38" t="s">
        <v>3451</v>
      </c>
      <c r="F161" s="38" t="s">
        <v>443</v>
      </c>
      <c r="G161" s="38"/>
      <c r="H161" s="53" t="str">
        <f t="shared" si="2"/>
        <v>citation:kevin_sekniqi-01</v>
      </c>
      <c r="I161" s="54"/>
      <c r="J161" s="38" t="s">
        <v>5380</v>
      </c>
      <c r="K161" s="38" t="s">
        <v>5380</v>
      </c>
      <c r="L161" s="38" t="s">
        <v>5380</v>
      </c>
      <c r="M161" s="69" t="s">
        <v>5387</v>
      </c>
      <c r="N161" s="38"/>
      <c r="O161" s="38"/>
      <c r="P161" s="31"/>
    </row>
    <row r="162" spans="2:17">
      <c r="B162" s="30" t="s">
        <v>1392</v>
      </c>
      <c r="C162" s="38" t="s">
        <v>1393</v>
      </c>
      <c r="D162" s="38" t="s">
        <v>1394</v>
      </c>
      <c r="E162" s="38" t="s">
        <v>3452</v>
      </c>
      <c r="F162" s="38" t="s">
        <v>443</v>
      </c>
      <c r="G162" s="38"/>
      <c r="H162" s="53" t="str">
        <f t="shared" si="2"/>
        <v>citation:marcin_szczodrak-01</v>
      </c>
      <c r="I162" s="54"/>
      <c r="J162" s="38" t="s">
        <v>5238</v>
      </c>
      <c r="K162" s="38">
        <v>135</v>
      </c>
      <c r="L162" s="38">
        <v>7</v>
      </c>
      <c r="M162" s="69" t="s">
        <v>5387</v>
      </c>
      <c r="N162" s="38"/>
      <c r="O162" s="38"/>
      <c r="P162" s="31"/>
    </row>
    <row r="163" spans="2:17">
      <c r="B163" s="30" t="s">
        <v>1395</v>
      </c>
      <c r="C163" s="38" t="s">
        <v>1396</v>
      </c>
      <c r="D163" s="38" t="s">
        <v>1397</v>
      </c>
      <c r="E163" s="38" t="s">
        <v>3453</v>
      </c>
      <c r="F163" s="38" t="s">
        <v>443</v>
      </c>
      <c r="G163" s="38"/>
      <c r="H163" s="53" t="str">
        <f t="shared" si="2"/>
        <v>citation:matthew_johnson-01</v>
      </c>
      <c r="I163" s="54"/>
      <c r="J163" s="38" t="s">
        <v>5380</v>
      </c>
      <c r="K163" s="38" t="s">
        <v>5380</v>
      </c>
      <c r="L163" s="38" t="s">
        <v>5380</v>
      </c>
      <c r="M163" s="69" t="s">
        <v>5388</v>
      </c>
      <c r="N163" s="38"/>
      <c r="O163" s="38"/>
      <c r="P163" s="31"/>
    </row>
    <row r="164" spans="2:17">
      <c r="B164" s="30" t="s">
        <v>1398</v>
      </c>
      <c r="C164" s="38" t="s">
        <v>1399</v>
      </c>
      <c r="D164" s="38" t="s">
        <v>1400</v>
      </c>
      <c r="E164" s="38" t="s">
        <v>3454</v>
      </c>
      <c r="F164" s="38" t="s">
        <v>443</v>
      </c>
      <c r="G164" s="38"/>
      <c r="H164" s="53"/>
      <c r="I164" s="54"/>
      <c r="J164" s="38"/>
      <c r="K164" s="38"/>
      <c r="L164" s="38"/>
      <c r="M164" s="69" t="s">
        <v>5380</v>
      </c>
      <c r="N164" s="38"/>
      <c r="O164" s="38"/>
      <c r="P164" s="31"/>
    </row>
    <row r="165" spans="2:17">
      <c r="B165" s="30" t="s">
        <v>1401</v>
      </c>
      <c r="C165" s="38" t="s">
        <v>1402</v>
      </c>
      <c r="D165" s="38" t="s">
        <v>1403</v>
      </c>
      <c r="E165" s="38" t="s">
        <v>3455</v>
      </c>
      <c r="F165" s="38" t="s">
        <v>443</v>
      </c>
      <c r="G165" s="38"/>
      <c r="H165" s="53" t="str">
        <f t="shared" si="2"/>
        <v>citation:nelly_fazio-01</v>
      </c>
      <c r="I165" s="54"/>
      <c r="J165" s="38" t="s">
        <v>5265</v>
      </c>
      <c r="K165" s="38">
        <v>1102</v>
      </c>
      <c r="L165" s="38">
        <v>10</v>
      </c>
      <c r="M165" s="69" t="s">
        <v>5384</v>
      </c>
      <c r="N165" s="38"/>
      <c r="O165" s="38"/>
      <c r="P165" s="31"/>
    </row>
    <row r="166" spans="2:17">
      <c r="B166" s="30" t="s">
        <v>1404</v>
      </c>
      <c r="C166" s="38" t="s">
        <v>1405</v>
      </c>
      <c r="D166" s="38" t="s">
        <v>1406</v>
      </c>
      <c r="E166" s="38" t="s">
        <v>3456</v>
      </c>
      <c r="F166" s="38" t="s">
        <v>443</v>
      </c>
      <c r="G166" s="38"/>
      <c r="H166" s="53" t="str">
        <f t="shared" si="2"/>
        <v>citation:ou_liu-01</v>
      </c>
      <c r="I166" s="54"/>
      <c r="J166" s="38" t="s">
        <v>5380</v>
      </c>
      <c r="K166" s="38" t="s">
        <v>5380</v>
      </c>
      <c r="L166" s="38" t="s">
        <v>5380</v>
      </c>
      <c r="M166" s="69" t="s">
        <v>5386</v>
      </c>
      <c r="N166" s="38"/>
      <c r="O166" s="38"/>
      <c r="P166" s="31"/>
    </row>
    <row r="167" spans="2:17">
      <c r="B167" s="30" t="s">
        <v>1407</v>
      </c>
      <c r="C167" s="38" t="s">
        <v>1222</v>
      </c>
      <c r="D167" s="38" t="s">
        <v>1408</v>
      </c>
      <c r="E167" s="38" t="s">
        <v>3457</v>
      </c>
      <c r="F167" s="38" t="s">
        <v>443</v>
      </c>
      <c r="G167" s="38"/>
      <c r="H167" s="53" t="str">
        <f t="shared" si="2"/>
        <v>citation:ping_ji-01</v>
      </c>
      <c r="I167" s="54"/>
      <c r="J167" s="38" t="s">
        <v>5287</v>
      </c>
      <c r="K167" s="38">
        <v>1126</v>
      </c>
      <c r="L167" s="38">
        <v>18</v>
      </c>
      <c r="M167" s="69" t="s">
        <v>5387</v>
      </c>
      <c r="N167" s="38"/>
      <c r="O167" s="38"/>
      <c r="P167" s="31"/>
    </row>
    <row r="168" spans="2:17">
      <c r="B168" s="30" t="s">
        <v>1409</v>
      </c>
      <c r="C168" s="38" t="s">
        <v>1410</v>
      </c>
      <c r="D168" s="38" t="s">
        <v>1411</v>
      </c>
      <c r="E168" s="38" t="s">
        <v>3458</v>
      </c>
      <c r="F168" s="38" t="s">
        <v>443</v>
      </c>
      <c r="G168" s="38"/>
      <c r="H168" s="53" t="str">
        <f t="shared" si="2"/>
        <v>citation:rosario_gennaro-01</v>
      </c>
      <c r="I168" s="54"/>
      <c r="J168" s="38" t="s">
        <v>5305</v>
      </c>
      <c r="K168" s="38">
        <v>10076</v>
      </c>
      <c r="L168" s="38">
        <v>54</v>
      </c>
      <c r="M168" s="69" t="s">
        <v>5386</v>
      </c>
      <c r="N168" s="38"/>
      <c r="O168" s="38"/>
      <c r="P168" s="31"/>
    </row>
    <row r="169" spans="2:17">
      <c r="B169" s="30" t="s">
        <v>1412</v>
      </c>
      <c r="C169" s="38" t="s">
        <v>1413</v>
      </c>
      <c r="D169" s="38" t="s">
        <v>1414</v>
      </c>
      <c r="E169" s="38" t="s">
        <v>3459</v>
      </c>
      <c r="F169" s="38" t="s">
        <v>443</v>
      </c>
      <c r="G169" s="38"/>
      <c r="H169" s="53"/>
      <c r="I169" s="54"/>
      <c r="J169" s="38"/>
      <c r="K169" s="38"/>
      <c r="L169" s="38"/>
      <c r="M169" s="69" t="s">
        <v>5380</v>
      </c>
      <c r="N169" s="38"/>
      <c r="O169" s="38"/>
      <c r="P169" s="31"/>
      <c r="Q169" s="74"/>
    </row>
    <row r="170" spans="2:17">
      <c r="B170" s="30" t="s">
        <v>1415</v>
      </c>
      <c r="C170" s="38" t="s">
        <v>1416</v>
      </c>
      <c r="D170" s="38" t="s">
        <v>1414</v>
      </c>
      <c r="E170" s="38" t="s">
        <v>3460</v>
      </c>
      <c r="F170" s="38" t="s">
        <v>443</v>
      </c>
      <c r="G170" s="38"/>
      <c r="H170" s="53"/>
      <c r="I170" s="54"/>
      <c r="J170" s="38"/>
      <c r="K170" s="38"/>
      <c r="L170" s="38"/>
      <c r="M170" s="69" t="s">
        <v>5380</v>
      </c>
      <c r="N170" s="38"/>
      <c r="O170" s="38"/>
      <c r="P170" s="31"/>
      <c r="Q170" s="74"/>
    </row>
    <row r="171" spans="2:17">
      <c r="B171" s="30" t="s">
        <v>1417</v>
      </c>
      <c r="C171" s="38" t="s">
        <v>1418</v>
      </c>
      <c r="D171" s="38" t="s">
        <v>1419</v>
      </c>
      <c r="E171" s="38" t="s">
        <v>3461</v>
      </c>
      <c r="F171" s="38" t="s">
        <v>443</v>
      </c>
      <c r="G171" s="38"/>
      <c r="H171" s="53" t="str">
        <f t="shared" si="2"/>
        <v>citation:simon_parsons-01</v>
      </c>
      <c r="I171" s="54"/>
      <c r="J171" s="38" t="s">
        <v>5326</v>
      </c>
      <c r="K171" s="38">
        <v>11428</v>
      </c>
      <c r="L171" s="38">
        <v>49</v>
      </c>
      <c r="M171" s="69" t="s">
        <v>5388</v>
      </c>
      <c r="N171" s="38"/>
      <c r="O171" s="38"/>
      <c r="P171" s="31"/>
      <c r="Q171" s="74"/>
    </row>
    <row r="172" spans="2:17">
      <c r="B172" s="30" t="s">
        <v>1420</v>
      </c>
      <c r="C172" s="38" t="s">
        <v>1418</v>
      </c>
      <c r="D172" s="38" t="s">
        <v>1421</v>
      </c>
      <c r="E172" s="38" t="s">
        <v>3462</v>
      </c>
      <c r="F172" s="38" t="s">
        <v>443</v>
      </c>
      <c r="G172" s="38"/>
      <c r="H172" s="53" t="str">
        <f t="shared" si="2"/>
        <v>citation:simon_shamoun-01</v>
      </c>
      <c r="I172" s="54"/>
      <c r="J172" s="38" t="s">
        <v>5380</v>
      </c>
      <c r="K172" s="38" t="s">
        <v>5380</v>
      </c>
      <c r="L172" s="38" t="s">
        <v>5380</v>
      </c>
      <c r="M172" s="69" t="s">
        <v>5388</v>
      </c>
      <c r="N172" s="38"/>
      <c r="O172" s="38"/>
      <c r="P172" s="31"/>
    </row>
    <row r="173" spans="2:17">
      <c r="B173" s="30" t="s">
        <v>1422</v>
      </c>
      <c r="C173" s="38" t="s">
        <v>1423</v>
      </c>
      <c r="D173" s="38" t="s">
        <v>1424</v>
      </c>
      <c r="E173" s="38" t="s">
        <v>3463</v>
      </c>
      <c r="F173" s="38" t="s">
        <v>443</v>
      </c>
      <c r="G173" s="38"/>
      <c r="H173" s="53" t="str">
        <f t="shared" si="2"/>
        <v>citation:tarek_saadawi-01</v>
      </c>
      <c r="I173" s="54"/>
      <c r="J173" s="38" t="s">
        <v>5380</v>
      </c>
      <c r="K173" s="38" t="s">
        <v>5380</v>
      </c>
      <c r="L173" s="38" t="s">
        <v>5380</v>
      </c>
      <c r="M173" s="69" t="s">
        <v>5387</v>
      </c>
      <c r="N173" s="38"/>
      <c r="O173" s="38"/>
      <c r="P173" s="31"/>
    </row>
    <row r="174" spans="2:17">
      <c r="B174" s="30" t="s">
        <v>1425</v>
      </c>
      <c r="C174" s="38" t="s">
        <v>1426</v>
      </c>
      <c r="D174" s="38" t="s">
        <v>1427</v>
      </c>
      <c r="E174" s="38" t="s">
        <v>3464</v>
      </c>
      <c r="F174" s="38" t="s">
        <v>443</v>
      </c>
      <c r="G174" s="38"/>
      <c r="H174" s="53" t="str">
        <f t="shared" si="2"/>
        <v>citation:ted_brown-01</v>
      </c>
      <c r="I174" s="54"/>
      <c r="J174" s="38" t="s">
        <v>5342</v>
      </c>
      <c r="K174" s="38">
        <v>1845</v>
      </c>
      <c r="L174" s="38">
        <v>9</v>
      </c>
      <c r="M174" s="69" t="s">
        <v>5384</v>
      </c>
      <c r="N174" s="38"/>
      <c r="O174" s="38"/>
      <c r="P174" s="31"/>
    </row>
    <row r="175" spans="2:17">
      <c r="B175" s="30" t="s">
        <v>1428</v>
      </c>
      <c r="C175" s="38" t="s">
        <v>1429</v>
      </c>
      <c r="D175" s="38" t="s">
        <v>1430</v>
      </c>
      <c r="E175" s="38" t="s">
        <v>3465</v>
      </c>
      <c r="F175" s="38" t="s">
        <v>443</v>
      </c>
      <c r="G175" s="38"/>
      <c r="H175" s="53" t="str">
        <f t="shared" si="2"/>
        <v>citation:valerio_pastro-01</v>
      </c>
      <c r="I175" s="54"/>
      <c r="J175" s="38" t="s">
        <v>5380</v>
      </c>
      <c r="K175" s="38" t="s">
        <v>5380</v>
      </c>
      <c r="L175" s="38" t="s">
        <v>5380</v>
      </c>
      <c r="M175" s="69" t="s">
        <v>5391</v>
      </c>
      <c r="N175" s="38"/>
      <c r="O175" s="38"/>
      <c r="P175" s="31"/>
    </row>
    <row r="176" spans="2:17">
      <c r="B176" s="30" t="s">
        <v>1431</v>
      </c>
      <c r="C176" s="38" t="s">
        <v>1432</v>
      </c>
      <c r="D176" s="38" t="s">
        <v>1433</v>
      </c>
      <c r="E176" s="38" t="s">
        <v>3466</v>
      </c>
      <c r="F176" s="38" t="s">
        <v>443</v>
      </c>
      <c r="G176" s="38"/>
      <c r="H176" s="53" t="str">
        <f t="shared" si="2"/>
        <v>citation:valia_mitsou-01</v>
      </c>
      <c r="I176" s="54"/>
      <c r="J176" s="38" t="s">
        <v>5353</v>
      </c>
      <c r="K176" s="38">
        <v>155</v>
      </c>
      <c r="L176" s="38">
        <v>6</v>
      </c>
      <c r="M176" s="69" t="s">
        <v>5384</v>
      </c>
      <c r="N176" s="38"/>
      <c r="O176" s="38"/>
      <c r="P176" s="31"/>
    </row>
    <row r="177" spans="2:16">
      <c r="B177" s="30" t="s">
        <v>1434</v>
      </c>
      <c r="C177" s="38" t="s">
        <v>1435</v>
      </c>
      <c r="D177" s="38" t="s">
        <v>1436</v>
      </c>
      <c r="E177" s="38" t="s">
        <v>3467</v>
      </c>
      <c r="F177" s="38" t="s">
        <v>443</v>
      </c>
      <c r="G177" s="38"/>
      <c r="H177" s="53" t="str">
        <f t="shared" si="2"/>
        <v>citation:william_skeith-01</v>
      </c>
      <c r="I177" s="54"/>
      <c r="J177" s="38" t="s">
        <v>5380</v>
      </c>
      <c r="K177" s="38" t="s">
        <v>5380</v>
      </c>
      <c r="L177" s="38" t="s">
        <v>5380</v>
      </c>
      <c r="M177" s="69" t="s">
        <v>5384</v>
      </c>
      <c r="N177" s="38"/>
      <c r="O177" s="38"/>
      <c r="P177" s="31"/>
    </row>
    <row r="178" spans="2:16">
      <c r="B178" s="30" t="s">
        <v>1437</v>
      </c>
      <c r="C178" s="38" t="s">
        <v>1438</v>
      </c>
      <c r="D178" s="38" t="s">
        <v>1439</v>
      </c>
      <c r="E178" s="38" t="s">
        <v>3468</v>
      </c>
      <c r="F178" s="38" t="s">
        <v>443</v>
      </c>
      <c r="G178" s="38"/>
      <c r="H178" s="53" t="str">
        <f t="shared" si="2"/>
        <v>citation:yosef_alayev-01</v>
      </c>
      <c r="I178" s="54"/>
      <c r="J178" s="38" t="s">
        <v>5380</v>
      </c>
      <c r="K178" s="38" t="s">
        <v>5380</v>
      </c>
      <c r="L178" s="38" t="s">
        <v>5380</v>
      </c>
      <c r="M178" s="69" t="s">
        <v>5384</v>
      </c>
      <c r="N178" s="38"/>
      <c r="O178" s="38"/>
      <c r="P178" s="31"/>
    </row>
    <row r="179" spans="2:16">
      <c r="B179" s="30" t="s">
        <v>1440</v>
      </c>
      <c r="C179" s="38" t="s">
        <v>1441</v>
      </c>
      <c r="D179" s="38" t="s">
        <v>1442</v>
      </c>
      <c r="E179" s="38" t="s">
        <v>3469</v>
      </c>
      <c r="F179" s="38" t="s">
        <v>443</v>
      </c>
      <c r="G179" s="38"/>
      <c r="H179" s="53" t="str">
        <f t="shared" si="2"/>
        <v>citation:zev_klagsbrun-01</v>
      </c>
      <c r="I179" s="54"/>
      <c r="J179" s="38" t="s">
        <v>5380</v>
      </c>
      <c r="K179" s="38" t="s">
        <v>5380</v>
      </c>
      <c r="L179" s="38" t="s">
        <v>5380</v>
      </c>
      <c r="M179" s="69" t="s">
        <v>5387</v>
      </c>
      <c r="N179" s="38"/>
      <c r="O179" s="38"/>
      <c r="P179" s="31"/>
    </row>
    <row r="180" spans="2:16">
      <c r="B180" s="32" t="s">
        <v>1443</v>
      </c>
      <c r="C180" s="39" t="s">
        <v>1444</v>
      </c>
      <c r="D180" s="39" t="s">
        <v>1414</v>
      </c>
      <c r="E180" s="39" t="s">
        <v>3470</v>
      </c>
      <c r="F180" s="39" t="s">
        <v>443</v>
      </c>
      <c r="G180" s="39"/>
      <c r="H180" s="51"/>
      <c r="I180" s="52"/>
      <c r="J180" s="38"/>
      <c r="K180" s="38"/>
      <c r="L180" s="38"/>
      <c r="M180" s="69" t="s">
        <v>5380</v>
      </c>
      <c r="N180" s="39"/>
      <c r="O180" s="39"/>
      <c r="P180" s="34"/>
    </row>
    <row r="181" spans="2:16">
      <c r="B181" s="28" t="s">
        <v>1445</v>
      </c>
      <c r="C181" s="37" t="s">
        <v>1446</v>
      </c>
      <c r="D181" s="37" t="s">
        <v>1447</v>
      </c>
      <c r="E181" s="37" t="s">
        <v>3471</v>
      </c>
      <c r="F181" s="37" t="s">
        <v>445</v>
      </c>
      <c r="G181" s="37"/>
      <c r="H181" s="49" t="str">
        <f t="shared" si="2"/>
        <v>citation:joost_bosman-01</v>
      </c>
      <c r="I181" s="50"/>
      <c r="J181" s="38" t="s">
        <v>5380</v>
      </c>
      <c r="K181" s="38" t="s">
        <v>5380</v>
      </c>
      <c r="L181" s="38" t="s">
        <v>5380</v>
      </c>
      <c r="M181" s="69" t="s">
        <v>5384</v>
      </c>
      <c r="N181" s="37"/>
      <c r="O181" s="37"/>
      <c r="P181" s="29"/>
    </row>
    <row r="182" spans="2:16">
      <c r="B182" s="32" t="s">
        <v>1448</v>
      </c>
      <c r="C182" s="39" t="s">
        <v>1449</v>
      </c>
      <c r="D182" s="39" t="s">
        <v>1450</v>
      </c>
      <c r="E182" s="39" t="s">
        <v>3472</v>
      </c>
      <c r="F182" s="39" t="s">
        <v>445</v>
      </c>
      <c r="G182" s="39"/>
      <c r="H182" s="51" t="str">
        <f t="shared" si="2"/>
        <v>citation:serge_fehr-01</v>
      </c>
      <c r="I182" s="52"/>
      <c r="J182" s="38" t="s">
        <v>5313</v>
      </c>
      <c r="K182" s="38">
        <v>1499</v>
      </c>
      <c r="L182" s="38">
        <v>21</v>
      </c>
      <c r="M182" s="69" t="s">
        <v>5384</v>
      </c>
      <c r="N182" s="39"/>
      <c r="O182" s="39"/>
      <c r="P182" s="34"/>
    </row>
    <row r="183" spans="2:16">
      <c r="B183" s="30" t="s">
        <v>1584</v>
      </c>
      <c r="C183" s="38" t="s">
        <v>1585</v>
      </c>
      <c r="D183" s="38" t="s">
        <v>1586</v>
      </c>
      <c r="E183" s="38" t="s">
        <v>3473</v>
      </c>
      <c r="F183" s="38" t="s">
        <v>358</v>
      </c>
      <c r="G183" s="38"/>
      <c r="H183" s="53" t="str">
        <f t="shared" si="2"/>
        <v>citation:anja_feldmann-01</v>
      </c>
      <c r="I183" s="54"/>
      <c r="J183" s="38" t="s">
        <v>5056</v>
      </c>
      <c r="K183" s="38">
        <v>12508</v>
      </c>
      <c r="L183" s="38">
        <v>54</v>
      </c>
      <c r="M183" s="69" t="s">
        <v>5391</v>
      </c>
      <c r="N183" s="38"/>
      <c r="O183" s="38"/>
      <c r="P183" s="31"/>
    </row>
    <row r="184" spans="2:16">
      <c r="B184" s="30" t="s">
        <v>1587</v>
      </c>
      <c r="C184" s="38" t="s">
        <v>1588</v>
      </c>
      <c r="D184" s="38" t="s">
        <v>1212</v>
      </c>
      <c r="E184" s="38" t="s">
        <v>3474</v>
      </c>
      <c r="F184" s="38" t="s">
        <v>358</v>
      </c>
      <c r="G184" s="38"/>
      <c r="H184" s="53" t="str">
        <f t="shared" si="2"/>
        <v>citation:juhoon_kim-01</v>
      </c>
      <c r="I184" s="54"/>
      <c r="J184" s="38" t="s">
        <v>5214</v>
      </c>
      <c r="K184" s="38">
        <v>132</v>
      </c>
      <c r="L184" s="38">
        <v>4</v>
      </c>
      <c r="M184" s="69" t="s">
        <v>5392</v>
      </c>
      <c r="N184" s="38"/>
      <c r="O184" s="38"/>
      <c r="P184" s="31"/>
    </row>
    <row r="185" spans="2:16">
      <c r="B185" s="32" t="s">
        <v>1589</v>
      </c>
      <c r="C185" s="39" t="s">
        <v>1590</v>
      </c>
      <c r="D185" s="39" t="s">
        <v>1591</v>
      </c>
      <c r="E185" s="39" t="s">
        <v>3475</v>
      </c>
      <c r="F185" s="39" t="s">
        <v>358</v>
      </c>
      <c r="G185" s="39"/>
      <c r="H185" s="51" t="str">
        <f t="shared" si="2"/>
        <v>citation:pan_hui-01</v>
      </c>
      <c r="I185" s="52"/>
      <c r="J185" s="38" t="s">
        <v>5273</v>
      </c>
      <c r="K185" s="38">
        <v>9064</v>
      </c>
      <c r="L185" s="38">
        <v>34</v>
      </c>
      <c r="M185" s="69" t="s">
        <v>5388</v>
      </c>
      <c r="N185" s="39"/>
      <c r="O185" s="39"/>
      <c r="P185" s="34"/>
    </row>
    <row r="186" spans="2:16">
      <c r="B186" s="32" t="s">
        <v>1592</v>
      </c>
      <c r="C186" s="39" t="s">
        <v>1593</v>
      </c>
      <c r="D186" s="39" t="s">
        <v>1594</v>
      </c>
      <c r="E186" s="39" t="s">
        <v>3476</v>
      </c>
      <c r="F186" s="39" t="s">
        <v>362</v>
      </c>
      <c r="G186" s="39"/>
      <c r="H186" s="51" t="str">
        <f t="shared" si="2"/>
        <v>citation:cedric_westphal-01</v>
      </c>
      <c r="I186" s="52"/>
      <c r="J186" s="38" t="s">
        <v>5083</v>
      </c>
      <c r="K186" s="38">
        <v>976</v>
      </c>
      <c r="L186" s="38">
        <v>18</v>
      </c>
      <c r="M186" s="69" t="s">
        <v>5387</v>
      </c>
      <c r="N186" s="39"/>
      <c r="O186" s="39"/>
      <c r="P186" s="34"/>
    </row>
    <row r="187" spans="2:16">
      <c r="B187" s="30" t="s">
        <v>1542</v>
      </c>
      <c r="C187" s="38" t="s">
        <v>1543</v>
      </c>
      <c r="D187" s="38" t="s">
        <v>1544</v>
      </c>
      <c r="E187" s="38" t="s">
        <v>3477</v>
      </c>
      <c r="F187" s="38" t="s">
        <v>332</v>
      </c>
      <c r="G187" s="38"/>
      <c r="H187" s="53"/>
      <c r="I187" s="54"/>
      <c r="J187" s="38"/>
      <c r="K187" s="38"/>
      <c r="L187" s="38"/>
      <c r="M187" s="69" t="s">
        <v>5380</v>
      </c>
      <c r="N187" s="38"/>
      <c r="O187" s="38"/>
      <c r="P187" s="31"/>
    </row>
    <row r="188" spans="2:16">
      <c r="B188" s="30" t="s">
        <v>1545</v>
      </c>
      <c r="C188" s="38" t="s">
        <v>83</v>
      </c>
      <c r="D188" s="38" t="s">
        <v>1546</v>
      </c>
      <c r="E188" s="38" t="s">
        <v>3478</v>
      </c>
      <c r="F188" s="38" t="s">
        <v>332</v>
      </c>
      <c r="G188" s="38"/>
      <c r="H188" s="53" t="str">
        <f t="shared" si="2"/>
        <v>citation:david_dean-01</v>
      </c>
      <c r="I188" s="54"/>
      <c r="J188" s="38" t="s">
        <v>5380</v>
      </c>
      <c r="K188" s="38" t="s">
        <v>5380</v>
      </c>
      <c r="L188" s="38" t="s">
        <v>5380</v>
      </c>
      <c r="M188" s="69" t="s">
        <v>5387</v>
      </c>
      <c r="N188" s="38"/>
      <c r="O188" s="38"/>
      <c r="P188" s="31"/>
    </row>
    <row r="189" spans="2:16">
      <c r="B189" s="30" t="s">
        <v>1547</v>
      </c>
      <c r="C189" s="38" t="s">
        <v>1548</v>
      </c>
      <c r="D189" s="38" t="s">
        <v>1549</v>
      </c>
      <c r="E189" s="38" t="s">
        <v>3479</v>
      </c>
      <c r="F189" s="38" t="s">
        <v>332</v>
      </c>
      <c r="G189" s="38"/>
      <c r="H189" s="53" t="str">
        <f t="shared" si="2"/>
        <v>citation:ed_gentle-01</v>
      </c>
      <c r="I189" s="54"/>
      <c r="J189" s="38" t="s">
        <v>5380</v>
      </c>
      <c r="K189" s="38" t="s">
        <v>5380</v>
      </c>
      <c r="L189" s="38" t="s">
        <v>5380</v>
      </c>
      <c r="M189" s="69" t="s">
        <v>5388</v>
      </c>
      <c r="N189" s="38"/>
      <c r="O189" s="38"/>
      <c r="P189" s="31"/>
    </row>
    <row r="190" spans="2:16">
      <c r="B190" s="30" t="s">
        <v>1550</v>
      </c>
      <c r="C190" s="38" t="s">
        <v>1551</v>
      </c>
      <c r="D190" s="38" t="s">
        <v>1552</v>
      </c>
      <c r="E190" s="38" t="s">
        <v>3480</v>
      </c>
      <c r="F190" s="38" t="s">
        <v>332</v>
      </c>
      <c r="G190" s="38"/>
      <c r="H190" s="53" t="str">
        <f t="shared" si="2"/>
        <v>citation:gavin_pearson-01</v>
      </c>
      <c r="I190" s="54"/>
      <c r="J190" s="38" t="s">
        <v>5380</v>
      </c>
      <c r="K190" s="38" t="s">
        <v>5380</v>
      </c>
      <c r="L190" s="38" t="s">
        <v>5380</v>
      </c>
      <c r="M190" s="69" t="s">
        <v>5385</v>
      </c>
      <c r="N190" s="38"/>
      <c r="O190" s="38"/>
      <c r="P190" s="31"/>
    </row>
    <row r="191" spans="2:16">
      <c r="B191" s="30" t="s">
        <v>1553</v>
      </c>
      <c r="C191" s="38" t="s">
        <v>1554</v>
      </c>
      <c r="D191" s="38" t="s">
        <v>1555</v>
      </c>
      <c r="E191" s="38" t="s">
        <v>3481</v>
      </c>
      <c r="F191" s="38" t="s">
        <v>332</v>
      </c>
      <c r="G191" s="38"/>
      <c r="H191" s="53"/>
      <c r="I191" s="54"/>
      <c r="J191" s="38"/>
      <c r="K191" s="38"/>
      <c r="L191" s="38"/>
      <c r="M191" s="69" t="s">
        <v>5380</v>
      </c>
      <c r="N191" s="38"/>
      <c r="O191" s="38"/>
      <c r="P191" s="31"/>
    </row>
    <row r="192" spans="2:16">
      <c r="B192" s="30" t="s">
        <v>1556</v>
      </c>
      <c r="C192" s="38" t="s">
        <v>1557</v>
      </c>
      <c r="D192" s="38" t="s">
        <v>1558</v>
      </c>
      <c r="E192" s="38" t="s">
        <v>3482</v>
      </c>
      <c r="F192" s="38" t="s">
        <v>332</v>
      </c>
      <c r="G192" s="38"/>
      <c r="H192" s="53" t="str">
        <f t="shared" si="2"/>
        <v>citation:jessica_connah-01</v>
      </c>
      <c r="I192" s="54"/>
      <c r="J192" s="38" t="s">
        <v>5380</v>
      </c>
      <c r="K192" s="38" t="s">
        <v>5380</v>
      </c>
      <c r="L192" s="38" t="s">
        <v>5380</v>
      </c>
      <c r="M192" s="69" t="s">
        <v>5384</v>
      </c>
      <c r="N192" s="38"/>
      <c r="O192" s="38"/>
      <c r="P192" s="31"/>
    </row>
    <row r="193" spans="2:16">
      <c r="B193" s="30" t="s">
        <v>1559</v>
      </c>
      <c r="C193" s="38" t="s">
        <v>1557</v>
      </c>
      <c r="D193" s="38" t="s">
        <v>1560</v>
      </c>
      <c r="E193" s="38" t="s">
        <v>3483</v>
      </c>
      <c r="F193" s="38" t="s">
        <v>332</v>
      </c>
      <c r="G193" s="38"/>
      <c r="H193" s="53" t="str">
        <f t="shared" si="2"/>
        <v>citation:jessica_lowe-01</v>
      </c>
      <c r="I193" s="54"/>
      <c r="J193" s="38" t="s">
        <v>5380</v>
      </c>
      <c r="K193" s="38" t="s">
        <v>5380</v>
      </c>
      <c r="L193" s="38" t="s">
        <v>5380</v>
      </c>
      <c r="M193" s="69" t="s">
        <v>5384</v>
      </c>
      <c r="N193" s="38"/>
      <c r="O193" s="38"/>
      <c r="P193" s="31"/>
    </row>
    <row r="194" spans="2:16">
      <c r="B194" s="30" t="s">
        <v>1561</v>
      </c>
      <c r="C194" s="38" t="s">
        <v>1562</v>
      </c>
      <c r="D194" s="38" t="s">
        <v>1563</v>
      </c>
      <c r="E194" s="38" t="s">
        <v>3484</v>
      </c>
      <c r="F194" s="38" t="s">
        <v>332</v>
      </c>
      <c r="G194" s="38"/>
      <c r="H194" s="53" t="str">
        <f t="shared" si="2"/>
        <v>citation:jitu_patel-01</v>
      </c>
      <c r="I194" s="54"/>
      <c r="J194" s="38" t="s">
        <v>5380</v>
      </c>
      <c r="K194" s="38" t="s">
        <v>5380</v>
      </c>
      <c r="L194" s="38" t="s">
        <v>5380</v>
      </c>
      <c r="M194" s="69" t="s">
        <v>5386</v>
      </c>
      <c r="N194" s="38"/>
      <c r="O194" s="38"/>
      <c r="P194" s="31"/>
    </row>
    <row r="195" spans="2:16">
      <c r="B195" s="30" t="s">
        <v>1564</v>
      </c>
      <c r="C195" s="38" t="s">
        <v>1565</v>
      </c>
      <c r="D195" s="38" t="s">
        <v>1566</v>
      </c>
      <c r="E195" s="38" t="s">
        <v>3485</v>
      </c>
      <c r="F195" s="38" t="s">
        <v>332</v>
      </c>
      <c r="G195" s="38"/>
      <c r="H195" s="53" t="str">
        <f t="shared" si="2"/>
        <v>citation:john_yesberg-01</v>
      </c>
      <c r="I195" s="54"/>
      <c r="J195" s="38" t="s">
        <v>5380</v>
      </c>
      <c r="K195" s="38" t="s">
        <v>5380</v>
      </c>
      <c r="L195" s="38" t="s">
        <v>5380</v>
      </c>
      <c r="M195" s="69" t="s">
        <v>5387</v>
      </c>
      <c r="N195" s="38"/>
      <c r="O195" s="38"/>
      <c r="P195" s="31"/>
    </row>
    <row r="196" spans="2:16">
      <c r="B196" s="30" t="s">
        <v>1567</v>
      </c>
      <c r="C196" s="38" t="s">
        <v>1568</v>
      </c>
      <c r="D196" s="38" t="s">
        <v>1569</v>
      </c>
      <c r="E196" s="38" t="s">
        <v>3486</v>
      </c>
      <c r="F196" s="38" t="s">
        <v>332</v>
      </c>
      <c r="G196" s="38"/>
      <c r="H196" s="53" t="str">
        <f t="shared" ref="H196:H259" si="3">"citation:"&amp;B196&amp;"-01"</f>
        <v>citation:olwen_worthington-01</v>
      </c>
      <c r="I196" s="54"/>
      <c r="J196" s="38" t="s">
        <v>5380</v>
      </c>
      <c r="K196" s="38" t="s">
        <v>5380</v>
      </c>
      <c r="L196" s="38" t="s">
        <v>5380</v>
      </c>
      <c r="M196" s="69" t="s">
        <v>5384</v>
      </c>
      <c r="N196" s="38"/>
      <c r="O196" s="38"/>
      <c r="P196" s="31"/>
    </row>
    <row r="197" spans="2:16">
      <c r="B197" s="30" t="s">
        <v>1570</v>
      </c>
      <c r="C197" s="38" t="s">
        <v>1571</v>
      </c>
      <c r="D197" s="38" t="s">
        <v>1572</v>
      </c>
      <c r="E197" s="38" t="s">
        <v>3487</v>
      </c>
      <c r="F197" s="38" t="s">
        <v>332</v>
      </c>
      <c r="G197" s="38"/>
      <c r="H197" s="53" t="str">
        <f t="shared" si="3"/>
        <v>citation:peter_houghton-01</v>
      </c>
      <c r="I197" s="54"/>
      <c r="J197" s="38" t="s">
        <v>5380</v>
      </c>
      <c r="K197" s="38" t="s">
        <v>5380</v>
      </c>
      <c r="L197" s="38" t="s">
        <v>5380</v>
      </c>
      <c r="M197" s="69" t="s">
        <v>5388</v>
      </c>
      <c r="N197" s="38"/>
      <c r="O197" s="38"/>
      <c r="P197" s="31"/>
    </row>
    <row r="198" spans="2:16">
      <c r="B198" s="30" t="s">
        <v>1573</v>
      </c>
      <c r="C198" s="38" t="s">
        <v>1571</v>
      </c>
      <c r="D198" s="38" t="s">
        <v>1574</v>
      </c>
      <c r="E198" s="38" t="s">
        <v>3488</v>
      </c>
      <c r="F198" s="38" t="s">
        <v>332</v>
      </c>
      <c r="G198" s="38"/>
      <c r="H198" s="53" t="str">
        <f t="shared" si="3"/>
        <v>citation:peter_wrobel-01</v>
      </c>
      <c r="I198" s="54"/>
      <c r="J198" s="38" t="s">
        <v>5380</v>
      </c>
      <c r="K198" s="38" t="s">
        <v>5380</v>
      </c>
      <c r="L198" s="38" t="s">
        <v>5380</v>
      </c>
      <c r="M198" s="69" t="s">
        <v>5384</v>
      </c>
      <c r="N198" s="38"/>
      <c r="O198" s="38"/>
      <c r="P198" s="31"/>
    </row>
    <row r="199" spans="2:16">
      <c r="B199" s="30" t="s">
        <v>1575</v>
      </c>
      <c r="C199" s="38" t="s">
        <v>1576</v>
      </c>
      <c r="D199" s="38" t="s">
        <v>1577</v>
      </c>
      <c r="E199" s="38" t="s">
        <v>3489</v>
      </c>
      <c r="F199" s="38" t="s">
        <v>332</v>
      </c>
      <c r="G199" s="38"/>
      <c r="H199" s="53" t="str">
        <f t="shared" si="3"/>
        <v>citation:rob_young-01</v>
      </c>
      <c r="I199" s="54"/>
      <c r="J199" s="38" t="s">
        <v>5380</v>
      </c>
      <c r="K199" s="38" t="s">
        <v>5380</v>
      </c>
      <c r="L199" s="38" t="s">
        <v>5380</v>
      </c>
      <c r="M199" s="69" t="s">
        <v>5388</v>
      </c>
      <c r="N199" s="38"/>
      <c r="O199" s="38"/>
      <c r="P199" s="31"/>
    </row>
    <row r="200" spans="2:16">
      <c r="B200" s="30" t="s">
        <v>1578</v>
      </c>
      <c r="C200" s="38" t="s">
        <v>1579</v>
      </c>
      <c r="D200" s="38" t="s">
        <v>1580</v>
      </c>
      <c r="E200" s="38" t="s">
        <v>3490</v>
      </c>
      <c r="F200" s="38" t="s">
        <v>332</v>
      </c>
      <c r="G200" s="38"/>
      <c r="H200" s="53" t="str">
        <f t="shared" si="3"/>
        <v>citation:stuart_colley-01</v>
      </c>
      <c r="I200" s="54"/>
      <c r="J200" s="38" t="s">
        <v>5380</v>
      </c>
      <c r="K200" s="38" t="s">
        <v>5380</v>
      </c>
      <c r="L200" s="38" t="s">
        <v>5380</v>
      </c>
      <c r="M200" s="69" t="s">
        <v>5384</v>
      </c>
      <c r="N200" s="38"/>
      <c r="O200" s="38"/>
      <c r="P200" s="31"/>
    </row>
    <row r="201" spans="2:16">
      <c r="B201" s="32" t="s">
        <v>1581</v>
      </c>
      <c r="C201" s="39" t="s">
        <v>1582</v>
      </c>
      <c r="D201" s="39" t="s">
        <v>1583</v>
      </c>
      <c r="E201" s="39" t="s">
        <v>3491</v>
      </c>
      <c r="F201" s="39" t="s">
        <v>332</v>
      </c>
      <c r="G201" s="39"/>
      <c r="H201" s="51"/>
      <c r="I201" s="52"/>
      <c r="J201" s="38"/>
      <c r="K201" s="38"/>
      <c r="L201" s="38"/>
      <c r="M201" s="69" t="s">
        <v>5380</v>
      </c>
      <c r="N201" s="39"/>
      <c r="O201" s="39"/>
      <c r="P201" s="34"/>
    </row>
    <row r="202" spans="2:16">
      <c r="B202" s="32" t="s">
        <v>1595</v>
      </c>
      <c r="C202" s="39" t="s">
        <v>1551</v>
      </c>
      <c r="D202" s="39" t="s">
        <v>1596</v>
      </c>
      <c r="E202" s="39" t="s">
        <v>3492</v>
      </c>
      <c r="F202" s="39" t="s">
        <v>365</v>
      </c>
      <c r="G202" s="39"/>
      <c r="H202" s="51" t="str">
        <f t="shared" si="3"/>
        <v>citation:gavin_powell-01</v>
      </c>
      <c r="I202" s="52"/>
      <c r="J202" s="38" t="s">
        <v>5147</v>
      </c>
      <c r="K202" s="38">
        <v>104</v>
      </c>
      <c r="L202" s="38">
        <v>6</v>
      </c>
      <c r="M202" s="69" t="s">
        <v>5384</v>
      </c>
      <c r="N202" s="39"/>
      <c r="O202" s="39"/>
      <c r="P202" s="34"/>
    </row>
    <row r="203" spans="2:16">
      <c r="B203" s="28" t="s">
        <v>1614</v>
      </c>
      <c r="C203" s="37" t="s">
        <v>1615</v>
      </c>
      <c r="D203" s="37" t="s">
        <v>1616</v>
      </c>
      <c r="E203" s="37" t="s">
        <v>3493</v>
      </c>
      <c r="F203" s="37" t="s">
        <v>467</v>
      </c>
      <c r="G203" s="37"/>
      <c r="H203" s="49" t="str">
        <f t="shared" si="3"/>
        <v>citation:ioannis_krikidis-01</v>
      </c>
      <c r="I203" s="50"/>
      <c r="J203" s="38" t="s">
        <v>5175</v>
      </c>
      <c r="K203" s="38">
        <v>2682</v>
      </c>
      <c r="L203" s="38">
        <v>25</v>
      </c>
      <c r="M203" s="69" t="s">
        <v>5391</v>
      </c>
      <c r="N203" s="37"/>
      <c r="O203" s="37"/>
      <c r="P203" s="29"/>
    </row>
    <row r="204" spans="2:16">
      <c r="B204" s="32" t="s">
        <v>1617</v>
      </c>
      <c r="C204" s="39" t="s">
        <v>1565</v>
      </c>
      <c r="D204" s="39" t="s">
        <v>1618</v>
      </c>
      <c r="E204" s="39" t="s">
        <v>3494</v>
      </c>
      <c r="F204" s="39" t="s">
        <v>467</v>
      </c>
      <c r="G204" s="39"/>
      <c r="H204" s="51" t="str">
        <f t="shared" si="3"/>
        <v>citation:john_thompson-01</v>
      </c>
      <c r="I204" s="52"/>
      <c r="J204" s="38" t="s">
        <v>5205</v>
      </c>
      <c r="K204" s="38">
        <v>7083</v>
      </c>
      <c r="L204" s="38">
        <v>41</v>
      </c>
      <c r="M204" s="69" t="s">
        <v>5391</v>
      </c>
      <c r="N204" s="39"/>
      <c r="O204" s="39"/>
      <c r="P204" s="34"/>
    </row>
    <row r="205" spans="2:16">
      <c r="B205" s="28" t="s">
        <v>1597</v>
      </c>
      <c r="C205" s="37" t="s">
        <v>1598</v>
      </c>
      <c r="D205" s="37" t="s">
        <v>1599</v>
      </c>
      <c r="E205" s="37" t="s">
        <v>3495</v>
      </c>
      <c r="F205" s="37" t="s">
        <v>465</v>
      </c>
      <c r="G205" s="37"/>
      <c r="H205" s="49" t="str">
        <f t="shared" si="3"/>
        <v>citation:jean-pierre_hubaux-01</v>
      </c>
      <c r="I205" s="50"/>
      <c r="J205" s="38" t="s">
        <v>5185</v>
      </c>
      <c r="K205" s="38">
        <v>26620</v>
      </c>
      <c r="L205" s="38">
        <v>70</v>
      </c>
      <c r="M205" s="69" t="s">
        <v>5387</v>
      </c>
      <c r="N205" s="37"/>
      <c r="O205" s="37"/>
      <c r="P205" s="29"/>
    </row>
    <row r="206" spans="2:16">
      <c r="B206" s="30" t="s">
        <v>1600</v>
      </c>
      <c r="C206" s="38" t="s">
        <v>1601</v>
      </c>
      <c r="D206" s="38" t="s">
        <v>1602</v>
      </c>
      <c r="E206" s="38" t="s">
        <v>3496</v>
      </c>
      <c r="F206" s="38" t="s">
        <v>465</v>
      </c>
      <c r="G206" s="38"/>
      <c r="H206" s="53" t="str">
        <f t="shared" si="3"/>
        <v>citation:maxim_raya-01</v>
      </c>
      <c r="I206" s="54"/>
      <c r="J206" s="38" t="s">
        <v>5380</v>
      </c>
      <c r="K206" s="38" t="s">
        <v>5380</v>
      </c>
      <c r="L206" s="38" t="s">
        <v>5380</v>
      </c>
      <c r="M206" s="69" t="s">
        <v>5386</v>
      </c>
      <c r="N206" s="38"/>
      <c r="O206" s="38"/>
      <c r="P206" s="31"/>
    </row>
    <row r="207" spans="2:16">
      <c r="B207" s="30" t="s">
        <v>1603</v>
      </c>
      <c r="C207" s="38" t="s">
        <v>1604</v>
      </c>
      <c r="D207" s="38" t="s">
        <v>1605</v>
      </c>
      <c r="E207" s="38" t="s">
        <v>3497</v>
      </c>
      <c r="F207" s="38" t="s">
        <v>465</v>
      </c>
      <c r="G207" s="38"/>
      <c r="H207" s="53" t="str">
        <f t="shared" si="3"/>
        <v>citation:panagiotis_papadimitratos-01</v>
      </c>
      <c r="I207" s="54"/>
      <c r="J207" s="38" t="s">
        <v>5274</v>
      </c>
      <c r="K207" s="38">
        <v>8387</v>
      </c>
      <c r="L207" s="38">
        <v>38</v>
      </c>
      <c r="M207" s="69" t="s">
        <v>5387</v>
      </c>
      <c r="N207" s="38"/>
      <c r="O207" s="38"/>
      <c r="P207" s="31"/>
    </row>
    <row r="208" spans="2:16">
      <c r="B208" s="32" t="s">
        <v>1606</v>
      </c>
      <c r="C208" s="39" t="s">
        <v>102</v>
      </c>
      <c r="D208" s="39" t="s">
        <v>1607</v>
      </c>
      <c r="E208" s="39" t="s">
        <v>3498</v>
      </c>
      <c r="F208" s="39" t="s">
        <v>465</v>
      </c>
      <c r="G208" s="39"/>
      <c r="H208" s="51" t="str">
        <f t="shared" si="3"/>
        <v>citation:patrick_thiran-01</v>
      </c>
      <c r="I208" s="52"/>
      <c r="J208" s="38" t="s">
        <v>5278</v>
      </c>
      <c r="K208" s="38">
        <v>9551</v>
      </c>
      <c r="L208" s="38">
        <v>50</v>
      </c>
      <c r="M208" s="69" t="s">
        <v>5391</v>
      </c>
      <c r="N208" s="39"/>
      <c r="O208" s="39"/>
      <c r="P208" s="34"/>
    </row>
    <row r="209" spans="2:16">
      <c r="B209" s="30" t="s">
        <v>1608</v>
      </c>
      <c r="C209" s="38" t="s">
        <v>1609</v>
      </c>
      <c r="D209" s="38" t="s">
        <v>1610</v>
      </c>
      <c r="E209" s="38" t="s">
        <v>3499</v>
      </c>
      <c r="F209" s="38" t="s">
        <v>367</v>
      </c>
      <c r="G209" s="38"/>
      <c r="H209" s="53"/>
      <c r="I209" s="54"/>
      <c r="J209" s="38"/>
      <c r="K209" s="38"/>
      <c r="L209" s="38"/>
      <c r="M209" s="69" t="s">
        <v>5380</v>
      </c>
      <c r="N209" s="38"/>
      <c r="O209" s="38"/>
      <c r="P209" s="31"/>
    </row>
    <row r="210" spans="2:16">
      <c r="B210" s="32" t="s">
        <v>1611</v>
      </c>
      <c r="C210" s="39" t="s">
        <v>1612</v>
      </c>
      <c r="D210" s="39" t="s">
        <v>1613</v>
      </c>
      <c r="E210" s="39" t="s">
        <v>3500</v>
      </c>
      <c r="F210" s="39" t="s">
        <v>367</v>
      </c>
      <c r="G210" s="39"/>
      <c r="H210" s="51"/>
      <c r="I210" s="52"/>
      <c r="J210" s="38"/>
      <c r="K210" s="38"/>
      <c r="L210" s="38"/>
      <c r="M210" s="69" t="s">
        <v>5380</v>
      </c>
      <c r="N210" s="39"/>
      <c r="O210" s="39"/>
      <c r="P210" s="34"/>
    </row>
    <row r="211" spans="2:16">
      <c r="B211" s="32" t="s">
        <v>1619</v>
      </c>
      <c r="C211" s="39" t="s">
        <v>1620</v>
      </c>
      <c r="D211" s="39" t="s">
        <v>1621</v>
      </c>
      <c r="E211" s="39" t="s">
        <v>3501</v>
      </c>
      <c r="F211" s="39" t="s">
        <v>470</v>
      </c>
      <c r="G211" s="39"/>
      <c r="H211" s="51"/>
      <c r="I211" s="52"/>
      <c r="J211" s="38"/>
      <c r="K211" s="38"/>
      <c r="L211" s="38"/>
      <c r="M211" s="69" t="s">
        <v>5380</v>
      </c>
      <c r="N211" s="39"/>
      <c r="O211" s="39"/>
      <c r="P211" s="34"/>
    </row>
    <row r="212" spans="2:16">
      <c r="B212" s="32" t="s">
        <v>1622</v>
      </c>
      <c r="C212" s="39" t="s">
        <v>1623</v>
      </c>
      <c r="D212" s="39" t="s">
        <v>1624</v>
      </c>
      <c r="E212" s="39" t="s">
        <v>3502</v>
      </c>
      <c r="F212" s="39" t="s">
        <v>370</v>
      </c>
      <c r="G212" s="39"/>
      <c r="H212" s="51" t="str">
        <f t="shared" si="3"/>
        <v>citation:micah_adler-01</v>
      </c>
      <c r="I212" s="52"/>
      <c r="J212" s="38" t="s">
        <v>5380</v>
      </c>
      <c r="K212" s="38" t="s">
        <v>5380</v>
      </c>
      <c r="L212" s="38" t="s">
        <v>5380</v>
      </c>
      <c r="M212" s="69" t="s">
        <v>5391</v>
      </c>
      <c r="N212" s="39"/>
      <c r="O212" s="39"/>
      <c r="P212" s="34"/>
    </row>
    <row r="213" spans="2:16">
      <c r="B213" s="30" t="s">
        <v>1625</v>
      </c>
      <c r="C213" s="38" t="s">
        <v>1626</v>
      </c>
      <c r="D213" s="38" t="s">
        <v>1627</v>
      </c>
      <c r="E213" s="38" t="s">
        <v>3503</v>
      </c>
      <c r="F213" s="38" t="s">
        <v>474</v>
      </c>
      <c r="G213" s="38"/>
      <c r="H213" s="53" t="str">
        <f t="shared" si="3"/>
        <v>citation:jinpeng_wei-01</v>
      </c>
      <c r="I213" s="54"/>
      <c r="J213" s="38" t="s">
        <v>5198</v>
      </c>
      <c r="K213" s="38">
        <v>427</v>
      </c>
      <c r="L213" s="38">
        <v>9</v>
      </c>
      <c r="M213" s="69" t="s">
        <v>5387</v>
      </c>
      <c r="N213" s="38"/>
      <c r="O213" s="38"/>
      <c r="P213" s="31"/>
    </row>
    <row r="214" spans="2:16">
      <c r="B214" s="32" t="s">
        <v>1628</v>
      </c>
      <c r="C214" s="39" t="s">
        <v>1629</v>
      </c>
      <c r="D214" s="39" t="s">
        <v>1196</v>
      </c>
      <c r="E214" s="39" t="s">
        <v>3504</v>
      </c>
      <c r="F214" s="39" t="s">
        <v>474</v>
      </c>
      <c r="G214" s="39"/>
      <c r="H214" s="51" t="str">
        <f t="shared" si="3"/>
        <v>citation:yongzhi_wang-01</v>
      </c>
      <c r="I214" s="52"/>
      <c r="J214" s="38" t="s">
        <v>5380</v>
      </c>
      <c r="K214" s="38" t="s">
        <v>5380</v>
      </c>
      <c r="L214" s="38" t="s">
        <v>5380</v>
      </c>
      <c r="M214" s="69" t="s">
        <v>5387</v>
      </c>
      <c r="N214" s="39"/>
      <c r="O214" s="39"/>
      <c r="P214" s="34"/>
    </row>
    <row r="215" spans="2:16">
      <c r="B215" s="32" t="s">
        <v>1630</v>
      </c>
      <c r="C215" s="39" t="s">
        <v>1501</v>
      </c>
      <c r="D215" s="39" t="s">
        <v>1631</v>
      </c>
      <c r="E215" s="39" t="s">
        <v>3505</v>
      </c>
      <c r="F215" s="39" t="s">
        <v>477</v>
      </c>
      <c r="G215" s="39"/>
      <c r="H215" s="51" t="str">
        <f t="shared" si="3"/>
        <v>citation:michael_clarkson-01</v>
      </c>
      <c r="I215" s="52"/>
      <c r="J215" s="38" t="s">
        <v>5248</v>
      </c>
      <c r="K215" s="38">
        <v>1280</v>
      </c>
      <c r="L215" s="38">
        <v>11</v>
      </c>
      <c r="M215" s="69" t="s">
        <v>5391</v>
      </c>
      <c r="N215" s="39"/>
      <c r="O215" s="39"/>
      <c r="P215" s="34"/>
    </row>
    <row r="216" spans="2:16">
      <c r="B216" s="30" t="s">
        <v>1632</v>
      </c>
      <c r="C216" s="38" t="s">
        <v>1633</v>
      </c>
      <c r="D216" s="38" t="s">
        <v>1406</v>
      </c>
      <c r="E216" s="38" t="s">
        <v>3506</v>
      </c>
      <c r="F216" s="38" t="s">
        <v>479</v>
      </c>
      <c r="G216" s="38"/>
      <c r="H216" s="53" t="str">
        <f t="shared" si="3"/>
        <v>citation:ling_liu-01</v>
      </c>
      <c r="I216" s="54"/>
      <c r="J216" s="38" t="s">
        <v>5228</v>
      </c>
      <c r="K216" s="38">
        <v>17578</v>
      </c>
      <c r="L216" s="38">
        <v>58</v>
      </c>
      <c r="M216" s="69" t="s">
        <v>5384</v>
      </c>
      <c r="N216" s="38"/>
      <c r="O216" s="38"/>
      <c r="P216" s="31"/>
    </row>
    <row r="217" spans="2:16">
      <c r="B217" s="30" t="s">
        <v>1634</v>
      </c>
      <c r="C217" s="38" t="s">
        <v>1635</v>
      </c>
      <c r="D217" s="38" t="s">
        <v>1636</v>
      </c>
      <c r="E217" s="38" t="s">
        <v>3507</v>
      </c>
      <c r="F217" s="38" t="s">
        <v>479</v>
      </c>
      <c r="G217" s="38"/>
      <c r="H217" s="53" t="str">
        <f t="shared" si="3"/>
        <v>citation:raheem_beyah-01</v>
      </c>
      <c r="I217" s="54"/>
      <c r="J217" s="38" t="s">
        <v>5293</v>
      </c>
      <c r="K217" s="38">
        <v>1054</v>
      </c>
      <c r="L217" s="38">
        <v>18</v>
      </c>
      <c r="M217" s="69" t="s">
        <v>5388</v>
      </c>
      <c r="N217" s="38"/>
      <c r="O217" s="38"/>
      <c r="P217" s="31"/>
    </row>
    <row r="218" spans="2:16">
      <c r="B218" s="30" t="s">
        <v>1637</v>
      </c>
      <c r="C218" s="38" t="s">
        <v>1638</v>
      </c>
      <c r="D218" s="38" t="s">
        <v>1408</v>
      </c>
      <c r="E218" s="38" t="s">
        <v>3508</v>
      </c>
      <c r="F218" s="38" t="s">
        <v>479</v>
      </c>
      <c r="G218" s="38"/>
      <c r="H218" s="53" t="str">
        <f t="shared" si="3"/>
        <v>citation:shouling_ji-01</v>
      </c>
      <c r="I218" s="54"/>
      <c r="J218" s="38" t="s">
        <v>5324</v>
      </c>
      <c r="K218" s="38">
        <v>559</v>
      </c>
      <c r="L218" s="38">
        <v>15</v>
      </c>
      <c r="M218" s="69" t="s">
        <v>5388</v>
      </c>
      <c r="N218" s="38"/>
      <c r="O218" s="38"/>
      <c r="P218" s="31"/>
    </row>
    <row r="219" spans="2:16">
      <c r="B219" s="30" t="s">
        <v>1639</v>
      </c>
      <c r="C219" s="38" t="s">
        <v>1640</v>
      </c>
      <c r="D219" s="38" t="s">
        <v>1641</v>
      </c>
      <c r="E219" s="38" t="s">
        <v>3509</v>
      </c>
      <c r="F219" s="38" t="s">
        <v>479</v>
      </c>
      <c r="G219" s="38"/>
      <c r="H219" s="53" t="str">
        <f t="shared" si="3"/>
        <v>citation:weiqing_li-01</v>
      </c>
      <c r="I219" s="54"/>
      <c r="J219" s="38" t="s">
        <v>5358</v>
      </c>
      <c r="K219" s="38">
        <v>8</v>
      </c>
      <c r="L219" s="38">
        <v>2</v>
      </c>
      <c r="M219" s="69" t="s">
        <v>5388</v>
      </c>
      <c r="N219" s="38"/>
      <c r="O219" s="38"/>
      <c r="P219" s="31"/>
    </row>
    <row r="220" spans="2:16">
      <c r="B220" s="30" t="s">
        <v>1642</v>
      </c>
      <c r="C220" s="38" t="s">
        <v>1643</v>
      </c>
      <c r="D220" s="38" t="s">
        <v>1644</v>
      </c>
      <c r="E220" s="38" t="s">
        <v>3510</v>
      </c>
      <c r="F220" s="38" t="s">
        <v>479</v>
      </c>
      <c r="G220" s="38"/>
      <c r="H220" s="53" t="str">
        <f t="shared" si="3"/>
        <v>citation:xuefeng_gao-01</v>
      </c>
      <c r="I220" s="54"/>
      <c r="J220" s="38" t="s">
        <v>5380</v>
      </c>
      <c r="K220" s="38" t="s">
        <v>5380</v>
      </c>
      <c r="L220" s="38" t="s">
        <v>5380</v>
      </c>
      <c r="M220" s="69" t="s">
        <v>5391</v>
      </c>
      <c r="N220" s="38"/>
      <c r="O220" s="38"/>
      <c r="P220" s="31"/>
    </row>
    <row r="221" spans="2:16">
      <c r="B221" s="32" t="s">
        <v>1645</v>
      </c>
      <c r="C221" s="39" t="s">
        <v>1646</v>
      </c>
      <c r="D221" s="39" t="s">
        <v>1323</v>
      </c>
      <c r="E221" s="39" t="s">
        <v>3511</v>
      </c>
      <c r="F221" s="39" t="s">
        <v>479</v>
      </c>
      <c r="G221" s="39"/>
      <c r="H221" s="51" t="str">
        <f t="shared" si="3"/>
        <v>citation:yuzhe_tang-01</v>
      </c>
      <c r="I221" s="52"/>
      <c r="J221" s="38" t="s">
        <v>5380</v>
      </c>
      <c r="K221" s="38" t="s">
        <v>5380</v>
      </c>
      <c r="L221" s="38" t="s">
        <v>5380</v>
      </c>
      <c r="M221" s="69" t="s">
        <v>5387</v>
      </c>
      <c r="N221" s="39"/>
      <c r="O221" s="39"/>
      <c r="P221" s="34"/>
    </row>
    <row r="222" spans="2:16">
      <c r="B222" s="32" t="s">
        <v>1647</v>
      </c>
      <c r="C222" s="39" t="s">
        <v>1648</v>
      </c>
      <c r="D222" s="39" t="s">
        <v>1649</v>
      </c>
      <c r="E222" s="39" t="s">
        <v>3512</v>
      </c>
      <c r="F222" s="39" t="s">
        <v>481</v>
      </c>
      <c r="G222" s="39"/>
      <c r="H222" s="51" t="str">
        <f t="shared" si="3"/>
        <v>citation:jianfeng_du-01</v>
      </c>
      <c r="I222" s="52"/>
      <c r="J222" s="38" t="s">
        <v>5380</v>
      </c>
      <c r="K222" s="38" t="s">
        <v>5380</v>
      </c>
      <c r="L222" s="38" t="s">
        <v>5380</v>
      </c>
      <c r="M222" s="69" t="s">
        <v>5391</v>
      </c>
      <c r="N222" s="39"/>
      <c r="O222" s="39"/>
      <c r="P222" s="34"/>
    </row>
    <row r="223" spans="2:16">
      <c r="B223" s="30" t="s">
        <v>1650</v>
      </c>
      <c r="C223" s="38" t="s">
        <v>1651</v>
      </c>
      <c r="D223" s="38" t="s">
        <v>1649</v>
      </c>
      <c r="E223" s="38" t="s">
        <v>3513</v>
      </c>
      <c r="F223" s="38" t="s">
        <v>484</v>
      </c>
      <c r="G223" s="38"/>
      <c r="H223" s="53" t="str">
        <f t="shared" si="3"/>
        <v>citation:wencai_du-01</v>
      </c>
      <c r="I223" s="54"/>
      <c r="J223" s="38" t="s">
        <v>5380</v>
      </c>
      <c r="K223" s="38" t="s">
        <v>5380</v>
      </c>
      <c r="L223" s="38" t="s">
        <v>5380</v>
      </c>
      <c r="M223" s="69" t="s">
        <v>5383</v>
      </c>
      <c r="N223" s="38"/>
      <c r="O223" s="38"/>
      <c r="P223" s="31"/>
    </row>
    <row r="224" spans="2:16">
      <c r="B224" s="32" t="s">
        <v>1652</v>
      </c>
      <c r="C224" s="39" t="s">
        <v>1653</v>
      </c>
      <c r="D224" s="39" t="s">
        <v>1654</v>
      </c>
      <c r="E224" s="39" t="s">
        <v>3514</v>
      </c>
      <c r="F224" s="39" t="s">
        <v>484</v>
      </c>
      <c r="G224" s="39"/>
      <c r="H224" s="51" t="str">
        <f t="shared" si="3"/>
        <v>citation:yucong_duan-01</v>
      </c>
      <c r="I224" s="52"/>
      <c r="J224" s="38" t="s">
        <v>5373</v>
      </c>
      <c r="K224" s="38">
        <v>300</v>
      </c>
      <c r="L224" s="38">
        <v>9</v>
      </c>
      <c r="M224" s="69" t="s">
        <v>5383</v>
      </c>
      <c r="N224" s="39"/>
      <c r="O224" s="39"/>
      <c r="P224" s="34"/>
    </row>
    <row r="225" spans="2:16">
      <c r="B225" s="32" t="s">
        <v>1655</v>
      </c>
      <c r="C225" s="39" t="s">
        <v>1656</v>
      </c>
      <c r="D225" s="39" t="s">
        <v>1657</v>
      </c>
      <c r="E225" s="39" t="s">
        <v>3515</v>
      </c>
      <c r="F225" s="39" t="s">
        <v>373</v>
      </c>
      <c r="G225" s="39"/>
      <c r="H225" s="51"/>
      <c r="I225" s="52"/>
      <c r="J225" s="38"/>
      <c r="K225" s="38"/>
      <c r="L225" s="38"/>
      <c r="M225" s="69" t="s">
        <v>5380</v>
      </c>
      <c r="N225" s="39"/>
      <c r="O225" s="39"/>
      <c r="P225" s="34"/>
    </row>
    <row r="226" spans="2:16">
      <c r="B226" s="32" t="s">
        <v>1658</v>
      </c>
      <c r="C226" s="39" t="s">
        <v>1659</v>
      </c>
      <c r="D226" s="39" t="s">
        <v>1660</v>
      </c>
      <c r="E226" s="39" t="s">
        <v>3516</v>
      </c>
      <c r="F226" s="39" t="s">
        <v>487</v>
      </c>
      <c r="G226" s="39"/>
      <c r="H226" s="51" t="str">
        <f t="shared" si="3"/>
        <v>citation:bjorn_scheuermann-01</v>
      </c>
      <c r="I226" s="52"/>
      <c r="J226" s="38" t="s">
        <v>5380</v>
      </c>
      <c r="K226" s="38" t="s">
        <v>5380</v>
      </c>
      <c r="L226" s="38" t="s">
        <v>5380</v>
      </c>
      <c r="M226" s="69" t="s">
        <v>5387</v>
      </c>
      <c r="N226" s="39"/>
      <c r="O226" s="39"/>
      <c r="P226" s="34"/>
    </row>
    <row r="227" spans="2:16">
      <c r="B227" s="30" t="s">
        <v>1661</v>
      </c>
      <c r="C227" s="38" t="s">
        <v>1662</v>
      </c>
      <c r="D227" s="38" t="s">
        <v>1397</v>
      </c>
      <c r="E227" s="38" t="s">
        <v>3517</v>
      </c>
      <c r="F227" s="38" t="s">
        <v>375</v>
      </c>
      <c r="G227" s="38"/>
      <c r="H227" s="53" t="str">
        <f t="shared" si="3"/>
        <v>citation:daniel_johnson-01</v>
      </c>
      <c r="I227" s="54"/>
      <c r="J227" s="38" t="s">
        <v>5380</v>
      </c>
      <c r="K227" s="38" t="s">
        <v>5380</v>
      </c>
      <c r="L227" s="38" t="s">
        <v>5380</v>
      </c>
      <c r="M227" s="69" t="s">
        <v>5387</v>
      </c>
      <c r="N227" s="38"/>
      <c r="O227" s="38"/>
      <c r="P227" s="31"/>
    </row>
    <row r="228" spans="2:16">
      <c r="B228" s="30" t="s">
        <v>1663</v>
      </c>
      <c r="C228" s="38" t="s">
        <v>1664</v>
      </c>
      <c r="D228" s="38" t="s">
        <v>1665</v>
      </c>
      <c r="E228" s="38" t="s">
        <v>3518</v>
      </c>
      <c r="F228" s="38" t="s">
        <v>375</v>
      </c>
      <c r="G228" s="38"/>
      <c r="H228" s="53" t="str">
        <f t="shared" si="3"/>
        <v>citation:dinkar_mylaraswamy-01</v>
      </c>
      <c r="I228" s="54"/>
      <c r="J228" s="38" t="s">
        <v>5380</v>
      </c>
      <c r="K228" s="38" t="s">
        <v>5380</v>
      </c>
      <c r="L228" s="38" t="s">
        <v>5380</v>
      </c>
      <c r="M228" s="69" t="s">
        <v>5387</v>
      </c>
      <c r="N228" s="38"/>
      <c r="O228" s="38"/>
      <c r="P228" s="31"/>
    </row>
    <row r="229" spans="2:16">
      <c r="B229" s="30" t="s">
        <v>1666</v>
      </c>
      <c r="C229" s="38" t="s">
        <v>1151</v>
      </c>
      <c r="D229" s="38" t="s">
        <v>1667</v>
      </c>
      <c r="E229" s="38" t="s">
        <v>3519</v>
      </c>
      <c r="F229" s="38" t="s">
        <v>375</v>
      </c>
      <c r="G229" s="38"/>
      <c r="H229" s="53" t="str">
        <f t="shared" si="3"/>
        <v>citation:james_kirk-01</v>
      </c>
      <c r="I229" s="54"/>
      <c r="J229" s="38" t="s">
        <v>5380</v>
      </c>
      <c r="K229" s="38" t="s">
        <v>5380</v>
      </c>
      <c r="L229" s="38" t="s">
        <v>5380</v>
      </c>
      <c r="M229" s="69" t="s">
        <v>5384</v>
      </c>
      <c r="N229" s="38"/>
      <c r="O229" s="38"/>
      <c r="P229" s="31"/>
    </row>
    <row r="230" spans="2:16">
      <c r="B230" s="30" t="s">
        <v>1668</v>
      </c>
      <c r="C230" s="38" t="s">
        <v>1151</v>
      </c>
      <c r="D230" s="38" t="s">
        <v>1669</v>
      </c>
      <c r="E230" s="38" t="s">
        <v>3520</v>
      </c>
      <c r="F230" s="38" t="s">
        <v>375</v>
      </c>
      <c r="G230" s="38"/>
      <c r="H230" s="53" t="str">
        <f t="shared" si="3"/>
        <v>citation:james_richardson-01</v>
      </c>
      <c r="I230" s="54"/>
      <c r="J230" s="38" t="s">
        <v>5380</v>
      </c>
      <c r="K230" s="38" t="s">
        <v>5380</v>
      </c>
      <c r="L230" s="38" t="s">
        <v>5380</v>
      </c>
      <c r="M230" s="69" t="s">
        <v>5391</v>
      </c>
      <c r="N230" s="38"/>
      <c r="O230" s="38"/>
      <c r="P230" s="31"/>
    </row>
    <row r="231" spans="2:16">
      <c r="B231" s="30" t="s">
        <v>1670</v>
      </c>
      <c r="C231" s="38" t="s">
        <v>1671</v>
      </c>
      <c r="D231" s="38" t="s">
        <v>1672</v>
      </c>
      <c r="E231" s="38" t="s">
        <v>3521</v>
      </c>
      <c r="F231" s="38" t="s">
        <v>375</v>
      </c>
      <c r="G231" s="38"/>
      <c r="H231" s="53" t="str">
        <f t="shared" si="3"/>
        <v>citation:jeffrey_starr-01</v>
      </c>
      <c r="I231" s="54"/>
      <c r="J231" s="38" t="s">
        <v>5380</v>
      </c>
      <c r="K231" s="38" t="s">
        <v>5380</v>
      </c>
      <c r="L231" s="38" t="s">
        <v>5380</v>
      </c>
      <c r="M231" s="69" t="s">
        <v>5387</v>
      </c>
      <c r="N231" s="38"/>
      <c r="O231" s="38"/>
      <c r="P231" s="31"/>
    </row>
    <row r="232" spans="2:16">
      <c r="B232" s="30" t="s">
        <v>1673</v>
      </c>
      <c r="C232" s="38" t="s">
        <v>1565</v>
      </c>
      <c r="D232" s="38" t="s">
        <v>1176</v>
      </c>
      <c r="E232" s="38" t="s">
        <v>3522</v>
      </c>
      <c r="F232" s="38" t="s">
        <v>375</v>
      </c>
      <c r="G232" s="38"/>
      <c r="H232" s="53" t="str">
        <f t="shared" si="3"/>
        <v>citation:john_allen-01</v>
      </c>
      <c r="I232" s="54"/>
      <c r="J232" s="38" t="s">
        <v>5380</v>
      </c>
      <c r="K232" s="38" t="s">
        <v>5380</v>
      </c>
      <c r="L232" s="38" t="s">
        <v>5380</v>
      </c>
      <c r="M232" s="69" t="s">
        <v>5386</v>
      </c>
      <c r="N232" s="38"/>
      <c r="O232" s="38"/>
      <c r="P232" s="31"/>
    </row>
    <row r="233" spans="2:16">
      <c r="B233" s="30" t="s">
        <v>1674</v>
      </c>
      <c r="C233" s="38" t="s">
        <v>1675</v>
      </c>
      <c r="D233" s="38" t="s">
        <v>1676</v>
      </c>
      <c r="E233" s="38" t="s">
        <v>3523</v>
      </c>
      <c r="F233" s="38" t="s">
        <v>375</v>
      </c>
      <c r="G233" s="38"/>
      <c r="H233" s="53" t="str">
        <f t="shared" si="3"/>
        <v>citation:kartik_ariyur-01</v>
      </c>
      <c r="I233" s="54"/>
      <c r="J233" s="38" t="s">
        <v>5380</v>
      </c>
      <c r="K233" s="38" t="s">
        <v>5380</v>
      </c>
      <c r="L233" s="38" t="s">
        <v>5380</v>
      </c>
      <c r="M233" s="69" t="s">
        <v>5385</v>
      </c>
      <c r="N233" s="38"/>
      <c r="O233" s="38"/>
      <c r="P233" s="31"/>
    </row>
    <row r="234" spans="2:16">
      <c r="B234" s="30" t="s">
        <v>1677</v>
      </c>
      <c r="C234" s="38" t="s">
        <v>1667</v>
      </c>
      <c r="D234" s="38" t="s">
        <v>1678</v>
      </c>
      <c r="E234" s="38" t="s">
        <v>3524</v>
      </c>
      <c r="F234" s="38" t="s">
        <v>375</v>
      </c>
      <c r="G234" s="38"/>
      <c r="H234" s="53" t="str">
        <f t="shared" si="3"/>
        <v>citation:kirk_schloegel-01</v>
      </c>
      <c r="I234" s="54"/>
      <c r="J234" s="38" t="s">
        <v>5380</v>
      </c>
      <c r="K234" s="38" t="s">
        <v>5380</v>
      </c>
      <c r="L234" s="38" t="s">
        <v>5380</v>
      </c>
      <c r="M234" s="69" t="s">
        <v>5388</v>
      </c>
      <c r="N234" s="38"/>
      <c r="O234" s="38"/>
      <c r="P234" s="31"/>
    </row>
    <row r="235" spans="2:16">
      <c r="B235" s="30" t="s">
        <v>1679</v>
      </c>
      <c r="C235" s="38" t="s">
        <v>1680</v>
      </c>
      <c r="D235" s="38" t="s">
        <v>1681</v>
      </c>
      <c r="E235" s="38" t="s">
        <v>3525</v>
      </c>
      <c r="F235" s="38" t="s">
        <v>375</v>
      </c>
      <c r="G235" s="38"/>
      <c r="H235" s="53" t="str">
        <f t="shared" si="3"/>
        <v>citation:srivatsan_varadarajan-01</v>
      </c>
      <c r="I235" s="54"/>
      <c r="J235" s="38" t="s">
        <v>5380</v>
      </c>
      <c r="K235" s="38" t="s">
        <v>5380</v>
      </c>
      <c r="L235" s="38" t="s">
        <v>5380</v>
      </c>
      <c r="M235" s="69" t="s">
        <v>5387</v>
      </c>
      <c r="N235" s="38"/>
      <c r="O235" s="38"/>
      <c r="P235" s="31"/>
    </row>
    <row r="236" spans="2:16">
      <c r="B236" s="30" t="s">
        <v>1682</v>
      </c>
      <c r="C236" s="38" t="s">
        <v>1683</v>
      </c>
      <c r="D236" s="38" t="s">
        <v>1684</v>
      </c>
      <c r="E236" s="38" t="s">
        <v>3526</v>
      </c>
      <c r="F236" s="38" t="s">
        <v>375</v>
      </c>
      <c r="G236" s="38"/>
      <c r="H236" s="53" t="str">
        <f t="shared" si="3"/>
        <v>citation:thomas_markham-01</v>
      </c>
      <c r="I236" s="54"/>
      <c r="J236" s="38" t="s">
        <v>5380</v>
      </c>
      <c r="K236" s="38" t="s">
        <v>5380</v>
      </c>
      <c r="L236" s="38" t="s">
        <v>5380</v>
      </c>
      <c r="M236" s="69" t="s">
        <v>5388</v>
      </c>
      <c r="N236" s="38"/>
      <c r="O236" s="38"/>
      <c r="P236" s="31"/>
    </row>
    <row r="237" spans="2:16">
      <c r="B237" s="30" t="s">
        <v>1685</v>
      </c>
      <c r="C237" s="38" t="s">
        <v>1686</v>
      </c>
      <c r="D237" s="38" t="s">
        <v>1687</v>
      </c>
      <c r="E237" s="38" t="s">
        <v>3527</v>
      </c>
      <c r="F237" s="38" t="s">
        <v>375</v>
      </c>
      <c r="G237" s="38"/>
      <c r="H237" s="53" t="str">
        <f t="shared" si="3"/>
        <v>citation:tim_dropps-01</v>
      </c>
      <c r="I237" s="54"/>
      <c r="J237" s="38" t="s">
        <v>5380</v>
      </c>
      <c r="K237" s="38" t="s">
        <v>5380</v>
      </c>
      <c r="L237" s="38" t="s">
        <v>5380</v>
      </c>
      <c r="M237" s="69" t="s">
        <v>5384</v>
      </c>
      <c r="N237" s="38"/>
      <c r="O237" s="38"/>
      <c r="P237" s="31"/>
    </row>
    <row r="238" spans="2:16">
      <c r="B238" s="30" t="s">
        <v>1688</v>
      </c>
      <c r="C238" s="38" t="s">
        <v>1689</v>
      </c>
      <c r="D238" s="38" t="s">
        <v>1690</v>
      </c>
      <c r="E238" s="38" t="s">
        <v>3528</v>
      </c>
      <c r="F238" s="38" t="s">
        <v>375</v>
      </c>
      <c r="G238" s="38"/>
      <c r="H238" s="53" t="str">
        <f t="shared" si="3"/>
        <v>citation:vibhor_bageshwar-01</v>
      </c>
      <c r="I238" s="54"/>
      <c r="J238" s="38" t="s">
        <v>5380</v>
      </c>
      <c r="K238" s="38" t="s">
        <v>5380</v>
      </c>
      <c r="L238" s="38" t="s">
        <v>5380</v>
      </c>
      <c r="M238" s="69" t="s">
        <v>137</v>
      </c>
      <c r="N238" s="38"/>
      <c r="O238" s="38"/>
      <c r="P238" s="31"/>
    </row>
    <row r="239" spans="2:16">
      <c r="B239" s="30" t="s">
        <v>1691</v>
      </c>
      <c r="C239" s="38" t="s">
        <v>1692</v>
      </c>
      <c r="D239" s="38" t="s">
        <v>1683</v>
      </c>
      <c r="E239" s="38" t="s">
        <v>3529</v>
      </c>
      <c r="F239" s="38" t="s">
        <v>375</v>
      </c>
      <c r="G239" s="38"/>
      <c r="H239" s="53" t="str">
        <f t="shared" si="3"/>
        <v>citation:vicraj_thomas-01</v>
      </c>
      <c r="I239" s="54"/>
      <c r="J239" s="38" t="s">
        <v>5380</v>
      </c>
      <c r="K239" s="38" t="s">
        <v>5380</v>
      </c>
      <c r="L239" s="38" t="s">
        <v>5380</v>
      </c>
      <c r="M239" s="69" t="s">
        <v>5387</v>
      </c>
      <c r="N239" s="38"/>
      <c r="O239" s="38"/>
      <c r="P239" s="31"/>
    </row>
    <row r="240" spans="2:16">
      <c r="B240" s="30" t="s">
        <v>1693</v>
      </c>
      <c r="C240" s="38" t="s">
        <v>1694</v>
      </c>
      <c r="D240" s="38" t="s">
        <v>1695</v>
      </c>
      <c r="E240" s="38" t="s">
        <v>3530</v>
      </c>
      <c r="F240" s="38" t="s">
        <v>375</v>
      </c>
      <c r="G240" s="38"/>
      <c r="H240" s="53" t="str">
        <f t="shared" si="3"/>
        <v>citation:walt_heimerdinger-01</v>
      </c>
      <c r="I240" s="54"/>
      <c r="J240" s="38" t="s">
        <v>5380</v>
      </c>
      <c r="K240" s="38" t="s">
        <v>5380</v>
      </c>
      <c r="L240" s="38" t="s">
        <v>5380</v>
      </c>
      <c r="M240" s="69" t="s">
        <v>5386</v>
      </c>
      <c r="N240" s="38"/>
      <c r="O240" s="38"/>
      <c r="P240" s="31"/>
    </row>
    <row r="241" spans="2:16">
      <c r="B241" s="32" t="s">
        <v>1696</v>
      </c>
      <c r="C241" s="39" t="s">
        <v>1697</v>
      </c>
      <c r="D241" s="39" t="s">
        <v>1698</v>
      </c>
      <c r="E241" s="39" t="s">
        <v>3531</v>
      </c>
      <c r="F241" s="39" t="s">
        <v>375</v>
      </c>
      <c r="G241" s="39"/>
      <c r="H241" s="51" t="str">
        <f t="shared" si="3"/>
        <v>citation:yunjung_yi-01</v>
      </c>
      <c r="I241" s="52"/>
      <c r="J241" s="38" t="s">
        <v>5380</v>
      </c>
      <c r="K241" s="38" t="s">
        <v>5380</v>
      </c>
      <c r="L241" s="38" t="s">
        <v>5380</v>
      </c>
      <c r="M241" s="69" t="s">
        <v>5387</v>
      </c>
      <c r="N241" s="39"/>
      <c r="O241" s="39"/>
      <c r="P241" s="34"/>
    </row>
    <row r="242" spans="2:16">
      <c r="B242" s="44" t="s">
        <v>1699</v>
      </c>
      <c r="C242" s="45" t="s">
        <v>1700</v>
      </c>
      <c r="D242" s="45" t="s">
        <v>1701</v>
      </c>
      <c r="E242" s="45" t="s">
        <v>3532</v>
      </c>
      <c r="F242" s="45" t="s">
        <v>490</v>
      </c>
      <c r="G242" s="45"/>
      <c r="H242" s="46" t="str">
        <f t="shared" si="3"/>
        <v>citation:joon-sang_park-01</v>
      </c>
      <c r="I242" s="47"/>
      <c r="J242" s="38" t="s">
        <v>5209</v>
      </c>
      <c r="K242" s="38">
        <v>7318</v>
      </c>
      <c r="L242" s="38">
        <v>40</v>
      </c>
      <c r="M242" s="69" t="s">
        <v>5386</v>
      </c>
      <c r="N242" s="45"/>
      <c r="O242" s="45"/>
      <c r="P242" s="48"/>
    </row>
    <row r="243" spans="2:16">
      <c r="B243" s="30" t="s">
        <v>1702</v>
      </c>
      <c r="C243" s="38" t="s">
        <v>1703</v>
      </c>
      <c r="D243" s="38" t="s">
        <v>1704</v>
      </c>
      <c r="E243" s="38" t="s">
        <v>3533</v>
      </c>
      <c r="F243" s="38" t="s">
        <v>377</v>
      </c>
      <c r="G243" s="38"/>
      <c r="H243" s="53"/>
      <c r="I243" s="54"/>
      <c r="J243" s="38"/>
      <c r="K243" s="38"/>
      <c r="L243" s="38"/>
      <c r="M243" s="69" t="s">
        <v>5380</v>
      </c>
      <c r="N243" s="38"/>
      <c r="O243" s="38"/>
      <c r="P243" s="31"/>
    </row>
    <row r="244" spans="2:16">
      <c r="B244" s="32" t="s">
        <v>1705</v>
      </c>
      <c r="C244" s="39" t="s">
        <v>1706</v>
      </c>
      <c r="D244" s="39" t="s">
        <v>1707</v>
      </c>
      <c r="E244" s="39" t="s">
        <v>3534</v>
      </c>
      <c r="F244" s="39" t="s">
        <v>377</v>
      </c>
      <c r="G244" s="39"/>
      <c r="H244" s="51" t="str">
        <f t="shared" si="3"/>
        <v>citation:venkateshwara_madduri-01</v>
      </c>
      <c r="I244" s="52"/>
      <c r="J244" s="38" t="s">
        <v>5380</v>
      </c>
      <c r="K244" s="38" t="s">
        <v>5380</v>
      </c>
      <c r="L244" s="38" t="s">
        <v>5380</v>
      </c>
      <c r="M244" s="69" t="s">
        <v>5387</v>
      </c>
      <c r="N244" s="39"/>
      <c r="O244" s="39"/>
      <c r="P244" s="34"/>
    </row>
    <row r="245" spans="2:16">
      <c r="B245" s="30" t="s">
        <v>1708</v>
      </c>
      <c r="C245" s="38" t="s">
        <v>1709</v>
      </c>
      <c r="D245" s="38" t="s">
        <v>1710</v>
      </c>
      <c r="E245" s="38" t="s">
        <v>3535</v>
      </c>
      <c r="F245" s="38" t="s">
        <v>380</v>
      </c>
      <c r="G245" s="38"/>
      <c r="H245" s="53" t="str">
        <f t="shared" si="3"/>
        <v>citation:malolan_chetlur-01</v>
      </c>
      <c r="I245" s="54"/>
      <c r="J245" s="38" t="s">
        <v>5380</v>
      </c>
      <c r="K245" s="38" t="s">
        <v>5380</v>
      </c>
      <c r="L245" s="38" t="s">
        <v>5380</v>
      </c>
      <c r="M245" s="69" t="s">
        <v>5387</v>
      </c>
      <c r="N245" s="38"/>
      <c r="O245" s="38"/>
      <c r="P245" s="31"/>
    </row>
    <row r="246" spans="2:16">
      <c r="B246" s="30" t="s">
        <v>1711</v>
      </c>
      <c r="C246" s="38" t="s">
        <v>1712</v>
      </c>
      <c r="D246" s="38" t="s">
        <v>1713</v>
      </c>
      <c r="E246" s="38" t="s">
        <v>3536</v>
      </c>
      <c r="F246" s="38" t="s">
        <v>380</v>
      </c>
      <c r="G246" s="38"/>
      <c r="H246" s="53" t="str">
        <f t="shared" si="3"/>
        <v>citation:partha_dutta-01</v>
      </c>
      <c r="I246" s="54"/>
      <c r="J246" s="38" t="s">
        <v>5276</v>
      </c>
      <c r="K246" s="38">
        <v>784</v>
      </c>
      <c r="L246" s="38">
        <v>17</v>
      </c>
      <c r="M246" s="69" t="s">
        <v>5387</v>
      </c>
      <c r="N246" s="38"/>
      <c r="O246" s="38"/>
      <c r="P246" s="31"/>
    </row>
    <row r="247" spans="2:16">
      <c r="B247" s="30" t="s">
        <v>1714</v>
      </c>
      <c r="C247" s="38" t="s">
        <v>1715</v>
      </c>
      <c r="D247" s="38" t="s">
        <v>1716</v>
      </c>
      <c r="E247" s="38" t="s">
        <v>3537</v>
      </c>
      <c r="F247" s="38" t="s">
        <v>380</v>
      </c>
      <c r="G247" s="38"/>
      <c r="H247" s="53" t="str">
        <f t="shared" si="3"/>
        <v>citation:shivkumar_kalyanraman-01</v>
      </c>
      <c r="I247" s="54"/>
      <c r="J247" s="38" t="s">
        <v>5322</v>
      </c>
      <c r="K247" s="38">
        <v>6685</v>
      </c>
      <c r="L247" s="38">
        <v>42</v>
      </c>
      <c r="M247" s="69" t="s">
        <v>5384</v>
      </c>
      <c r="N247" s="38"/>
      <c r="O247" s="38"/>
      <c r="P247" s="31"/>
    </row>
    <row r="248" spans="2:16">
      <c r="B248" s="32" t="s">
        <v>1717</v>
      </c>
      <c r="C248" s="39" t="s">
        <v>1718</v>
      </c>
      <c r="D248" s="39" t="s">
        <v>1719</v>
      </c>
      <c r="E248" s="39" t="s">
        <v>3538</v>
      </c>
      <c r="F248" s="39" t="s">
        <v>380</v>
      </c>
      <c r="G248" s="39"/>
      <c r="H248" s="51" t="str">
        <f t="shared" si="3"/>
        <v>citation:vijay_arya-01</v>
      </c>
      <c r="I248" s="52"/>
      <c r="J248" s="38" t="s">
        <v>5380</v>
      </c>
      <c r="K248" s="38" t="s">
        <v>5380</v>
      </c>
      <c r="L248" s="38" t="s">
        <v>5380</v>
      </c>
      <c r="M248" s="69" t="s">
        <v>5387</v>
      </c>
      <c r="N248" s="39"/>
      <c r="O248" s="39"/>
      <c r="P248" s="34"/>
    </row>
    <row r="249" spans="2:16">
      <c r="B249" s="32" t="s">
        <v>1720</v>
      </c>
      <c r="C249" s="39" t="s">
        <v>3539</v>
      </c>
      <c r="D249" s="39" t="s">
        <v>1406</v>
      </c>
      <c r="E249" s="39" t="s">
        <v>3540</v>
      </c>
      <c r="F249" s="39" t="s">
        <v>381</v>
      </c>
      <c r="G249" s="39"/>
      <c r="H249" s="51" t="str">
        <f t="shared" si="3"/>
        <v>citation:chi_harold_liu-01</v>
      </c>
      <c r="I249" s="52"/>
      <c r="J249" s="38" t="s">
        <v>5092</v>
      </c>
      <c r="K249" s="38">
        <v>391</v>
      </c>
      <c r="L249" s="38">
        <v>11</v>
      </c>
      <c r="M249" s="69" t="s">
        <v>5387</v>
      </c>
      <c r="N249" s="39"/>
      <c r="O249" s="39"/>
      <c r="P249" s="34"/>
    </row>
    <row r="250" spans="2:16">
      <c r="B250" s="32" t="s">
        <v>1721</v>
      </c>
      <c r="C250" s="39" t="s">
        <v>1585</v>
      </c>
      <c r="D250" s="39" t="s">
        <v>1722</v>
      </c>
      <c r="E250" s="39" t="s">
        <v>3541</v>
      </c>
      <c r="F250" s="39" t="s">
        <v>383</v>
      </c>
      <c r="G250" s="39"/>
      <c r="H250" s="51" t="str">
        <f t="shared" si="3"/>
        <v>citation:anja_lehmann-01</v>
      </c>
      <c r="I250" s="52"/>
      <c r="J250" s="38" t="s">
        <v>5380</v>
      </c>
      <c r="K250" s="38" t="s">
        <v>5380</v>
      </c>
      <c r="L250" s="38" t="s">
        <v>5380</v>
      </c>
      <c r="M250" s="69" t="s">
        <v>5391</v>
      </c>
      <c r="N250" s="39"/>
      <c r="O250" s="39"/>
      <c r="P250" s="34"/>
    </row>
    <row r="251" spans="2:16">
      <c r="B251" s="30" t="s">
        <v>1723</v>
      </c>
      <c r="C251" s="38" t="s">
        <v>1252</v>
      </c>
      <c r="D251" s="38" t="s">
        <v>1268</v>
      </c>
      <c r="E251" s="38" t="s">
        <v>3542</v>
      </c>
      <c r="F251" s="38" t="s">
        <v>384</v>
      </c>
      <c r="G251" s="38"/>
      <c r="H251" s="53"/>
      <c r="I251" s="54"/>
      <c r="J251" s="38"/>
      <c r="K251" s="38"/>
      <c r="L251" s="38"/>
      <c r="M251" s="69" t="s">
        <v>5380</v>
      </c>
      <c r="N251" s="38"/>
      <c r="O251" s="38"/>
      <c r="P251" s="31"/>
    </row>
    <row r="252" spans="2:16">
      <c r="B252" s="30" t="s">
        <v>1724</v>
      </c>
      <c r="C252" s="38" t="s">
        <v>1725</v>
      </c>
      <c r="D252" s="38" t="s">
        <v>1726</v>
      </c>
      <c r="E252" s="38" t="s">
        <v>3543</v>
      </c>
      <c r="F252" s="38" t="s">
        <v>384</v>
      </c>
      <c r="G252" s="38"/>
      <c r="H252" s="53"/>
      <c r="I252" s="54"/>
      <c r="J252" s="38"/>
      <c r="K252" s="38"/>
      <c r="L252" s="38"/>
      <c r="M252" s="69" t="s">
        <v>5380</v>
      </c>
      <c r="N252" s="38"/>
      <c r="O252" s="38"/>
      <c r="P252" s="31"/>
    </row>
    <row r="253" spans="2:16">
      <c r="B253" s="30" t="s">
        <v>1727</v>
      </c>
      <c r="C253" s="38" t="s">
        <v>1728</v>
      </c>
      <c r="D253" s="38" t="s">
        <v>1729</v>
      </c>
      <c r="E253" s="38" t="s">
        <v>3544</v>
      </c>
      <c r="F253" s="38" t="s">
        <v>384</v>
      </c>
      <c r="G253" s="38"/>
      <c r="H253" s="53"/>
      <c r="I253" s="54"/>
      <c r="J253" s="38"/>
      <c r="K253" s="38"/>
      <c r="L253" s="38"/>
      <c r="M253" s="69" t="s">
        <v>5380</v>
      </c>
      <c r="N253" s="38"/>
      <c r="O253" s="38"/>
      <c r="P253" s="31"/>
    </row>
    <row r="254" spans="2:16">
      <c r="B254" s="30" t="s">
        <v>1730</v>
      </c>
      <c r="C254" s="38" t="s">
        <v>1071</v>
      </c>
      <c r="D254" s="38" t="s">
        <v>1731</v>
      </c>
      <c r="E254" s="38" t="s">
        <v>3545</v>
      </c>
      <c r="F254" s="38" t="s">
        <v>384</v>
      </c>
      <c r="G254" s="38"/>
      <c r="H254" s="53" t="str">
        <f t="shared" si="3"/>
        <v>citation:andrew_feltham-01</v>
      </c>
      <c r="I254" s="54"/>
      <c r="J254" s="38" t="s">
        <v>5380</v>
      </c>
      <c r="K254" s="38" t="s">
        <v>5380</v>
      </c>
      <c r="L254" s="38" t="s">
        <v>5380</v>
      </c>
      <c r="M254" s="69" t="s">
        <v>137</v>
      </c>
      <c r="N254" s="38"/>
      <c r="O254" s="38"/>
      <c r="P254" s="31"/>
    </row>
    <row r="255" spans="2:16">
      <c r="B255" s="30" t="s">
        <v>1732</v>
      </c>
      <c r="C255" s="38" t="s">
        <v>1522</v>
      </c>
      <c r="D255" s="38" t="s">
        <v>1733</v>
      </c>
      <c r="E255" s="38" t="s">
        <v>3546</v>
      </c>
      <c r="F255" s="38" t="s">
        <v>384</v>
      </c>
      <c r="G255" s="38"/>
      <c r="H255" s="53" t="str">
        <f t="shared" si="3"/>
        <v>citation:andy_stanford-clark-01</v>
      </c>
      <c r="I255" s="54"/>
      <c r="J255" s="38" t="s">
        <v>5380</v>
      </c>
      <c r="K255" s="38" t="s">
        <v>5380</v>
      </c>
      <c r="L255" s="38" t="s">
        <v>5380</v>
      </c>
      <c r="M255" s="69" t="s">
        <v>5388</v>
      </c>
      <c r="N255" s="38"/>
      <c r="O255" s="38"/>
      <c r="P255" s="31"/>
    </row>
    <row r="256" spans="2:16">
      <c r="B256" s="30" t="s">
        <v>1734</v>
      </c>
      <c r="C256" s="38" t="s">
        <v>1735</v>
      </c>
      <c r="D256" s="38" t="s">
        <v>1736</v>
      </c>
      <c r="E256" s="38" t="s">
        <v>3547</v>
      </c>
      <c r="F256" s="38" t="s">
        <v>384</v>
      </c>
      <c r="G256" s="38"/>
      <c r="H256" s="53" t="str">
        <f t="shared" si="3"/>
        <v>citation:ben_hardill-01</v>
      </c>
      <c r="I256" s="54"/>
      <c r="J256" s="38" t="s">
        <v>5380</v>
      </c>
      <c r="K256" s="38" t="s">
        <v>5380</v>
      </c>
      <c r="L256" s="38" t="s">
        <v>5380</v>
      </c>
      <c r="M256" s="69" t="s">
        <v>5386</v>
      </c>
      <c r="N256" s="38"/>
      <c r="O256" s="38"/>
      <c r="P256" s="31"/>
    </row>
    <row r="257" spans="2:16">
      <c r="B257" s="30" t="s">
        <v>1737</v>
      </c>
      <c r="C257" s="38" t="s">
        <v>1364</v>
      </c>
      <c r="D257" s="38" t="s">
        <v>1738</v>
      </c>
      <c r="E257" s="38" t="s">
        <v>3548</v>
      </c>
      <c r="F257" s="38" t="s">
        <v>384</v>
      </c>
      <c r="G257" s="38" t="s">
        <v>3270</v>
      </c>
      <c r="H257" s="53" t="str">
        <f t="shared" si="3"/>
        <v>citation:christopher_gibson-01</v>
      </c>
      <c r="I257" s="54"/>
      <c r="J257" s="38" t="s">
        <v>5096</v>
      </c>
      <c r="K257" s="38">
        <v>208</v>
      </c>
      <c r="L257" s="38">
        <v>7</v>
      </c>
      <c r="M257" s="69" t="s">
        <v>5385</v>
      </c>
      <c r="N257" s="38"/>
      <c r="O257" s="38"/>
      <c r="P257" s="31"/>
    </row>
    <row r="258" spans="2:16">
      <c r="B258" s="30" t="s">
        <v>1739</v>
      </c>
      <c r="C258" s="38" t="s">
        <v>1740</v>
      </c>
      <c r="D258" s="38" t="s">
        <v>1741</v>
      </c>
      <c r="E258" s="38" t="s">
        <v>3549</v>
      </c>
      <c r="F258" s="38" t="s">
        <v>384</v>
      </c>
      <c r="G258" s="38"/>
      <c r="H258" s="53" t="str">
        <f t="shared" si="3"/>
        <v>citation:darren_shaw-01</v>
      </c>
      <c r="I258" s="54"/>
      <c r="J258" s="38" t="s">
        <v>5380</v>
      </c>
      <c r="K258" s="38" t="s">
        <v>5380</v>
      </c>
      <c r="L258" s="38" t="s">
        <v>5380</v>
      </c>
      <c r="M258" s="69" t="s">
        <v>5386</v>
      </c>
      <c r="N258" s="38"/>
      <c r="O258" s="38"/>
      <c r="P258" s="31"/>
    </row>
    <row r="259" spans="2:16">
      <c r="B259" s="30" t="s">
        <v>79</v>
      </c>
      <c r="C259" s="38" t="s">
        <v>80</v>
      </c>
      <c r="D259" s="38" t="s">
        <v>81</v>
      </c>
      <c r="E259" s="38" t="s">
        <v>3550</v>
      </c>
      <c r="F259" s="38" t="s">
        <v>384</v>
      </c>
      <c r="G259" s="38" t="s">
        <v>3271</v>
      </c>
      <c r="H259" s="53" t="str">
        <f t="shared" si="3"/>
        <v>citation:dave_braines-01</v>
      </c>
      <c r="I259" s="54"/>
      <c r="J259" s="38" t="s">
        <v>5109</v>
      </c>
      <c r="K259" s="38">
        <v>491</v>
      </c>
      <c r="L259" s="38">
        <v>12</v>
      </c>
      <c r="M259" s="69" t="s">
        <v>5385</v>
      </c>
      <c r="N259" s="38"/>
      <c r="O259" s="38"/>
      <c r="P259" s="31"/>
    </row>
    <row r="260" spans="2:16">
      <c r="B260" s="30" t="s">
        <v>302</v>
      </c>
      <c r="C260" s="38" t="s">
        <v>80</v>
      </c>
      <c r="D260" s="38" t="s">
        <v>1742</v>
      </c>
      <c r="E260" s="38" t="s">
        <v>3551</v>
      </c>
      <c r="F260" s="38" t="s">
        <v>384</v>
      </c>
      <c r="G260" s="38" t="s">
        <v>3272</v>
      </c>
      <c r="H260" s="53" t="str">
        <f t="shared" ref="H260:H323" si="4">"citation:"&amp;B260&amp;"-01"</f>
        <v>citation:dave_conway_jones-01</v>
      </c>
      <c r="I260" s="54"/>
      <c r="J260" s="38" t="s">
        <v>5380</v>
      </c>
      <c r="K260" s="38" t="s">
        <v>5380</v>
      </c>
      <c r="L260" s="38" t="s">
        <v>5380</v>
      </c>
      <c r="M260" s="69" t="s">
        <v>5384</v>
      </c>
      <c r="N260" s="38"/>
      <c r="O260" s="38"/>
      <c r="P260" s="31"/>
    </row>
    <row r="261" spans="2:16">
      <c r="B261" s="30" t="s">
        <v>1743</v>
      </c>
      <c r="C261" s="38" t="s">
        <v>80</v>
      </c>
      <c r="D261" s="38" t="s">
        <v>1458</v>
      </c>
      <c r="E261" s="38" t="s">
        <v>3552</v>
      </c>
      <c r="F261" s="38" t="s">
        <v>384</v>
      </c>
      <c r="G261" s="38"/>
      <c r="H261" s="53" t="str">
        <f t="shared" si="4"/>
        <v>citation:dave_roberts-01</v>
      </c>
      <c r="I261" s="54"/>
      <c r="J261" s="38" t="s">
        <v>5380</v>
      </c>
      <c r="K261" s="38" t="s">
        <v>5380</v>
      </c>
      <c r="L261" s="38" t="s">
        <v>5380</v>
      </c>
      <c r="M261" s="69" t="s">
        <v>5386</v>
      </c>
      <c r="N261" s="38"/>
      <c r="O261" s="38"/>
      <c r="P261" s="31"/>
    </row>
    <row r="262" spans="2:16">
      <c r="B262" s="30" t="s">
        <v>82</v>
      </c>
      <c r="C262" s="38" t="s">
        <v>83</v>
      </c>
      <c r="D262" s="38" t="s">
        <v>84</v>
      </c>
      <c r="E262" s="38" t="s">
        <v>3553</v>
      </c>
      <c r="F262" s="38" t="s">
        <v>384</v>
      </c>
      <c r="G262" s="38" t="s">
        <v>3273</v>
      </c>
      <c r="H262" s="53" t="str">
        <f t="shared" si="4"/>
        <v>citation:david_mott-01</v>
      </c>
      <c r="I262" s="54"/>
      <c r="J262" s="38" t="s">
        <v>5110</v>
      </c>
      <c r="K262" s="38">
        <v>317</v>
      </c>
      <c r="L262" s="38">
        <v>12</v>
      </c>
      <c r="M262" s="69" t="s">
        <v>5393</v>
      </c>
      <c r="N262" s="38"/>
      <c r="O262" s="38"/>
      <c r="P262" s="31"/>
    </row>
    <row r="263" spans="2:16">
      <c r="B263" s="30" t="s">
        <v>85</v>
      </c>
      <c r="C263" s="38" t="s">
        <v>83</v>
      </c>
      <c r="D263" s="38" t="s">
        <v>86</v>
      </c>
      <c r="E263" s="38" t="s">
        <v>3554</v>
      </c>
      <c r="F263" s="38" t="s">
        <v>384</v>
      </c>
      <c r="G263" s="38" t="s">
        <v>3274</v>
      </c>
      <c r="H263" s="53" t="str">
        <f t="shared" si="4"/>
        <v>citation:david_vyvyan-01</v>
      </c>
      <c r="I263" s="54"/>
      <c r="J263" s="38" t="s">
        <v>5380</v>
      </c>
      <c r="K263" s="38" t="s">
        <v>5380</v>
      </c>
      <c r="L263" s="38" t="s">
        <v>5380</v>
      </c>
      <c r="M263" s="69" t="s">
        <v>5385</v>
      </c>
      <c r="N263" s="38"/>
      <c r="O263" s="38"/>
      <c r="P263" s="31"/>
    </row>
    <row r="264" spans="2:16">
      <c r="B264" s="30" t="s">
        <v>1744</v>
      </c>
      <c r="C264" s="38" t="s">
        <v>1745</v>
      </c>
      <c r="D264" s="38" t="s">
        <v>1746</v>
      </c>
      <c r="E264" s="38" t="s">
        <v>3555</v>
      </c>
      <c r="F264" s="38" t="s">
        <v>384</v>
      </c>
      <c r="G264" s="38" t="s">
        <v>3275</v>
      </c>
      <c r="H264" s="53" t="str">
        <f t="shared" si="4"/>
        <v>citation:dominic_harries-01</v>
      </c>
      <c r="I264" s="54"/>
      <c r="J264" s="38" t="s">
        <v>5117</v>
      </c>
      <c r="K264" s="38">
        <v>13</v>
      </c>
      <c r="L264" s="38">
        <v>2</v>
      </c>
      <c r="M264" s="69" t="s">
        <v>5385</v>
      </c>
      <c r="N264" s="38"/>
      <c r="O264" s="38"/>
      <c r="P264" s="31"/>
    </row>
    <row r="265" spans="2:16">
      <c r="B265" s="30" t="s">
        <v>1747</v>
      </c>
      <c r="C265" s="38" t="s">
        <v>1748</v>
      </c>
      <c r="D265" s="38" t="s">
        <v>1749</v>
      </c>
      <c r="E265" s="38" t="s">
        <v>3556</v>
      </c>
      <c r="F265" s="38" t="s">
        <v>384</v>
      </c>
      <c r="G265" s="38" t="s">
        <v>3276</v>
      </c>
      <c r="H265" s="53" t="str">
        <f t="shared" si="4"/>
        <v>citation:flavio_bergamaschi-01</v>
      </c>
      <c r="I265" s="54"/>
      <c r="J265" s="38" t="s">
        <v>5142</v>
      </c>
      <c r="K265" s="38">
        <v>174</v>
      </c>
      <c r="L265" s="38">
        <v>6</v>
      </c>
      <c r="M265" s="69" t="s">
        <v>5385</v>
      </c>
      <c r="N265" s="38"/>
      <c r="O265" s="38"/>
      <c r="P265" s="31"/>
    </row>
    <row r="266" spans="2:16">
      <c r="B266" s="30" t="s">
        <v>1750</v>
      </c>
      <c r="C266" s="38" t="s">
        <v>1751</v>
      </c>
      <c r="D266" s="38" t="s">
        <v>1752</v>
      </c>
      <c r="E266" s="38" t="s">
        <v>3557</v>
      </c>
      <c r="F266" s="38" t="s">
        <v>384</v>
      </c>
      <c r="G266" s="38"/>
      <c r="H266" s="53" t="str">
        <f t="shared" si="4"/>
        <v>citation:gareth_jones-01</v>
      </c>
      <c r="I266" s="54"/>
      <c r="J266" s="38" t="s">
        <v>5146</v>
      </c>
      <c r="K266" s="38">
        <v>319</v>
      </c>
      <c r="L266" s="38">
        <v>10</v>
      </c>
      <c r="M266" s="69" t="s">
        <v>5385</v>
      </c>
      <c r="N266" s="38"/>
      <c r="O266" s="38"/>
      <c r="P266" s="31"/>
    </row>
    <row r="267" spans="2:16">
      <c r="B267" s="30" t="s">
        <v>92</v>
      </c>
      <c r="C267" s="38" t="s">
        <v>93</v>
      </c>
      <c r="D267" s="38" t="s">
        <v>94</v>
      </c>
      <c r="E267" s="38" t="s">
        <v>3558</v>
      </c>
      <c r="F267" s="38" t="s">
        <v>384</v>
      </c>
      <c r="G267" s="38" t="s">
        <v>3277</v>
      </c>
      <c r="H267" s="53" t="str">
        <f t="shared" si="4"/>
        <v>citation:graham_bent-01</v>
      </c>
      <c r="I267" s="54"/>
      <c r="J267" s="38" t="s">
        <v>5380</v>
      </c>
      <c r="K267" s="38" t="s">
        <v>5380</v>
      </c>
      <c r="L267" s="38" t="s">
        <v>5380</v>
      </c>
      <c r="M267" s="69" t="s">
        <v>5384</v>
      </c>
      <c r="N267" s="38"/>
      <c r="O267" s="38"/>
      <c r="P267" s="31"/>
    </row>
    <row r="268" spans="2:16">
      <c r="B268" s="30" t="s">
        <v>1753</v>
      </c>
      <c r="C268" s="38" t="s">
        <v>93</v>
      </c>
      <c r="D268" s="38" t="s">
        <v>1754</v>
      </c>
      <c r="E268" s="38" t="s">
        <v>3559</v>
      </c>
      <c r="F268" s="38" t="s">
        <v>384</v>
      </c>
      <c r="G268" s="38"/>
      <c r="H268" s="53" t="str">
        <f t="shared" si="4"/>
        <v>citation:graham_white-01</v>
      </c>
      <c r="I268" s="54"/>
      <c r="J268" s="38" t="s">
        <v>5380</v>
      </c>
      <c r="K268" s="38" t="s">
        <v>5380</v>
      </c>
      <c r="L268" s="38" t="s">
        <v>5380</v>
      </c>
      <c r="M268" s="69" t="s">
        <v>5384</v>
      </c>
      <c r="N268" s="38"/>
      <c r="O268" s="38"/>
      <c r="P268" s="31"/>
    </row>
    <row r="269" spans="2:16">
      <c r="B269" s="30" t="s">
        <v>1755</v>
      </c>
      <c r="C269" s="38" t="s">
        <v>1756</v>
      </c>
      <c r="D269" s="38" t="s">
        <v>1202</v>
      </c>
      <c r="E269" s="38" t="s">
        <v>3560</v>
      </c>
      <c r="F269" s="38" t="s">
        <v>384</v>
      </c>
      <c r="G269" s="38"/>
      <c r="H269" s="53"/>
      <c r="I269" s="54"/>
      <c r="J269" s="38"/>
      <c r="K269" s="38"/>
      <c r="L269" s="38"/>
      <c r="M269" s="69" t="s">
        <v>5380</v>
      </c>
      <c r="N269" s="38"/>
      <c r="O269" s="38"/>
      <c r="P269" s="31"/>
    </row>
    <row r="270" spans="2:16">
      <c r="B270" s="30" t="s">
        <v>1757</v>
      </c>
      <c r="C270" s="38" t="s">
        <v>1554</v>
      </c>
      <c r="D270" s="38" t="s">
        <v>1758</v>
      </c>
      <c r="E270" s="38" t="s">
        <v>3561</v>
      </c>
      <c r="F270" s="38" t="s">
        <v>384</v>
      </c>
      <c r="G270" s="38" t="s">
        <v>3278</v>
      </c>
      <c r="H270" s="53" t="str">
        <f t="shared" si="4"/>
        <v>citation:helen_bowyer-01</v>
      </c>
      <c r="I270" s="54"/>
      <c r="J270" s="38" t="s">
        <v>5380</v>
      </c>
      <c r="K270" s="38" t="s">
        <v>5380</v>
      </c>
      <c r="L270" s="38" t="s">
        <v>5380</v>
      </c>
      <c r="M270" s="69" t="s">
        <v>5388</v>
      </c>
      <c r="N270" s="38"/>
      <c r="O270" s="38"/>
      <c r="P270" s="31"/>
    </row>
    <row r="271" spans="2:16">
      <c r="B271" s="30" t="s">
        <v>1759</v>
      </c>
      <c r="C271" s="38" t="s">
        <v>1151</v>
      </c>
      <c r="D271" s="38" t="s">
        <v>1683</v>
      </c>
      <c r="E271" s="38" t="s">
        <v>3562</v>
      </c>
      <c r="F271" s="38" t="s">
        <v>384</v>
      </c>
      <c r="G271" s="38"/>
      <c r="H271" s="53" t="str">
        <f t="shared" si="4"/>
        <v>citation:james_thomas-01</v>
      </c>
      <c r="I271" s="54"/>
      <c r="J271" s="38" t="s">
        <v>5380</v>
      </c>
      <c r="K271" s="38" t="s">
        <v>5380</v>
      </c>
      <c r="L271" s="38" t="s">
        <v>5380</v>
      </c>
      <c r="M271" s="69" t="s">
        <v>5388</v>
      </c>
      <c r="N271" s="38"/>
      <c r="O271" s="38"/>
      <c r="P271" s="31"/>
    </row>
    <row r="272" spans="2:16">
      <c r="B272" s="30" t="s">
        <v>1760</v>
      </c>
      <c r="C272" s="38" t="s">
        <v>1761</v>
      </c>
      <c r="D272" s="38" t="s">
        <v>1762</v>
      </c>
      <c r="E272" s="38" t="s">
        <v>3563</v>
      </c>
      <c r="F272" s="38" t="s">
        <v>384</v>
      </c>
      <c r="G272" s="38"/>
      <c r="H272" s="53" t="str">
        <f t="shared" si="4"/>
        <v>citation:joel_wright-01</v>
      </c>
      <c r="I272" s="54"/>
      <c r="J272" s="38" t="s">
        <v>5380</v>
      </c>
      <c r="K272" s="38" t="s">
        <v>5380</v>
      </c>
      <c r="L272" s="38" t="s">
        <v>5380</v>
      </c>
      <c r="M272" s="69" t="s">
        <v>5384</v>
      </c>
      <c r="N272" s="38"/>
      <c r="O272" s="38"/>
      <c r="P272" s="31"/>
    </row>
    <row r="273" spans="2:16">
      <c r="B273" s="30" t="s">
        <v>1763</v>
      </c>
      <c r="C273" s="38" t="s">
        <v>1565</v>
      </c>
      <c r="D273" s="38" t="s">
        <v>1764</v>
      </c>
      <c r="E273" s="38" t="s">
        <v>3564</v>
      </c>
      <c r="F273" s="38" t="s">
        <v>384</v>
      </c>
      <c r="G273" s="38" t="s">
        <v>3279</v>
      </c>
      <c r="H273" s="53" t="str">
        <f t="shared" si="4"/>
        <v>citation:john_ibbotson-01</v>
      </c>
      <c r="I273" s="54"/>
      <c r="J273" s="38" t="s">
        <v>5203</v>
      </c>
      <c r="K273" s="38">
        <v>467</v>
      </c>
      <c r="L273" s="38">
        <v>9</v>
      </c>
      <c r="M273" s="69" t="s">
        <v>5385</v>
      </c>
      <c r="N273" s="38"/>
      <c r="O273" s="38"/>
      <c r="P273" s="31"/>
    </row>
    <row r="274" spans="2:16">
      <c r="B274" s="30" t="s">
        <v>1765</v>
      </c>
      <c r="C274" s="38" t="s">
        <v>1766</v>
      </c>
      <c r="D274" s="38" t="s">
        <v>1767</v>
      </c>
      <c r="E274" s="38" t="s">
        <v>3565</v>
      </c>
      <c r="F274" s="38" t="s">
        <v>384</v>
      </c>
      <c r="G274" s="38"/>
      <c r="H274" s="53" t="str">
        <f t="shared" si="4"/>
        <v>citation:kristian_stewart-01</v>
      </c>
      <c r="I274" s="54"/>
      <c r="J274" s="38" t="s">
        <v>5380</v>
      </c>
      <c r="K274" s="38" t="s">
        <v>5380</v>
      </c>
      <c r="L274" s="38" t="s">
        <v>5380</v>
      </c>
      <c r="M274" s="69" t="s">
        <v>5391</v>
      </c>
      <c r="N274" s="38"/>
      <c r="O274" s="38"/>
      <c r="P274" s="31"/>
    </row>
    <row r="275" spans="2:16">
      <c r="B275" s="30" t="s">
        <v>1768</v>
      </c>
      <c r="C275" s="38" t="s">
        <v>1396</v>
      </c>
      <c r="D275" s="38" t="s">
        <v>1769</v>
      </c>
      <c r="E275" s="38" t="s">
        <v>3566</v>
      </c>
      <c r="F275" s="38" t="s">
        <v>384</v>
      </c>
      <c r="G275" s="38"/>
      <c r="H275" s="53" t="str">
        <f t="shared" si="4"/>
        <v>citation:matthew_duggan-01</v>
      </c>
      <c r="I275" s="54"/>
      <c r="J275" s="38" t="s">
        <v>5380</v>
      </c>
      <c r="K275" s="38" t="s">
        <v>5380</v>
      </c>
      <c r="L275" s="38" t="s">
        <v>5380</v>
      </c>
      <c r="M275" s="69" t="s">
        <v>5391</v>
      </c>
      <c r="N275" s="38"/>
      <c r="O275" s="38"/>
      <c r="P275" s="31"/>
    </row>
    <row r="276" spans="2:16">
      <c r="B276" s="30" t="s">
        <v>1770</v>
      </c>
      <c r="C276" s="38" t="s">
        <v>1771</v>
      </c>
      <c r="D276" s="38" t="s">
        <v>1772</v>
      </c>
      <c r="E276" s="38" t="s">
        <v>3567</v>
      </c>
      <c r="F276" s="38" t="s">
        <v>384</v>
      </c>
      <c r="G276" s="38"/>
      <c r="H276" s="53"/>
      <c r="I276" s="54"/>
      <c r="J276" s="38"/>
      <c r="K276" s="38"/>
      <c r="L276" s="38"/>
      <c r="M276" s="69" t="s">
        <v>5380</v>
      </c>
      <c r="N276" s="38"/>
      <c r="O276" s="38"/>
      <c r="P276" s="31"/>
    </row>
    <row r="277" spans="2:16">
      <c r="B277" s="30" t="s">
        <v>101</v>
      </c>
      <c r="C277" s="38" t="s">
        <v>102</v>
      </c>
      <c r="D277" s="38" t="s">
        <v>103</v>
      </c>
      <c r="E277" s="38" t="s">
        <v>3568</v>
      </c>
      <c r="F277" s="38" t="s">
        <v>384</v>
      </c>
      <c r="G277" s="38" t="s">
        <v>3280</v>
      </c>
      <c r="H277" s="53" t="str">
        <f t="shared" si="4"/>
        <v>citation:patrick_dantressangle-01</v>
      </c>
      <c r="I277" s="54"/>
      <c r="J277" s="38" t="s">
        <v>5380</v>
      </c>
      <c r="K277" s="38" t="s">
        <v>5380</v>
      </c>
      <c r="L277" s="38" t="s">
        <v>5380</v>
      </c>
      <c r="M277" s="69" t="s">
        <v>5384</v>
      </c>
      <c r="N277" s="38"/>
      <c r="O277" s="38"/>
      <c r="P277" s="31"/>
    </row>
    <row r="278" spans="2:16">
      <c r="B278" s="30" t="s">
        <v>1773</v>
      </c>
      <c r="C278" s="38" t="s">
        <v>1120</v>
      </c>
      <c r="D278" s="38" t="s">
        <v>1774</v>
      </c>
      <c r="E278" s="38" t="s">
        <v>3569</v>
      </c>
      <c r="F278" s="38" t="s">
        <v>384</v>
      </c>
      <c r="G278" s="38" t="s">
        <v>3281</v>
      </c>
      <c r="H278" s="53" t="str">
        <f t="shared" si="4"/>
        <v>citation:paul_stone-01</v>
      </c>
      <c r="I278" s="54"/>
      <c r="J278" s="38" t="s">
        <v>5380</v>
      </c>
      <c r="K278" s="38" t="s">
        <v>5380</v>
      </c>
      <c r="L278" s="38" t="s">
        <v>5380</v>
      </c>
      <c r="M278" s="69" t="s">
        <v>5384</v>
      </c>
      <c r="N278" s="38"/>
      <c r="O278" s="38"/>
      <c r="P278" s="31"/>
    </row>
    <row r="279" spans="2:16">
      <c r="B279" s="30" t="s">
        <v>1775</v>
      </c>
      <c r="C279" s="38" t="s">
        <v>1571</v>
      </c>
      <c r="D279" s="38" t="s">
        <v>1776</v>
      </c>
      <c r="E279" s="38" t="s">
        <v>3570</v>
      </c>
      <c r="F279" s="38" t="s">
        <v>384</v>
      </c>
      <c r="G279" s="38" t="s">
        <v>3282</v>
      </c>
      <c r="H279" s="53" t="str">
        <f t="shared" si="4"/>
        <v>citation:peter_waggett-01</v>
      </c>
      <c r="I279" s="54"/>
      <c r="J279" s="38" t="s">
        <v>5380</v>
      </c>
      <c r="K279" s="38" t="s">
        <v>5380</v>
      </c>
      <c r="L279" s="38" t="s">
        <v>5380</v>
      </c>
      <c r="M279" s="69" t="s">
        <v>5388</v>
      </c>
      <c r="N279" s="38"/>
      <c r="O279" s="38"/>
      <c r="P279" s="31"/>
    </row>
    <row r="280" spans="2:16">
      <c r="B280" s="30" t="s">
        <v>1777</v>
      </c>
      <c r="C280" s="38" t="s">
        <v>1778</v>
      </c>
      <c r="D280" s="38" t="s">
        <v>1779</v>
      </c>
      <c r="E280" s="38" t="s">
        <v>3571</v>
      </c>
      <c r="F280" s="38" t="s">
        <v>384</v>
      </c>
      <c r="G280" s="38" t="s">
        <v>3283</v>
      </c>
      <c r="H280" s="53" t="str">
        <f t="shared" si="4"/>
        <v>citation:saritha_arunkumar-01</v>
      </c>
      <c r="I280" s="54"/>
      <c r="J280" s="38" t="s">
        <v>5380</v>
      </c>
      <c r="K280" s="38" t="s">
        <v>5380</v>
      </c>
      <c r="L280" s="38" t="s">
        <v>5380</v>
      </c>
      <c r="M280" s="69" t="s">
        <v>5384</v>
      </c>
      <c r="N280" s="38"/>
      <c r="O280" s="38"/>
      <c r="P280" s="31"/>
    </row>
    <row r="281" spans="2:16">
      <c r="B281" s="30" t="s">
        <v>1780</v>
      </c>
      <c r="C281" s="38" t="s">
        <v>1418</v>
      </c>
      <c r="D281" s="38" t="s">
        <v>1781</v>
      </c>
      <c r="E281" s="38" t="s">
        <v>3572</v>
      </c>
      <c r="F281" s="38" t="s">
        <v>384</v>
      </c>
      <c r="G281" s="38" t="s">
        <v>3284</v>
      </c>
      <c r="H281" s="53" t="str">
        <f t="shared" si="4"/>
        <v>citation:simon_laws-01</v>
      </c>
      <c r="I281" s="54"/>
      <c r="J281" s="38" t="s">
        <v>5380</v>
      </c>
      <c r="K281" s="38" t="s">
        <v>5380</v>
      </c>
      <c r="L281" s="38" t="s">
        <v>5380</v>
      </c>
      <c r="M281" s="69" t="s">
        <v>5385</v>
      </c>
      <c r="N281" s="38"/>
      <c r="O281" s="38"/>
      <c r="P281" s="31"/>
    </row>
    <row r="282" spans="2:16">
      <c r="B282" s="30" t="s">
        <v>1782</v>
      </c>
      <c r="C282" s="38" t="s">
        <v>1225</v>
      </c>
      <c r="D282" s="38" t="s">
        <v>1783</v>
      </c>
      <c r="E282" s="38" t="s">
        <v>3573</v>
      </c>
      <c r="F282" s="38" t="s">
        <v>384</v>
      </c>
      <c r="G282" s="38" t="s">
        <v>3285</v>
      </c>
      <c r="H282" s="53" t="str">
        <f t="shared" si="4"/>
        <v>citation:stephen_pipes-01</v>
      </c>
      <c r="I282" s="54"/>
      <c r="J282" s="38" t="s">
        <v>5380</v>
      </c>
      <c r="K282" s="38" t="s">
        <v>5380</v>
      </c>
      <c r="L282" s="38" t="s">
        <v>5380</v>
      </c>
      <c r="M282" s="69" t="s">
        <v>5388</v>
      </c>
      <c r="N282" s="38"/>
      <c r="O282" s="38"/>
      <c r="P282" s="31"/>
    </row>
    <row r="283" spans="2:16">
      <c r="B283" s="30" t="s">
        <v>1784</v>
      </c>
      <c r="C283" s="38" t="s">
        <v>1785</v>
      </c>
      <c r="D283" s="38" t="s">
        <v>1786</v>
      </c>
      <c r="E283" s="38" t="s">
        <v>3574</v>
      </c>
      <c r="F283" s="38" t="s">
        <v>384</v>
      </c>
      <c r="G283" s="38"/>
      <c r="H283" s="53" t="str">
        <f t="shared" si="4"/>
        <v>citation:syd_chapman-01</v>
      </c>
      <c r="I283" s="54"/>
      <c r="J283" s="38" t="s">
        <v>5380</v>
      </c>
      <c r="K283" s="38" t="s">
        <v>5380</v>
      </c>
      <c r="L283" s="38" t="s">
        <v>5380</v>
      </c>
      <c r="M283" s="69" t="s">
        <v>5391</v>
      </c>
      <c r="N283" s="38"/>
      <c r="O283" s="38"/>
      <c r="P283" s="31"/>
    </row>
    <row r="284" spans="2:16">
      <c r="B284" s="30" t="s">
        <v>1787</v>
      </c>
      <c r="C284" s="38" t="s">
        <v>1788</v>
      </c>
      <c r="D284" s="38" t="s">
        <v>1789</v>
      </c>
      <c r="E284" s="38" t="s">
        <v>3575</v>
      </c>
      <c r="F284" s="38" t="s">
        <v>384</v>
      </c>
      <c r="G284" s="38" t="s">
        <v>3286</v>
      </c>
      <c r="H284" s="53" t="str">
        <f t="shared" si="4"/>
        <v>citation:tom_berman-01</v>
      </c>
      <c r="I284" s="54"/>
      <c r="J284" s="38" t="s">
        <v>5380</v>
      </c>
      <c r="K284" s="38" t="s">
        <v>5380</v>
      </c>
      <c r="L284" s="38" t="s">
        <v>5380</v>
      </c>
      <c r="M284" s="69" t="s">
        <v>5384</v>
      </c>
      <c r="N284" s="38"/>
      <c r="O284" s="38"/>
      <c r="P284" s="31"/>
    </row>
    <row r="285" spans="2:16">
      <c r="B285" s="32" t="s">
        <v>1790</v>
      </c>
      <c r="C285" s="39" t="s">
        <v>1788</v>
      </c>
      <c r="D285" s="39" t="s">
        <v>1791</v>
      </c>
      <c r="E285" s="39" t="s">
        <v>3576</v>
      </c>
      <c r="F285" s="39" t="s">
        <v>384</v>
      </c>
      <c r="G285" s="39" t="s">
        <v>3287</v>
      </c>
      <c r="H285" s="51" t="str">
        <f t="shared" si="4"/>
        <v>citation:tom_klapiscak-01</v>
      </c>
      <c r="I285" s="52"/>
      <c r="J285" s="38" t="s">
        <v>5380</v>
      </c>
      <c r="K285" s="38" t="s">
        <v>5380</v>
      </c>
      <c r="L285" s="38" t="s">
        <v>5380</v>
      </c>
      <c r="M285" s="69" t="s">
        <v>5384</v>
      </c>
      <c r="N285" s="39"/>
      <c r="O285" s="39"/>
      <c r="P285" s="34"/>
    </row>
    <row r="286" spans="2:16">
      <c r="B286" s="28" t="s">
        <v>1792</v>
      </c>
      <c r="C286" s="37" t="s">
        <v>1793</v>
      </c>
      <c r="D286" s="37" t="s">
        <v>1794</v>
      </c>
      <c r="E286" s="37" t="s">
        <v>3577</v>
      </c>
      <c r="F286" s="37" t="s">
        <v>385</v>
      </c>
      <c r="G286" s="37"/>
      <c r="H286" s="49" t="str">
        <f t="shared" si="4"/>
        <v>citation:aaron_kershenbaum-01</v>
      </c>
      <c r="I286" s="50"/>
      <c r="J286" s="38" t="s">
        <v>5380</v>
      </c>
      <c r="K286" s="38" t="s">
        <v>5380</v>
      </c>
      <c r="L286" s="38" t="s">
        <v>5380</v>
      </c>
      <c r="M286" s="69" t="s">
        <v>5387</v>
      </c>
      <c r="N286" s="37"/>
      <c r="O286" s="37"/>
      <c r="P286" s="29"/>
    </row>
    <row r="287" spans="2:16">
      <c r="B287" s="30" t="s">
        <v>1795</v>
      </c>
      <c r="C287" s="38" t="s">
        <v>1796</v>
      </c>
      <c r="D287" s="38" t="s">
        <v>1797</v>
      </c>
      <c r="E287" s="38" t="s">
        <v>3578</v>
      </c>
      <c r="F287" s="38" t="s">
        <v>385</v>
      </c>
      <c r="G287" s="38"/>
      <c r="H287" s="53" t="str">
        <f t="shared" si="4"/>
        <v>citation:achille_fokoue-01</v>
      </c>
      <c r="I287" s="54"/>
      <c r="J287" s="38" t="s">
        <v>5380</v>
      </c>
      <c r="K287" s="38" t="s">
        <v>5380</v>
      </c>
      <c r="L287" s="38" t="s">
        <v>5380</v>
      </c>
      <c r="M287" s="69" t="s">
        <v>5385</v>
      </c>
      <c r="N287" s="38"/>
      <c r="O287" s="38"/>
      <c r="P287" s="31"/>
    </row>
    <row r="288" spans="2:16">
      <c r="B288" s="30" t="s">
        <v>1798</v>
      </c>
      <c r="C288" s="38" t="s">
        <v>1799</v>
      </c>
      <c r="D288" s="38" t="s">
        <v>1800</v>
      </c>
      <c r="E288" s="38" t="s">
        <v>3579</v>
      </c>
      <c r="F288" s="38" t="s">
        <v>385</v>
      </c>
      <c r="G288" s="38"/>
      <c r="H288" s="53" t="str">
        <f t="shared" si="4"/>
        <v>citation:alina_beygelzimer-01</v>
      </c>
      <c r="I288" s="54"/>
      <c r="J288" s="38" t="s">
        <v>5380</v>
      </c>
      <c r="K288" s="38" t="s">
        <v>5380</v>
      </c>
      <c r="L288" s="38" t="s">
        <v>5380</v>
      </c>
      <c r="M288" s="69" t="s">
        <v>5384</v>
      </c>
      <c r="N288" s="38"/>
      <c r="O288" s="38"/>
      <c r="P288" s="31"/>
    </row>
    <row r="289" spans="2:16">
      <c r="B289" s="30" t="s">
        <v>1801</v>
      </c>
      <c r="C289" s="38" t="s">
        <v>1802</v>
      </c>
      <c r="D289" s="38" t="s">
        <v>1803</v>
      </c>
      <c r="E289" s="38" t="s">
        <v>3580</v>
      </c>
      <c r="F289" s="38" t="s">
        <v>385</v>
      </c>
      <c r="G289" s="38"/>
      <c r="H289" s="53" t="str">
        <f t="shared" si="4"/>
        <v>citation:anastasios_kementsietsidis-01</v>
      </c>
      <c r="I289" s="54"/>
      <c r="J289" s="38" t="s">
        <v>5050</v>
      </c>
      <c r="K289" s="38">
        <v>2676</v>
      </c>
      <c r="L289" s="38">
        <v>23</v>
      </c>
      <c r="M289" s="69" t="s">
        <v>5387</v>
      </c>
      <c r="N289" s="38"/>
      <c r="O289" s="38"/>
      <c r="P289" s="31"/>
    </row>
    <row r="290" spans="2:16">
      <c r="B290" s="30" t="s">
        <v>1804</v>
      </c>
      <c r="C290" s="38" t="s">
        <v>1805</v>
      </c>
      <c r="D290" s="38" t="s">
        <v>1806</v>
      </c>
      <c r="E290" s="38" t="s">
        <v>3581</v>
      </c>
      <c r="F290" s="38" t="s">
        <v>385</v>
      </c>
      <c r="G290" s="38"/>
      <c r="H290" s="53" t="str">
        <f t="shared" si="4"/>
        <v>citation:archan_misra-01</v>
      </c>
      <c r="I290" s="54"/>
      <c r="J290" s="38" t="s">
        <v>5062</v>
      </c>
      <c r="K290" s="38">
        <v>4516</v>
      </c>
      <c r="L290" s="38">
        <v>32</v>
      </c>
      <c r="M290" s="69" t="s">
        <v>5384</v>
      </c>
      <c r="N290" s="38"/>
      <c r="O290" s="38"/>
      <c r="P290" s="31"/>
    </row>
    <row r="291" spans="2:16">
      <c r="B291" s="30" t="s">
        <v>1807</v>
      </c>
      <c r="C291" s="38" t="s">
        <v>1808</v>
      </c>
      <c r="D291" s="38" t="s">
        <v>1809</v>
      </c>
      <c r="E291" s="38" t="s">
        <v>3582</v>
      </c>
      <c r="F291" s="38" t="s">
        <v>385</v>
      </c>
      <c r="G291" s="38"/>
      <c r="H291" s="53"/>
      <c r="I291" s="54"/>
      <c r="J291" s="38"/>
      <c r="K291" s="38"/>
      <c r="L291" s="38"/>
      <c r="M291" s="69" t="s">
        <v>5380</v>
      </c>
      <c r="N291" s="38"/>
      <c r="O291" s="38"/>
      <c r="P291" s="31"/>
    </row>
    <row r="292" spans="2:16">
      <c r="B292" s="30" t="s">
        <v>1810</v>
      </c>
      <c r="C292" s="38" t="s">
        <v>1811</v>
      </c>
      <c r="D292" s="38" t="s">
        <v>1812</v>
      </c>
      <c r="E292" s="38" t="s">
        <v>3583</v>
      </c>
      <c r="F292" s="38" t="s">
        <v>385</v>
      </c>
      <c r="G292" s="38"/>
      <c r="H292" s="53" t="str">
        <f t="shared" si="4"/>
        <v>citation:asser_tantawi-01</v>
      </c>
      <c r="I292" s="54"/>
      <c r="J292" s="38" t="s">
        <v>5066</v>
      </c>
      <c r="K292" s="38">
        <v>4628</v>
      </c>
      <c r="L292" s="38">
        <v>32</v>
      </c>
      <c r="M292" s="69" t="s">
        <v>5385</v>
      </c>
      <c r="N292" s="38"/>
      <c r="O292" s="38"/>
      <c r="P292" s="31"/>
    </row>
    <row r="293" spans="2:16">
      <c r="B293" s="30" t="s">
        <v>1813</v>
      </c>
      <c r="C293" s="38" t="s">
        <v>3584</v>
      </c>
      <c r="D293" s="38" t="s">
        <v>1814</v>
      </c>
      <c r="E293" s="38" t="s">
        <v>3585</v>
      </c>
      <c r="F293" s="38" t="s">
        <v>385</v>
      </c>
      <c r="G293" s="38"/>
      <c r="H293" s="53" t="str">
        <f t="shared" si="4"/>
        <v>citation:bong_jun_ko-01</v>
      </c>
      <c r="I293" s="54"/>
      <c r="J293" s="38" t="s">
        <v>5380</v>
      </c>
      <c r="K293" s="38" t="s">
        <v>5380</v>
      </c>
      <c r="L293" s="38" t="s">
        <v>5380</v>
      </c>
      <c r="M293" s="69" t="s">
        <v>5385</v>
      </c>
      <c r="N293" s="38"/>
      <c r="O293" s="38"/>
      <c r="P293" s="31"/>
    </row>
    <row r="294" spans="2:16">
      <c r="B294" s="30" t="s">
        <v>1815</v>
      </c>
      <c r="C294" s="38" t="s">
        <v>1816</v>
      </c>
      <c r="D294" s="38" t="s">
        <v>1131</v>
      </c>
      <c r="E294" s="38" t="s">
        <v>3586</v>
      </c>
      <c r="F294" s="38" t="s">
        <v>385</v>
      </c>
      <c r="G294" s="38"/>
      <c r="H294" s="53"/>
      <c r="I294" s="54"/>
      <c r="J294" s="38"/>
      <c r="K294" s="38"/>
      <c r="L294" s="38"/>
      <c r="M294" s="69" t="s">
        <v>5380</v>
      </c>
      <c r="N294" s="38"/>
      <c r="O294" s="38"/>
      <c r="P294" s="31"/>
    </row>
    <row r="295" spans="2:16">
      <c r="B295" s="30" t="s">
        <v>1817</v>
      </c>
      <c r="C295" s="38" t="s">
        <v>1361</v>
      </c>
      <c r="D295" s="38" t="s">
        <v>1818</v>
      </c>
      <c r="E295" s="38" t="s">
        <v>3587</v>
      </c>
      <c r="F295" s="38" t="s">
        <v>385</v>
      </c>
      <c r="G295" s="38"/>
      <c r="H295" s="53" t="str">
        <f t="shared" si="4"/>
        <v>citation:carolyn_brodie-01</v>
      </c>
      <c r="I295" s="54"/>
      <c r="J295" s="38" t="s">
        <v>5380</v>
      </c>
      <c r="K295" s="38" t="s">
        <v>5380</v>
      </c>
      <c r="L295" s="38" t="s">
        <v>5380</v>
      </c>
      <c r="M295" s="69" t="s">
        <v>5386</v>
      </c>
      <c r="N295" s="38"/>
      <c r="O295" s="38"/>
      <c r="P295" s="31"/>
    </row>
    <row r="296" spans="2:16">
      <c r="B296" s="30" t="s">
        <v>1819</v>
      </c>
      <c r="C296" s="38" t="s">
        <v>1820</v>
      </c>
      <c r="D296" s="38" t="s">
        <v>1821</v>
      </c>
      <c r="E296" s="38" t="s">
        <v>3588</v>
      </c>
      <c r="F296" s="38" t="s">
        <v>385</v>
      </c>
      <c r="G296" s="38"/>
      <c r="H296" s="53"/>
      <c r="I296" s="54"/>
      <c r="J296" s="38"/>
      <c r="K296" s="38"/>
      <c r="L296" s="38"/>
      <c r="M296" s="69" t="s">
        <v>5380</v>
      </c>
      <c r="N296" s="38"/>
      <c r="O296" s="38"/>
      <c r="P296" s="31"/>
    </row>
    <row r="297" spans="2:16">
      <c r="B297" s="30" t="s">
        <v>1822</v>
      </c>
      <c r="C297" s="38" t="s">
        <v>1823</v>
      </c>
      <c r="D297" s="38" t="s">
        <v>1824</v>
      </c>
      <c r="E297" s="38" t="s">
        <v>3589</v>
      </c>
      <c r="F297" s="38" t="s">
        <v>385</v>
      </c>
      <c r="G297" s="38"/>
      <c r="H297" s="53" t="str">
        <f t="shared" si="4"/>
        <v>citation:cesar_gonzales-01</v>
      </c>
      <c r="I297" s="54"/>
      <c r="J297" s="38" t="s">
        <v>5380</v>
      </c>
      <c r="K297" s="38" t="s">
        <v>5380</v>
      </c>
      <c r="L297" s="38" t="s">
        <v>5380</v>
      </c>
      <c r="M297" s="69" t="s">
        <v>5388</v>
      </c>
      <c r="N297" s="38"/>
      <c r="O297" s="38"/>
      <c r="P297" s="31"/>
    </row>
    <row r="298" spans="2:16">
      <c r="B298" s="30" t="s">
        <v>1825</v>
      </c>
      <c r="C298" s="38" t="s">
        <v>3590</v>
      </c>
      <c r="D298" s="38" t="s">
        <v>1826</v>
      </c>
      <c r="E298" s="38" t="s">
        <v>3591</v>
      </c>
      <c r="F298" s="38" t="s">
        <v>385</v>
      </c>
      <c r="G298" s="38"/>
      <c r="H298" s="53" t="str">
        <f t="shared" si="4"/>
        <v>citation:chai_wah_wu-01</v>
      </c>
      <c r="I298" s="54"/>
      <c r="J298" s="38" t="s">
        <v>5084</v>
      </c>
      <c r="K298" s="38">
        <v>9059</v>
      </c>
      <c r="L298" s="38">
        <v>45</v>
      </c>
      <c r="M298" s="69" t="s">
        <v>5391</v>
      </c>
      <c r="N298" s="38"/>
      <c r="O298" s="38"/>
      <c r="P298" s="31"/>
    </row>
    <row r="299" spans="2:16">
      <c r="B299" s="30" t="s">
        <v>1827</v>
      </c>
      <c r="C299" s="38" t="s">
        <v>1828</v>
      </c>
      <c r="D299" s="38" t="s">
        <v>1829</v>
      </c>
      <c r="E299" s="38" t="s">
        <v>3592</v>
      </c>
      <c r="F299" s="38" t="s">
        <v>385</v>
      </c>
      <c r="G299" s="38"/>
      <c r="H299" s="53" t="str">
        <f t="shared" si="4"/>
        <v>citation:charanjit_jutla-01</v>
      </c>
      <c r="I299" s="54"/>
      <c r="J299" s="38" t="s">
        <v>5380</v>
      </c>
      <c r="K299" s="38" t="s">
        <v>5380</v>
      </c>
      <c r="L299" s="38" t="s">
        <v>5380</v>
      </c>
      <c r="M299" s="69" t="s">
        <v>5391</v>
      </c>
      <c r="N299" s="38"/>
      <c r="O299" s="38"/>
      <c r="P299" s="31"/>
    </row>
    <row r="300" spans="2:16">
      <c r="B300" s="30" t="s">
        <v>1830</v>
      </c>
      <c r="C300" s="38" t="s">
        <v>1831</v>
      </c>
      <c r="D300" s="38" t="s">
        <v>1832</v>
      </c>
      <c r="E300" s="38" t="s">
        <v>3593</v>
      </c>
      <c r="F300" s="38" t="s">
        <v>385</v>
      </c>
      <c r="G300" s="38"/>
      <c r="H300" s="53" t="str">
        <f t="shared" si="4"/>
        <v>citation:charu_aggarwal-01</v>
      </c>
      <c r="I300" s="54"/>
      <c r="J300" s="38" t="s">
        <v>5088</v>
      </c>
      <c r="K300" s="38">
        <v>23623</v>
      </c>
      <c r="L300" s="38">
        <v>70</v>
      </c>
      <c r="M300" s="69" t="s">
        <v>5385</v>
      </c>
      <c r="N300" s="38"/>
      <c r="O300" s="38"/>
      <c r="P300" s="31"/>
    </row>
    <row r="301" spans="2:16">
      <c r="B301" s="30" t="s">
        <v>1833</v>
      </c>
      <c r="C301" s="38" t="s">
        <v>1834</v>
      </c>
      <c r="D301" s="38" t="s">
        <v>1835</v>
      </c>
      <c r="E301" s="38" t="s">
        <v>3594</v>
      </c>
      <c r="F301" s="38" t="s">
        <v>385</v>
      </c>
      <c r="G301" s="38"/>
      <c r="H301" s="53" t="str">
        <f t="shared" si="4"/>
        <v>citation:chatschik_bisdikian-01</v>
      </c>
      <c r="I301" s="54"/>
      <c r="J301" s="38" t="s">
        <v>5089</v>
      </c>
      <c r="K301" s="38">
        <v>4951</v>
      </c>
      <c r="L301" s="38">
        <v>36</v>
      </c>
      <c r="M301" s="69" t="s">
        <v>5384</v>
      </c>
      <c r="N301" s="38"/>
      <c r="O301" s="38"/>
      <c r="P301" s="31"/>
    </row>
    <row r="302" spans="2:16">
      <c r="B302" s="30" t="s">
        <v>1836</v>
      </c>
      <c r="C302" s="38" t="s">
        <v>1364</v>
      </c>
      <c r="D302" s="38" t="s">
        <v>1837</v>
      </c>
      <c r="E302" s="38" t="s">
        <v>3595</v>
      </c>
      <c r="F302" s="38" t="s">
        <v>385</v>
      </c>
      <c r="G302" s="38"/>
      <c r="H302" s="53" t="str">
        <f t="shared" si="4"/>
        <v>citation:christopher_kiekenveld-01</v>
      </c>
      <c r="I302" s="54"/>
      <c r="J302" s="38" t="s">
        <v>5097</v>
      </c>
      <c r="K302" s="38">
        <v>1835</v>
      </c>
      <c r="L302" s="38">
        <v>23</v>
      </c>
      <c r="M302" s="69" t="s">
        <v>5387</v>
      </c>
      <c r="N302" s="38"/>
      <c r="O302" s="38"/>
      <c r="P302" s="31"/>
    </row>
    <row r="303" spans="2:16">
      <c r="B303" s="30" t="s">
        <v>1838</v>
      </c>
      <c r="C303" s="38" t="s">
        <v>1839</v>
      </c>
      <c r="D303" s="38" t="s">
        <v>1840</v>
      </c>
      <c r="E303" s="38" t="s">
        <v>3596</v>
      </c>
      <c r="F303" s="38" t="s">
        <v>385</v>
      </c>
      <c r="G303" s="38"/>
      <c r="H303" s="53" t="str">
        <f t="shared" si="4"/>
        <v>citation:clare-marie_karat-01</v>
      </c>
      <c r="I303" s="54"/>
      <c r="J303" s="38" t="s">
        <v>5380</v>
      </c>
      <c r="K303" s="38" t="s">
        <v>5380</v>
      </c>
      <c r="L303" s="38" t="s">
        <v>5380</v>
      </c>
      <c r="M303" s="69" t="s">
        <v>5384</v>
      </c>
      <c r="N303" s="38"/>
      <c r="O303" s="38"/>
      <c r="P303" s="31"/>
    </row>
    <row r="304" spans="2:16">
      <c r="B304" s="30" t="s">
        <v>1841</v>
      </c>
      <c r="C304" s="38" t="s">
        <v>1842</v>
      </c>
      <c r="D304" s="38" t="s">
        <v>1843</v>
      </c>
      <c r="E304" s="38" t="s">
        <v>3597</v>
      </c>
      <c r="F304" s="38" t="s">
        <v>385</v>
      </c>
      <c r="G304" s="38"/>
      <c r="H304" s="53" t="str">
        <f t="shared" si="4"/>
        <v>citation:craig_gentry-01</v>
      </c>
      <c r="I304" s="54"/>
      <c r="J304" s="38" t="s">
        <v>5380</v>
      </c>
      <c r="K304" s="38" t="s">
        <v>5380</v>
      </c>
      <c r="L304" s="38" t="s">
        <v>5380</v>
      </c>
      <c r="M304" s="69" t="s">
        <v>5386</v>
      </c>
      <c r="N304" s="38"/>
      <c r="O304" s="38"/>
      <c r="P304" s="31"/>
    </row>
    <row r="305" spans="2:16">
      <c r="B305" s="30" t="s">
        <v>1844</v>
      </c>
      <c r="C305" s="38" t="s">
        <v>1845</v>
      </c>
      <c r="D305" s="38" t="s">
        <v>1846</v>
      </c>
      <c r="E305" s="38" t="s">
        <v>3598</v>
      </c>
      <c r="F305" s="38" t="s">
        <v>385</v>
      </c>
      <c r="G305" s="38"/>
      <c r="H305" s="53" t="str">
        <f t="shared" si="4"/>
        <v>citation:dakshi_agrawal-01</v>
      </c>
      <c r="I305" s="54"/>
      <c r="J305" s="38" t="s">
        <v>5102</v>
      </c>
      <c r="K305" s="38">
        <v>4515</v>
      </c>
      <c r="L305" s="38">
        <v>27</v>
      </c>
      <c r="M305" s="69" t="s">
        <v>5385</v>
      </c>
      <c r="N305" s="38"/>
      <c r="O305" s="38"/>
      <c r="P305" s="31"/>
    </row>
    <row r="306" spans="2:16">
      <c r="B306" s="30" t="s">
        <v>1847</v>
      </c>
      <c r="C306" s="38" t="s">
        <v>1662</v>
      </c>
      <c r="D306" s="38" t="s">
        <v>1848</v>
      </c>
      <c r="E306" s="38" t="s">
        <v>3599</v>
      </c>
      <c r="F306" s="38" t="s">
        <v>385</v>
      </c>
      <c r="G306" s="38"/>
      <c r="H306" s="53" t="str">
        <f t="shared" si="4"/>
        <v>citation:daniel_wichs-01</v>
      </c>
      <c r="I306" s="54"/>
      <c r="J306" s="38" t="s">
        <v>5105</v>
      </c>
      <c r="K306" s="38">
        <v>2074</v>
      </c>
      <c r="L306" s="38">
        <v>25</v>
      </c>
      <c r="M306" s="69" t="s">
        <v>5386</v>
      </c>
      <c r="N306" s="38"/>
      <c r="O306" s="38"/>
      <c r="P306" s="31"/>
    </row>
    <row r="307" spans="2:16">
      <c r="B307" s="30" t="s">
        <v>1849</v>
      </c>
      <c r="C307" s="38" t="s">
        <v>1850</v>
      </c>
      <c r="D307" s="38" t="s">
        <v>1196</v>
      </c>
      <c r="E307" s="38" t="s">
        <v>3600</v>
      </c>
      <c r="F307" s="38" t="s">
        <v>385</v>
      </c>
      <c r="G307" s="38"/>
      <c r="H307" s="53" t="str">
        <f t="shared" si="4"/>
        <v>citation:dashun_wang-01</v>
      </c>
      <c r="I307" s="54"/>
      <c r="J307" s="38" t="s">
        <v>5108</v>
      </c>
      <c r="K307" s="38">
        <v>667</v>
      </c>
      <c r="L307" s="38">
        <v>8</v>
      </c>
      <c r="M307" s="69" t="s">
        <v>5384</v>
      </c>
      <c r="N307" s="38"/>
      <c r="O307" s="38"/>
      <c r="P307" s="31"/>
    </row>
    <row r="308" spans="2:16">
      <c r="B308" s="30" t="s">
        <v>1851</v>
      </c>
      <c r="C308" s="38" t="s">
        <v>83</v>
      </c>
      <c r="D308" s="38" t="s">
        <v>1852</v>
      </c>
      <c r="E308" s="38" t="s">
        <v>3601</v>
      </c>
      <c r="F308" s="38" t="s">
        <v>385</v>
      </c>
      <c r="G308" s="38"/>
      <c r="H308" s="53"/>
      <c r="I308" s="54"/>
      <c r="J308" s="38"/>
      <c r="K308" s="38"/>
      <c r="L308" s="38"/>
      <c r="M308" s="69" t="s">
        <v>5380</v>
      </c>
      <c r="N308" s="38"/>
      <c r="O308" s="38"/>
      <c r="P308" s="31"/>
    </row>
    <row r="309" spans="2:16">
      <c r="B309" s="30" t="s">
        <v>1853</v>
      </c>
      <c r="C309" s="38" t="s">
        <v>83</v>
      </c>
      <c r="D309" s="38" t="s">
        <v>1092</v>
      </c>
      <c r="E309" s="38" t="s">
        <v>3602</v>
      </c>
      <c r="F309" s="38" t="s">
        <v>385</v>
      </c>
      <c r="G309" s="38"/>
      <c r="H309" s="53" t="str">
        <f t="shared" si="4"/>
        <v>citation:david_george-01</v>
      </c>
      <c r="I309" s="54"/>
      <c r="J309" s="38" t="s">
        <v>5380</v>
      </c>
      <c r="K309" s="38" t="s">
        <v>5380</v>
      </c>
      <c r="L309" s="38" t="s">
        <v>5380</v>
      </c>
      <c r="M309" s="69" t="s">
        <v>5386</v>
      </c>
      <c r="N309" s="38"/>
      <c r="O309" s="38"/>
      <c r="P309" s="31"/>
    </row>
    <row r="310" spans="2:16">
      <c r="B310" s="30" t="s">
        <v>1854</v>
      </c>
      <c r="C310" s="38" t="s">
        <v>83</v>
      </c>
      <c r="D310" s="38" t="s">
        <v>1855</v>
      </c>
      <c r="E310" s="38" t="s">
        <v>3603</v>
      </c>
      <c r="F310" s="38" t="s">
        <v>385</v>
      </c>
      <c r="G310" s="38"/>
      <c r="H310" s="53" t="str">
        <f t="shared" si="4"/>
        <v>citation:david_wood-01</v>
      </c>
      <c r="I310" s="54"/>
      <c r="J310" s="38" t="s">
        <v>5380</v>
      </c>
      <c r="K310" s="38" t="s">
        <v>5380</v>
      </c>
      <c r="L310" s="38" t="s">
        <v>5380</v>
      </c>
      <c r="M310" s="69" t="s">
        <v>5384</v>
      </c>
      <c r="N310" s="38"/>
      <c r="O310" s="38"/>
      <c r="P310" s="31"/>
    </row>
    <row r="311" spans="2:16">
      <c r="B311" s="30" t="s">
        <v>1856</v>
      </c>
      <c r="C311" s="38" t="s">
        <v>1857</v>
      </c>
      <c r="D311" s="38" t="s">
        <v>1089</v>
      </c>
      <c r="E311" s="38" t="s">
        <v>3604</v>
      </c>
      <c r="F311" s="38" t="s">
        <v>385</v>
      </c>
      <c r="G311" s="38"/>
      <c r="H311" s="53" t="str">
        <f t="shared" si="4"/>
        <v>citation:dinesh_verma-01</v>
      </c>
      <c r="I311" s="54"/>
      <c r="J311" s="38" t="s">
        <v>5116</v>
      </c>
      <c r="K311" s="38">
        <v>6624</v>
      </c>
      <c r="L311" s="38">
        <v>32</v>
      </c>
      <c r="M311" s="69" t="s">
        <v>5384</v>
      </c>
      <c r="N311" s="38"/>
      <c r="O311" s="38"/>
      <c r="P311" s="31"/>
    </row>
    <row r="312" spans="2:16">
      <c r="B312" s="30" t="s">
        <v>1858</v>
      </c>
      <c r="C312" s="38" t="s">
        <v>1859</v>
      </c>
      <c r="D312" s="38" t="s">
        <v>1860</v>
      </c>
      <c r="E312" s="38" t="s">
        <v>3605</v>
      </c>
      <c r="F312" s="38" t="s">
        <v>385</v>
      </c>
      <c r="G312" s="38"/>
      <c r="H312" s="53" t="str">
        <f t="shared" si="4"/>
        <v>citation:dmitriy_katz-rogozhnikov-01</v>
      </c>
      <c r="I312" s="54"/>
      <c r="J312" s="38" t="s">
        <v>5380</v>
      </c>
      <c r="K312" s="38" t="s">
        <v>5380</v>
      </c>
      <c r="L312" s="38" t="s">
        <v>5380</v>
      </c>
      <c r="M312" s="69" t="s">
        <v>5385</v>
      </c>
      <c r="N312" s="38"/>
      <c r="O312" s="38"/>
      <c r="P312" s="31"/>
    </row>
    <row r="313" spans="2:16">
      <c r="B313" s="30" t="s">
        <v>1861</v>
      </c>
      <c r="C313" s="38" t="s">
        <v>1862</v>
      </c>
      <c r="D313" s="38" t="s">
        <v>1863</v>
      </c>
      <c r="E313" s="38" t="s">
        <v>3606</v>
      </c>
      <c r="F313" s="38" t="s">
        <v>385</v>
      </c>
      <c r="G313" s="38"/>
      <c r="H313" s="53"/>
      <c r="I313" s="54"/>
      <c r="J313" s="38"/>
      <c r="K313" s="38"/>
      <c r="L313" s="38"/>
      <c r="M313" s="69" t="s">
        <v>5380</v>
      </c>
      <c r="N313" s="38"/>
      <c r="O313" s="38"/>
      <c r="P313" s="31"/>
    </row>
    <row r="314" spans="2:16">
      <c r="B314" s="30" t="s">
        <v>1864</v>
      </c>
      <c r="C314" s="38" t="s">
        <v>1862</v>
      </c>
      <c r="D314" s="38" t="s">
        <v>1865</v>
      </c>
      <c r="E314" s="38" t="s">
        <v>3607</v>
      </c>
      <c r="F314" s="38" t="s">
        <v>385</v>
      </c>
      <c r="G314" s="38"/>
      <c r="H314" s="53" t="str">
        <f t="shared" si="4"/>
        <v>citation:douglas_schales-01</v>
      </c>
      <c r="I314" s="54"/>
      <c r="J314" s="38" t="s">
        <v>5121</v>
      </c>
      <c r="K314" s="38">
        <v>318</v>
      </c>
      <c r="L314" s="38">
        <v>7</v>
      </c>
      <c r="M314" s="69" t="s">
        <v>5387</v>
      </c>
      <c r="N314" s="38"/>
      <c r="O314" s="38"/>
      <c r="P314" s="31"/>
    </row>
    <row r="315" spans="2:16">
      <c r="B315" s="30" t="s">
        <v>1866</v>
      </c>
      <c r="C315" s="38" t="s">
        <v>1867</v>
      </c>
      <c r="D315" s="38" t="s">
        <v>1868</v>
      </c>
      <c r="E315" s="38" t="s">
        <v>3608</v>
      </c>
      <c r="F315" s="38" t="s">
        <v>385</v>
      </c>
      <c r="G315" s="38"/>
      <c r="H315" s="53" t="str">
        <f t="shared" si="4"/>
        <v>citation:erich_nahum-01</v>
      </c>
      <c r="I315" s="54"/>
      <c r="J315" s="38" t="s">
        <v>5130</v>
      </c>
      <c r="K315" s="38">
        <v>3003</v>
      </c>
      <c r="L315" s="38">
        <v>24</v>
      </c>
      <c r="M315" s="69" t="s">
        <v>5384</v>
      </c>
      <c r="N315" s="38"/>
      <c r="O315" s="38"/>
      <c r="P315" s="31"/>
    </row>
    <row r="316" spans="2:16">
      <c r="B316" s="30" t="s">
        <v>1869</v>
      </c>
      <c r="C316" s="38" t="s">
        <v>1870</v>
      </c>
      <c r="D316" s="38" t="s">
        <v>1871</v>
      </c>
      <c r="E316" s="38" t="s">
        <v>3609</v>
      </c>
      <c r="F316" s="38" t="s">
        <v>385</v>
      </c>
      <c r="G316" s="38"/>
      <c r="H316" s="53" t="str">
        <f t="shared" si="4"/>
        <v>citation:ertugrul_ciftcioglu-01</v>
      </c>
      <c r="I316" s="54"/>
      <c r="J316" s="38" t="s">
        <v>5380</v>
      </c>
      <c r="K316" s="38" t="s">
        <v>5380</v>
      </c>
      <c r="L316" s="38" t="s">
        <v>5380</v>
      </c>
      <c r="M316" s="69" t="s">
        <v>5389</v>
      </c>
      <c r="N316" s="38"/>
      <c r="O316" s="38"/>
      <c r="P316" s="31"/>
    </row>
    <row r="317" spans="2:16">
      <c r="B317" s="30" t="s">
        <v>1872</v>
      </c>
      <c r="C317" s="38" t="s">
        <v>1873</v>
      </c>
      <c r="D317" s="38" t="s">
        <v>1874</v>
      </c>
      <c r="E317" s="38" t="s">
        <v>3610</v>
      </c>
      <c r="F317" s="38" t="s">
        <v>385</v>
      </c>
      <c r="G317" s="38"/>
      <c r="H317" s="53" t="str">
        <f t="shared" si="4"/>
        <v>citation:fan_ye-01</v>
      </c>
      <c r="I317" s="54"/>
      <c r="J317" s="38" t="s">
        <v>5135</v>
      </c>
      <c r="K317" s="38">
        <v>7176</v>
      </c>
      <c r="L317" s="38">
        <v>22</v>
      </c>
      <c r="M317" s="69" t="s">
        <v>5385</v>
      </c>
      <c r="N317" s="38"/>
      <c r="O317" s="38"/>
      <c r="P317" s="31"/>
    </row>
    <row r="318" spans="2:16">
      <c r="B318" s="30" t="s">
        <v>1875</v>
      </c>
      <c r="C318" s="38" t="s">
        <v>1876</v>
      </c>
      <c r="D318" s="38" t="s">
        <v>1196</v>
      </c>
      <c r="E318" s="38" t="s">
        <v>3611</v>
      </c>
      <c r="F318" s="38" t="s">
        <v>385</v>
      </c>
      <c r="G318" s="38"/>
      <c r="H318" s="53" t="str">
        <f t="shared" si="4"/>
        <v>citation:fei_wang-01</v>
      </c>
      <c r="I318" s="54"/>
      <c r="J318" s="38" t="s">
        <v>5380</v>
      </c>
      <c r="K318" s="38" t="s">
        <v>5380</v>
      </c>
      <c r="L318" s="38" t="s">
        <v>5380</v>
      </c>
      <c r="M318" s="69" t="s">
        <v>5384</v>
      </c>
      <c r="N318" s="38"/>
      <c r="O318" s="38"/>
      <c r="P318" s="31"/>
    </row>
    <row r="319" spans="2:16">
      <c r="B319" s="30" t="s">
        <v>1877</v>
      </c>
      <c r="C319" s="38" t="s">
        <v>1878</v>
      </c>
      <c r="D319" s="38" t="s">
        <v>1879</v>
      </c>
      <c r="E319" s="38" t="s">
        <v>3612</v>
      </c>
      <c r="F319" s="38" t="s">
        <v>385</v>
      </c>
      <c r="G319" s="38"/>
      <c r="H319" s="53" t="str">
        <f t="shared" si="4"/>
        <v>citation:franck_le-01</v>
      </c>
      <c r="I319" s="54"/>
      <c r="J319" s="38" t="s">
        <v>5380</v>
      </c>
      <c r="K319" s="38" t="s">
        <v>5380</v>
      </c>
      <c r="L319" s="38" t="s">
        <v>5380</v>
      </c>
      <c r="M319" s="69" t="s">
        <v>5384</v>
      </c>
      <c r="N319" s="38"/>
      <c r="O319" s="38"/>
      <c r="P319" s="31"/>
    </row>
    <row r="320" spans="2:16">
      <c r="B320" s="30" t="s">
        <v>90</v>
      </c>
      <c r="C320" s="38" t="s">
        <v>91</v>
      </c>
      <c r="D320" s="38" t="s">
        <v>204</v>
      </c>
      <c r="E320" s="38" t="s">
        <v>3613</v>
      </c>
      <c r="F320" s="38" t="s">
        <v>385</v>
      </c>
      <c r="G320" s="38" t="s">
        <v>3288</v>
      </c>
      <c r="H320" s="53" t="str">
        <f t="shared" si="4"/>
        <v>citation:geeth_de_mel-01</v>
      </c>
      <c r="I320" s="54"/>
      <c r="J320" s="38" t="s">
        <v>5148</v>
      </c>
      <c r="K320" s="38">
        <v>272</v>
      </c>
      <c r="L320" s="38">
        <v>9</v>
      </c>
      <c r="M320" s="69" t="s">
        <v>5385</v>
      </c>
      <c r="N320" s="38"/>
      <c r="O320" s="38"/>
      <c r="P320" s="31"/>
    </row>
    <row r="321" spans="2:16">
      <c r="B321" s="30" t="s">
        <v>1880</v>
      </c>
      <c r="C321" s="38" t="s">
        <v>1881</v>
      </c>
      <c r="D321" s="38" t="s">
        <v>1882</v>
      </c>
      <c r="E321" s="38" t="s">
        <v>3614</v>
      </c>
      <c r="F321" s="38" t="s">
        <v>385</v>
      </c>
      <c r="G321" s="38"/>
      <c r="H321" s="53" t="str">
        <f t="shared" si="4"/>
        <v>citation:ho-yin_wong-01</v>
      </c>
      <c r="I321" s="54"/>
      <c r="J321" s="38" t="s">
        <v>5165</v>
      </c>
      <c r="K321" s="38">
        <v>1684</v>
      </c>
      <c r="L321" s="38">
        <v>15</v>
      </c>
      <c r="M321" s="69" t="s">
        <v>5384</v>
      </c>
      <c r="N321" s="38"/>
      <c r="O321" s="38"/>
      <c r="P321" s="31"/>
    </row>
    <row r="322" spans="2:16">
      <c r="B322" s="30" t="s">
        <v>1883</v>
      </c>
      <c r="C322" s="38" t="s">
        <v>1884</v>
      </c>
      <c r="D322" s="38" t="s">
        <v>1885</v>
      </c>
      <c r="E322" s="38" t="s">
        <v>3615</v>
      </c>
      <c r="F322" s="38" t="s">
        <v>385</v>
      </c>
      <c r="G322" s="38"/>
      <c r="H322" s="53" t="str">
        <f t="shared" si="4"/>
        <v>citation:hugo_krawczyk-01</v>
      </c>
      <c r="I322" s="54"/>
      <c r="J322" s="38" t="s">
        <v>5171</v>
      </c>
      <c r="K322" s="38">
        <v>17837</v>
      </c>
      <c r="L322" s="38">
        <v>57</v>
      </c>
      <c r="M322" s="69" t="s">
        <v>5384</v>
      </c>
      <c r="N322" s="38"/>
      <c r="O322" s="38"/>
      <c r="P322" s="31"/>
    </row>
    <row r="323" spans="2:16">
      <c r="B323" s="30" t="s">
        <v>1886</v>
      </c>
      <c r="C323" s="38" t="s">
        <v>1887</v>
      </c>
      <c r="D323" s="38" t="s">
        <v>1212</v>
      </c>
      <c r="E323" s="38" t="s">
        <v>3616</v>
      </c>
      <c r="F323" s="38" t="s">
        <v>385</v>
      </c>
      <c r="G323" s="38"/>
      <c r="H323" s="53" t="str">
        <f t="shared" si="4"/>
        <v>citation:hyoil_kim-01</v>
      </c>
      <c r="I323" s="54"/>
      <c r="J323" s="38" t="s">
        <v>5172</v>
      </c>
      <c r="K323" s="38">
        <v>1615</v>
      </c>
      <c r="L323" s="38">
        <v>13</v>
      </c>
      <c r="M323" s="69" t="s">
        <v>5388</v>
      </c>
      <c r="N323" s="38"/>
      <c r="O323" s="38"/>
      <c r="P323" s="31"/>
    </row>
    <row r="324" spans="2:16">
      <c r="B324" s="30" t="s">
        <v>1888</v>
      </c>
      <c r="C324" s="38" t="s">
        <v>1537</v>
      </c>
      <c r="D324" s="38" t="s">
        <v>1889</v>
      </c>
      <c r="E324" s="38" t="s">
        <v>3617</v>
      </c>
      <c r="F324" s="38" t="s">
        <v>385</v>
      </c>
      <c r="G324" s="38"/>
      <c r="H324" s="53" t="str">
        <f t="shared" ref="H324:H387" si="5">"citation:"&amp;B324&amp;"-01"</f>
        <v>citation:ian_molloy-01</v>
      </c>
      <c r="I324" s="54"/>
      <c r="J324" s="38" t="s">
        <v>5380</v>
      </c>
      <c r="K324" s="38" t="s">
        <v>5380</v>
      </c>
      <c r="L324" s="38" t="s">
        <v>5380</v>
      </c>
      <c r="M324" s="69" t="s">
        <v>5384</v>
      </c>
      <c r="N324" s="38"/>
      <c r="O324" s="38"/>
      <c r="P324" s="31"/>
    </row>
    <row r="325" spans="2:16">
      <c r="B325" s="30" t="s">
        <v>1890</v>
      </c>
      <c r="C325" s="38" t="s">
        <v>1537</v>
      </c>
      <c r="D325" s="38" t="s">
        <v>1891</v>
      </c>
      <c r="E325" s="38" t="s">
        <v>3618</v>
      </c>
      <c r="F325" s="38" t="s">
        <v>385</v>
      </c>
      <c r="G325" s="38"/>
      <c r="H325" s="53" t="str">
        <f t="shared" si="5"/>
        <v>citation:ian_molly-01</v>
      </c>
      <c r="I325" s="54"/>
      <c r="J325" s="38" t="s">
        <v>5380</v>
      </c>
      <c r="K325" s="38" t="s">
        <v>5380</v>
      </c>
      <c r="L325" s="38" t="s">
        <v>5380</v>
      </c>
      <c r="M325" s="69" t="s">
        <v>5386</v>
      </c>
      <c r="N325" s="38"/>
      <c r="O325" s="38"/>
      <c r="P325" s="31"/>
    </row>
    <row r="326" spans="2:16">
      <c r="B326" s="30" t="s">
        <v>1892</v>
      </c>
      <c r="C326" s="38" t="s">
        <v>1893</v>
      </c>
      <c r="D326" s="38" t="s">
        <v>1894</v>
      </c>
      <c r="E326" s="38" t="s">
        <v>3619</v>
      </c>
      <c r="F326" s="38" t="s">
        <v>385</v>
      </c>
      <c r="G326" s="38"/>
      <c r="H326" s="53"/>
      <c r="I326" s="54"/>
      <c r="J326" s="38"/>
      <c r="K326" s="38"/>
      <c r="L326" s="38"/>
      <c r="M326" s="69" t="s">
        <v>5380</v>
      </c>
      <c r="N326" s="38"/>
      <c r="O326" s="38"/>
      <c r="P326" s="31"/>
    </row>
    <row r="327" spans="2:16">
      <c r="B327" s="30" t="s">
        <v>1895</v>
      </c>
      <c r="C327" s="38" t="s">
        <v>1151</v>
      </c>
      <c r="D327" s="38" t="s">
        <v>1873</v>
      </c>
      <c r="E327" s="38" t="s">
        <v>3620</v>
      </c>
      <c r="F327" s="38" t="s">
        <v>385</v>
      </c>
      <c r="G327" s="38"/>
      <c r="H327" s="53"/>
      <c r="I327" s="54"/>
      <c r="J327" s="38"/>
      <c r="K327" s="38"/>
      <c r="L327" s="38"/>
      <c r="M327" s="69" t="s">
        <v>5380</v>
      </c>
      <c r="N327" s="38"/>
      <c r="O327" s="38"/>
      <c r="P327" s="31"/>
    </row>
    <row r="328" spans="2:16">
      <c r="B328" s="30" t="s">
        <v>1896</v>
      </c>
      <c r="C328" s="38" t="s">
        <v>1897</v>
      </c>
      <c r="D328" s="38" t="s">
        <v>1898</v>
      </c>
      <c r="E328" s="38" t="s">
        <v>3621</v>
      </c>
      <c r="F328" s="38" t="s">
        <v>385</v>
      </c>
      <c r="G328" s="38"/>
      <c r="H328" s="53" t="str">
        <f t="shared" si="5"/>
        <v>citation:janusz_marecki-01</v>
      </c>
      <c r="I328" s="54"/>
      <c r="J328" s="38" t="s">
        <v>5182</v>
      </c>
      <c r="K328" s="38">
        <v>1099</v>
      </c>
      <c r="L328" s="38">
        <v>16</v>
      </c>
      <c r="M328" s="69" t="s">
        <v>5384</v>
      </c>
      <c r="N328" s="38"/>
      <c r="O328" s="38"/>
      <c r="P328" s="31"/>
    </row>
    <row r="329" spans="2:16">
      <c r="B329" s="30" t="s">
        <v>1899</v>
      </c>
      <c r="C329" s="38" t="s">
        <v>1900</v>
      </c>
      <c r="D329" s="38" t="s">
        <v>1901</v>
      </c>
      <c r="E329" s="38" t="s">
        <v>3622</v>
      </c>
      <c r="F329" s="38" t="s">
        <v>385</v>
      </c>
      <c r="G329" s="38"/>
      <c r="H329" s="53" t="str">
        <f t="shared" si="5"/>
        <v>citation:jiyong_jang-01</v>
      </c>
      <c r="I329" s="54"/>
      <c r="J329" s="38" t="s">
        <v>5199</v>
      </c>
      <c r="K329" s="38">
        <v>256</v>
      </c>
      <c r="L329" s="38">
        <v>7</v>
      </c>
      <c r="M329" s="69" t="s">
        <v>5384</v>
      </c>
      <c r="N329" s="38"/>
      <c r="O329" s="38"/>
      <c r="P329" s="31"/>
    </row>
    <row r="330" spans="2:16">
      <c r="B330" s="30" t="s">
        <v>1902</v>
      </c>
      <c r="C330" s="38" t="s">
        <v>1761</v>
      </c>
      <c r="D330" s="38" t="s">
        <v>1903</v>
      </c>
      <c r="E330" s="38" t="s">
        <v>3623</v>
      </c>
      <c r="F330" s="38" t="s">
        <v>385</v>
      </c>
      <c r="G330" s="38"/>
      <c r="H330" s="53" t="str">
        <f t="shared" si="5"/>
        <v>citation:joel_branch-01</v>
      </c>
      <c r="I330" s="54"/>
      <c r="J330" s="38" t="s">
        <v>5201</v>
      </c>
      <c r="K330" s="38">
        <v>1027</v>
      </c>
      <c r="L330" s="38">
        <v>16</v>
      </c>
      <c r="M330" s="69" t="s">
        <v>5385</v>
      </c>
      <c r="N330" s="38"/>
      <c r="O330" s="38"/>
      <c r="P330" s="31"/>
    </row>
    <row r="331" spans="2:16">
      <c r="B331" s="30" t="s">
        <v>1904</v>
      </c>
      <c r="C331" s="38" t="s">
        <v>1565</v>
      </c>
      <c r="D331" s="38" t="s">
        <v>1840</v>
      </c>
      <c r="E331" s="38" t="s">
        <v>3624</v>
      </c>
      <c r="F331" s="38" t="s">
        <v>385</v>
      </c>
      <c r="G331" s="38"/>
      <c r="H331" s="53" t="str">
        <f t="shared" si="5"/>
        <v>citation:john_karat-01</v>
      </c>
      <c r="I331" s="54"/>
      <c r="J331" s="38" t="s">
        <v>5380</v>
      </c>
      <c r="K331" s="38" t="s">
        <v>5380</v>
      </c>
      <c r="L331" s="38" t="s">
        <v>5380</v>
      </c>
      <c r="M331" s="69" t="s">
        <v>5388</v>
      </c>
      <c r="N331" s="38"/>
      <c r="O331" s="38"/>
      <c r="P331" s="31"/>
    </row>
    <row r="332" spans="2:16">
      <c r="B332" s="30" t="s">
        <v>1905</v>
      </c>
      <c r="C332" s="38" t="s">
        <v>1906</v>
      </c>
      <c r="D332" s="38" t="s">
        <v>1907</v>
      </c>
      <c r="E332" s="38" t="s">
        <v>3625</v>
      </c>
      <c r="F332" s="38" t="s">
        <v>385</v>
      </c>
      <c r="G332" s="38"/>
      <c r="H332" s="53" t="str">
        <f t="shared" si="5"/>
        <v>citation:jorge_lobo-01</v>
      </c>
      <c r="I332" s="54"/>
      <c r="J332" s="38" t="s">
        <v>5210</v>
      </c>
      <c r="K332" s="38">
        <v>7936</v>
      </c>
      <c r="L332" s="38">
        <v>44</v>
      </c>
      <c r="M332" s="69" t="s">
        <v>5385</v>
      </c>
      <c r="N332" s="38"/>
      <c r="O332" s="38"/>
      <c r="P332" s="31"/>
    </row>
    <row r="333" spans="2:16">
      <c r="B333" s="30" t="s">
        <v>1908</v>
      </c>
      <c r="C333" s="38" t="s">
        <v>1909</v>
      </c>
      <c r="D333" s="38" t="s">
        <v>1910</v>
      </c>
      <c r="E333" s="38" t="s">
        <v>3626</v>
      </c>
      <c r="F333" s="38" t="s">
        <v>385</v>
      </c>
      <c r="G333" s="38"/>
      <c r="H333" s="53" t="str">
        <f t="shared" si="5"/>
        <v>citation:julian_dolby-01</v>
      </c>
      <c r="I333" s="54"/>
      <c r="J333" s="38" t="s">
        <v>5215</v>
      </c>
      <c r="K333" s="38">
        <v>2662</v>
      </c>
      <c r="L333" s="38">
        <v>29</v>
      </c>
      <c r="M333" s="69" t="s">
        <v>5386</v>
      </c>
      <c r="N333" s="38"/>
      <c r="O333" s="38"/>
      <c r="P333" s="31"/>
    </row>
    <row r="334" spans="2:16">
      <c r="B334" s="30" t="s">
        <v>1911</v>
      </c>
      <c r="C334" s="38" t="s">
        <v>1912</v>
      </c>
      <c r="D334" s="38" t="s">
        <v>1268</v>
      </c>
      <c r="E334" s="38" t="s">
        <v>3627</v>
      </c>
      <c r="F334" s="38" t="s">
        <v>385</v>
      </c>
      <c r="G334" s="38"/>
      <c r="H334" s="53" t="str">
        <f t="shared" si="5"/>
        <v>citation:kang_won_lee-01</v>
      </c>
      <c r="I334" s="54"/>
      <c r="J334" s="38" t="s">
        <v>5217</v>
      </c>
      <c r="K334" s="38">
        <v>17849</v>
      </c>
      <c r="L334" s="38">
        <v>39</v>
      </c>
      <c r="M334" s="69" t="s">
        <v>5385</v>
      </c>
      <c r="N334" s="38"/>
      <c r="O334" s="38"/>
      <c r="P334" s="31"/>
    </row>
    <row r="335" spans="2:16">
      <c r="B335" s="30" t="s">
        <v>1913</v>
      </c>
      <c r="C335" s="38" t="s">
        <v>1914</v>
      </c>
      <c r="D335" s="38" t="s">
        <v>1915</v>
      </c>
      <c r="E335" s="38" t="s">
        <v>3628</v>
      </c>
      <c r="F335" s="38" t="s">
        <v>385</v>
      </c>
      <c r="G335" s="38"/>
      <c r="H335" s="53" t="str">
        <f t="shared" si="5"/>
        <v>citation:kavitha_srinivas-01</v>
      </c>
      <c r="I335" s="54"/>
      <c r="J335" s="38" t="s">
        <v>5220</v>
      </c>
      <c r="K335" s="38">
        <v>2355</v>
      </c>
      <c r="L335" s="38">
        <v>27</v>
      </c>
      <c r="M335" s="69" t="s">
        <v>5387</v>
      </c>
      <c r="N335" s="38"/>
      <c r="O335" s="38"/>
      <c r="P335" s="31"/>
    </row>
    <row r="336" spans="2:16">
      <c r="B336" s="30" t="s">
        <v>1916</v>
      </c>
      <c r="C336" s="38" t="s">
        <v>1249</v>
      </c>
      <c r="D336" s="38" t="s">
        <v>1917</v>
      </c>
      <c r="E336" s="38" t="s">
        <v>3629</v>
      </c>
      <c r="F336" s="38" t="s">
        <v>385</v>
      </c>
      <c r="G336" s="38"/>
      <c r="H336" s="53" t="str">
        <f t="shared" si="5"/>
        <v>citation:keith_grueneberg-01</v>
      </c>
      <c r="I336" s="54"/>
      <c r="J336" s="38" t="s">
        <v>5380</v>
      </c>
      <c r="K336" s="38" t="s">
        <v>5380</v>
      </c>
      <c r="L336" s="38" t="s">
        <v>5380</v>
      </c>
      <c r="M336" s="69" t="s">
        <v>5385</v>
      </c>
      <c r="N336" s="38"/>
      <c r="O336" s="38"/>
      <c r="P336" s="31"/>
    </row>
    <row r="337" spans="2:16">
      <c r="B337" s="30" t="s">
        <v>1918</v>
      </c>
      <c r="C337" s="38" t="s">
        <v>1919</v>
      </c>
      <c r="D337" s="38" t="s">
        <v>1920</v>
      </c>
      <c r="E337" s="38" t="s">
        <v>3630</v>
      </c>
      <c r="F337" s="38" t="s">
        <v>385</v>
      </c>
      <c r="G337" s="38"/>
      <c r="H337" s="53" t="str">
        <f t="shared" si="5"/>
        <v>citation:lu_su-01</v>
      </c>
      <c r="I337" s="54"/>
      <c r="J337" s="38" t="s">
        <v>5231</v>
      </c>
      <c r="K337" s="38">
        <v>275</v>
      </c>
      <c r="L337" s="38">
        <v>10</v>
      </c>
      <c r="M337" s="69" t="s">
        <v>5387</v>
      </c>
      <c r="N337" s="38"/>
      <c r="O337" s="38"/>
      <c r="P337" s="31"/>
    </row>
    <row r="338" spans="2:16">
      <c r="B338" s="30" t="s">
        <v>1921</v>
      </c>
      <c r="C338" s="38" t="s">
        <v>1922</v>
      </c>
      <c r="D338" s="38" t="s">
        <v>1923</v>
      </c>
      <c r="E338" s="38" t="s">
        <v>3631</v>
      </c>
      <c r="F338" s="38" t="s">
        <v>385</v>
      </c>
      <c r="G338" s="38"/>
      <c r="H338" s="53" t="str">
        <f t="shared" si="5"/>
        <v>citation:mandis_beigi-01</v>
      </c>
      <c r="I338" s="54"/>
      <c r="J338" s="38" t="s">
        <v>5380</v>
      </c>
      <c r="K338" s="38" t="s">
        <v>5380</v>
      </c>
      <c r="L338" s="38" t="s">
        <v>5380</v>
      </c>
      <c r="M338" s="69" t="s">
        <v>5385</v>
      </c>
      <c r="N338" s="38"/>
      <c r="O338" s="38"/>
      <c r="P338" s="31"/>
    </row>
    <row r="339" spans="2:16">
      <c r="B339" s="30" t="s">
        <v>1924</v>
      </c>
      <c r="C339" s="38" t="s">
        <v>1925</v>
      </c>
      <c r="D339" s="38" t="s">
        <v>1926</v>
      </c>
      <c r="E339" s="38" t="s">
        <v>3632</v>
      </c>
      <c r="F339" s="38" t="s">
        <v>385</v>
      </c>
      <c r="G339" s="38"/>
      <c r="H339" s="53" t="str">
        <f t="shared" si="5"/>
        <v>citation:marc_stoecklin-01</v>
      </c>
      <c r="I339" s="54"/>
      <c r="J339" s="38" t="s">
        <v>5380</v>
      </c>
      <c r="K339" s="38" t="s">
        <v>5380</v>
      </c>
      <c r="L339" s="38" t="s">
        <v>5380</v>
      </c>
      <c r="M339" s="69" t="s">
        <v>5387</v>
      </c>
      <c r="N339" s="38"/>
      <c r="O339" s="38"/>
      <c r="P339" s="31"/>
    </row>
    <row r="340" spans="2:16">
      <c r="B340" s="30" t="s">
        <v>1927</v>
      </c>
      <c r="C340" s="38" t="s">
        <v>1217</v>
      </c>
      <c r="D340" s="38" t="s">
        <v>1928</v>
      </c>
      <c r="E340" s="38" t="s">
        <v>3633</v>
      </c>
      <c r="F340" s="38" t="s">
        <v>385</v>
      </c>
      <c r="G340" s="38"/>
      <c r="H340" s="53" t="str">
        <f t="shared" si="5"/>
        <v>citation:mark_squillante-01</v>
      </c>
      <c r="I340" s="54"/>
      <c r="J340" s="38" t="s">
        <v>5380</v>
      </c>
      <c r="K340" s="38" t="s">
        <v>5380</v>
      </c>
      <c r="L340" s="38" t="s">
        <v>5380</v>
      </c>
      <c r="M340" s="69" t="s">
        <v>5387</v>
      </c>
      <c r="N340" s="38"/>
      <c r="O340" s="38"/>
      <c r="P340" s="31"/>
    </row>
    <row r="341" spans="2:16">
      <c r="B341" s="30" t="s">
        <v>1929</v>
      </c>
      <c r="C341" s="38" t="s">
        <v>1930</v>
      </c>
      <c r="D341" s="38" t="s">
        <v>1931</v>
      </c>
      <c r="E341" s="38" t="s">
        <v>3634</v>
      </c>
      <c r="F341" s="38" t="s">
        <v>385</v>
      </c>
      <c r="G341" s="38"/>
      <c r="H341" s="53" t="str">
        <f t="shared" si="5"/>
        <v>citation:maroun_touma-01</v>
      </c>
      <c r="I341" s="54"/>
      <c r="J341" s="38" t="s">
        <v>5380</v>
      </c>
      <c r="K341" s="38" t="s">
        <v>5380</v>
      </c>
      <c r="L341" s="38" t="s">
        <v>5380</v>
      </c>
      <c r="M341" s="69" t="s">
        <v>5385</v>
      </c>
      <c r="N341" s="38"/>
      <c r="O341" s="38"/>
      <c r="P341" s="31"/>
    </row>
    <row r="342" spans="2:16">
      <c r="B342" s="30" t="s">
        <v>1932</v>
      </c>
      <c r="C342" s="38" t="s">
        <v>1933</v>
      </c>
      <c r="D342" s="38" t="s">
        <v>1934</v>
      </c>
      <c r="E342" s="38" t="s">
        <v>3635</v>
      </c>
      <c r="F342" s="38" t="s">
        <v>385</v>
      </c>
      <c r="G342" s="38"/>
      <c r="H342" s="53" t="str">
        <f t="shared" si="5"/>
        <v>citation:mayank_sharma-01</v>
      </c>
      <c r="I342" s="54"/>
      <c r="J342" s="38" t="s">
        <v>5380</v>
      </c>
      <c r="K342" s="38" t="s">
        <v>5380</v>
      </c>
      <c r="L342" s="38" t="s">
        <v>5380</v>
      </c>
      <c r="M342" s="69" t="s">
        <v>5391</v>
      </c>
      <c r="N342" s="38"/>
      <c r="O342" s="38"/>
      <c r="P342" s="31"/>
    </row>
    <row r="343" spans="2:16">
      <c r="B343" s="30" t="s">
        <v>1935</v>
      </c>
      <c r="C343" s="38" t="s">
        <v>1936</v>
      </c>
      <c r="D343" s="38" t="s">
        <v>1937</v>
      </c>
      <c r="E343" s="38" t="s">
        <v>3636</v>
      </c>
      <c r="F343" s="38" t="s">
        <v>385</v>
      </c>
      <c r="G343" s="38"/>
      <c r="H343" s="53" t="str">
        <f t="shared" si="5"/>
        <v>citation:mihaela_bornea-01</v>
      </c>
      <c r="I343" s="54"/>
      <c r="J343" s="38" t="s">
        <v>5380</v>
      </c>
      <c r="K343" s="38" t="s">
        <v>5380</v>
      </c>
      <c r="L343" s="38" t="s">
        <v>5380</v>
      </c>
      <c r="M343" s="69" t="s">
        <v>5386</v>
      </c>
      <c r="N343" s="38"/>
      <c r="O343" s="38"/>
      <c r="P343" s="31"/>
    </row>
    <row r="344" spans="2:16">
      <c r="B344" s="30" t="s">
        <v>1938</v>
      </c>
      <c r="C344" s="38" t="s">
        <v>1939</v>
      </c>
      <c r="D344" s="38" t="s">
        <v>1940</v>
      </c>
      <c r="E344" s="38" t="s">
        <v>3637</v>
      </c>
      <c r="F344" s="38" t="s">
        <v>385</v>
      </c>
      <c r="G344" s="38"/>
      <c r="H344" s="53" t="str">
        <f t="shared" si="5"/>
        <v>citation:milind_tambe-01</v>
      </c>
      <c r="I344" s="54"/>
      <c r="J344" s="38" t="s">
        <v>5253</v>
      </c>
      <c r="K344" s="38">
        <v>16067</v>
      </c>
      <c r="L344" s="38">
        <v>64</v>
      </c>
      <c r="M344" s="69" t="s">
        <v>5384</v>
      </c>
      <c r="N344" s="38"/>
      <c r="O344" s="38"/>
      <c r="P344" s="31"/>
    </row>
    <row r="345" spans="2:16">
      <c r="B345" s="30" t="s">
        <v>1941</v>
      </c>
      <c r="C345" s="38" t="s">
        <v>1942</v>
      </c>
      <c r="D345" s="38" t="s">
        <v>1943</v>
      </c>
      <c r="E345" s="38" t="s">
        <v>3638</v>
      </c>
      <c r="F345" s="38" t="s">
        <v>385</v>
      </c>
      <c r="G345" s="38"/>
      <c r="H345" s="53" t="str">
        <f t="shared" si="5"/>
        <v>citation:mudhakar_srivatsa-01</v>
      </c>
      <c r="I345" s="54"/>
      <c r="J345" s="38" t="s">
        <v>5258</v>
      </c>
      <c r="K345" s="38">
        <v>1803</v>
      </c>
      <c r="L345" s="38">
        <v>19</v>
      </c>
      <c r="M345" s="69" t="s">
        <v>5385</v>
      </c>
      <c r="N345" s="38"/>
      <c r="O345" s="38"/>
      <c r="P345" s="31"/>
    </row>
    <row r="346" spans="2:16">
      <c r="B346" s="30" t="s">
        <v>1944</v>
      </c>
      <c r="C346" s="38" t="s">
        <v>1945</v>
      </c>
      <c r="D346" s="38" t="s">
        <v>1946</v>
      </c>
      <c r="E346" s="38" t="s">
        <v>3639</v>
      </c>
      <c r="F346" s="38" t="s">
        <v>385</v>
      </c>
      <c r="G346" s="38"/>
      <c r="H346" s="53" t="str">
        <f t="shared" si="5"/>
        <v>citation:murtaza_zafer-01</v>
      </c>
      <c r="I346" s="54"/>
      <c r="J346" s="38" t="s">
        <v>5261</v>
      </c>
      <c r="K346" s="38">
        <v>734</v>
      </c>
      <c r="L346" s="38">
        <v>13</v>
      </c>
      <c r="M346" s="69" t="s">
        <v>5384</v>
      </c>
      <c r="N346" s="38"/>
      <c r="O346" s="38"/>
      <c r="P346" s="31"/>
    </row>
    <row r="347" spans="2:16">
      <c r="B347" s="30" t="s">
        <v>1947</v>
      </c>
      <c r="C347" s="38" t="s">
        <v>1948</v>
      </c>
      <c r="D347" s="38" t="s">
        <v>1949</v>
      </c>
      <c r="E347" s="38" t="s">
        <v>3640</v>
      </c>
      <c r="F347" s="38" t="s">
        <v>385</v>
      </c>
      <c r="G347" s="38"/>
      <c r="H347" s="53"/>
      <c r="I347" s="54"/>
      <c r="J347" s="38"/>
      <c r="K347" s="38"/>
      <c r="L347" s="38"/>
      <c r="M347" s="69" t="s">
        <v>5380</v>
      </c>
      <c r="N347" s="38"/>
      <c r="O347" s="38"/>
      <c r="P347" s="31"/>
    </row>
    <row r="348" spans="2:16">
      <c r="B348" s="30" t="s">
        <v>1950</v>
      </c>
      <c r="C348" s="38" t="s">
        <v>1951</v>
      </c>
      <c r="D348" s="38" t="s">
        <v>1952</v>
      </c>
      <c r="E348" s="38" t="s">
        <v>3641</v>
      </c>
      <c r="F348" s="38" t="s">
        <v>385</v>
      </c>
      <c r="G348" s="38"/>
      <c r="H348" s="53"/>
      <c r="I348" s="54"/>
      <c r="J348" s="38"/>
      <c r="K348" s="38"/>
      <c r="L348" s="38"/>
      <c r="M348" s="69" t="s">
        <v>5380</v>
      </c>
      <c r="N348" s="38"/>
      <c r="O348" s="38"/>
      <c r="P348" s="31"/>
    </row>
    <row r="349" spans="2:16">
      <c r="B349" s="30" t="s">
        <v>1953</v>
      </c>
      <c r="C349" s="38" t="s">
        <v>1954</v>
      </c>
      <c r="D349" s="38" t="s">
        <v>1955</v>
      </c>
      <c r="E349" s="38" t="s">
        <v>3642</v>
      </c>
      <c r="F349" s="38" t="s">
        <v>385</v>
      </c>
      <c r="G349" s="38"/>
      <c r="H349" s="53" t="str">
        <f t="shared" si="5"/>
        <v>citation:oktay_gunluk-01</v>
      </c>
      <c r="I349" s="54"/>
      <c r="J349" s="38" t="s">
        <v>5272</v>
      </c>
      <c r="K349" s="38">
        <v>1904</v>
      </c>
      <c r="L349" s="38">
        <v>23</v>
      </c>
      <c r="M349" s="69" t="s">
        <v>5385</v>
      </c>
      <c r="N349" s="38"/>
      <c r="O349" s="38"/>
      <c r="P349" s="31"/>
    </row>
    <row r="350" spans="2:16">
      <c r="B350" s="30" t="s">
        <v>1956</v>
      </c>
      <c r="C350" s="38" t="s">
        <v>1957</v>
      </c>
      <c r="D350" s="38" t="s">
        <v>1958</v>
      </c>
      <c r="E350" s="38" t="s">
        <v>3643</v>
      </c>
      <c r="F350" s="38" t="s">
        <v>385</v>
      </c>
      <c r="G350" s="38"/>
      <c r="H350" s="53" t="str">
        <f t="shared" si="5"/>
        <v>citation:padmashree_ravindra-01</v>
      </c>
      <c r="I350" s="54"/>
      <c r="J350" s="38" t="s">
        <v>5380</v>
      </c>
      <c r="K350" s="38" t="s">
        <v>5380</v>
      </c>
      <c r="L350" s="38" t="s">
        <v>5380</v>
      </c>
      <c r="M350" s="69" t="s">
        <v>5387</v>
      </c>
      <c r="N350" s="38"/>
      <c r="O350" s="38"/>
      <c r="P350" s="31"/>
    </row>
    <row r="351" spans="2:16">
      <c r="B351" s="30" t="s">
        <v>1959</v>
      </c>
      <c r="C351" s="38" t="s">
        <v>1960</v>
      </c>
      <c r="D351" s="38" t="s">
        <v>1961</v>
      </c>
      <c r="E351" s="38" t="s">
        <v>3644</v>
      </c>
      <c r="F351" s="38" t="s">
        <v>385</v>
      </c>
      <c r="G351" s="38"/>
      <c r="H351" s="53" t="str">
        <f t="shared" si="5"/>
        <v>citation:pankaj_rohatgi-01</v>
      </c>
      <c r="I351" s="54"/>
      <c r="J351" s="38" t="s">
        <v>5380</v>
      </c>
      <c r="K351" s="38" t="s">
        <v>5380</v>
      </c>
      <c r="L351" s="38" t="s">
        <v>5380</v>
      </c>
      <c r="M351" s="69" t="s">
        <v>5388</v>
      </c>
      <c r="N351" s="38"/>
      <c r="O351" s="38"/>
      <c r="P351" s="31"/>
    </row>
    <row r="352" spans="2:16">
      <c r="B352" s="30" t="s">
        <v>1962</v>
      </c>
      <c r="C352" s="38" t="s">
        <v>1963</v>
      </c>
      <c r="D352" s="38" t="s">
        <v>1964</v>
      </c>
      <c r="E352" s="38" t="s">
        <v>3645</v>
      </c>
      <c r="F352" s="38" t="s">
        <v>385</v>
      </c>
      <c r="G352" s="38"/>
      <c r="H352" s="53" t="str">
        <f t="shared" si="5"/>
        <v>citation:pau-chen_cheng-01</v>
      </c>
      <c r="I352" s="54"/>
      <c r="J352" s="38" t="s">
        <v>5380</v>
      </c>
      <c r="K352" s="38" t="s">
        <v>5380</v>
      </c>
      <c r="L352" s="38" t="s">
        <v>5380</v>
      </c>
      <c r="M352" s="69" t="s">
        <v>5387</v>
      </c>
      <c r="N352" s="38"/>
      <c r="O352" s="38"/>
      <c r="P352" s="31"/>
    </row>
    <row r="353" spans="2:16">
      <c r="B353" s="30" t="s">
        <v>1965</v>
      </c>
      <c r="C353" s="38" t="s">
        <v>1120</v>
      </c>
      <c r="D353" s="38" t="s">
        <v>1966</v>
      </c>
      <c r="E353" s="38" t="s">
        <v>3646</v>
      </c>
      <c r="F353" s="38" t="s">
        <v>385</v>
      </c>
      <c r="G353" s="38"/>
      <c r="H353" s="53" t="str">
        <f t="shared" si="5"/>
        <v>citation:paul_karger-01</v>
      </c>
      <c r="I353" s="54"/>
      <c r="J353" s="38" t="s">
        <v>5380</v>
      </c>
      <c r="K353" s="38" t="s">
        <v>5380</v>
      </c>
      <c r="L353" s="38" t="s">
        <v>5380</v>
      </c>
      <c r="M353" s="69" t="s">
        <v>5386</v>
      </c>
      <c r="N353" s="38"/>
      <c r="O353" s="38"/>
      <c r="P353" s="31"/>
    </row>
    <row r="354" spans="2:16">
      <c r="B354" s="30" t="s">
        <v>1967</v>
      </c>
      <c r="C354" s="38" t="s">
        <v>1571</v>
      </c>
      <c r="D354" s="38" t="s">
        <v>3647</v>
      </c>
      <c r="E354" s="38" t="s">
        <v>3648</v>
      </c>
      <c r="F354" s="38" t="s">
        <v>385</v>
      </c>
      <c r="G354" s="38"/>
      <c r="H354" s="53" t="str">
        <f t="shared" si="5"/>
        <v>citation:peter_van_de_ven-01</v>
      </c>
      <c r="I354" s="54"/>
      <c r="J354" s="38" t="s">
        <v>5380</v>
      </c>
      <c r="K354" s="38" t="s">
        <v>5380</v>
      </c>
      <c r="L354" s="38" t="s">
        <v>5380</v>
      </c>
      <c r="M354" s="69" t="s">
        <v>5391</v>
      </c>
      <c r="N354" s="38"/>
      <c r="O354" s="38"/>
      <c r="P354" s="31"/>
    </row>
    <row r="355" spans="2:16">
      <c r="B355" s="30" t="s">
        <v>1968</v>
      </c>
      <c r="C355" s="38" t="s">
        <v>1969</v>
      </c>
      <c r="D355" s="38" t="s">
        <v>1970</v>
      </c>
      <c r="E355" s="38" t="s">
        <v>3649</v>
      </c>
      <c r="F355" s="38" t="s">
        <v>385</v>
      </c>
      <c r="G355" s="38"/>
      <c r="H355" s="53" t="str">
        <f t="shared" si="5"/>
        <v>citation:petros_zerfos-01</v>
      </c>
      <c r="I355" s="54"/>
      <c r="J355" s="38" t="s">
        <v>5285</v>
      </c>
      <c r="K355" s="38">
        <v>3641</v>
      </c>
      <c r="L355" s="38">
        <v>17</v>
      </c>
      <c r="M355" s="69" t="s">
        <v>5384</v>
      </c>
      <c r="N355" s="38"/>
      <c r="O355" s="38"/>
      <c r="P355" s="31"/>
    </row>
    <row r="356" spans="2:16">
      <c r="B356" s="30" t="s">
        <v>1971</v>
      </c>
      <c r="C356" s="38" t="s">
        <v>1972</v>
      </c>
      <c r="D356" s="38" t="s">
        <v>1123</v>
      </c>
      <c r="E356" s="38" t="s">
        <v>3650</v>
      </c>
      <c r="F356" s="38" t="s">
        <v>385</v>
      </c>
      <c r="G356" s="38"/>
      <c r="H356" s="53" t="str">
        <f t="shared" si="5"/>
        <v>citation:philip_yu-01</v>
      </c>
      <c r="I356" s="54"/>
      <c r="J356" s="38" t="s">
        <v>5380</v>
      </c>
      <c r="K356" s="38" t="s">
        <v>5380</v>
      </c>
      <c r="L356" s="38" t="s">
        <v>5380</v>
      </c>
      <c r="M356" s="69" t="s">
        <v>5387</v>
      </c>
      <c r="N356" s="38"/>
      <c r="O356" s="38"/>
      <c r="P356" s="31"/>
    </row>
    <row r="357" spans="2:16">
      <c r="B357" s="30" t="s">
        <v>1973</v>
      </c>
      <c r="C357" s="38" t="s">
        <v>1974</v>
      </c>
      <c r="D357" s="38" t="s">
        <v>1975</v>
      </c>
      <c r="E357" s="38" t="s">
        <v>3651</v>
      </c>
      <c r="F357" s="38" t="s">
        <v>385</v>
      </c>
      <c r="G357" s="38"/>
      <c r="H357" s="53" t="str">
        <f t="shared" si="5"/>
        <v>citation:poonam_yadav-01</v>
      </c>
      <c r="I357" s="54"/>
      <c r="J357" s="38" t="s">
        <v>5380</v>
      </c>
      <c r="K357" s="38" t="s">
        <v>5380</v>
      </c>
      <c r="L357" s="38" t="s">
        <v>5380</v>
      </c>
      <c r="M357" s="69" t="s">
        <v>5386</v>
      </c>
      <c r="N357" s="38"/>
      <c r="O357" s="38"/>
      <c r="P357" s="31"/>
    </row>
    <row r="358" spans="2:16">
      <c r="B358" s="30" t="s">
        <v>1976</v>
      </c>
      <c r="C358" s="38" t="s">
        <v>1977</v>
      </c>
      <c r="D358" s="38" t="s">
        <v>1978</v>
      </c>
      <c r="E358" s="38" t="s">
        <v>3652</v>
      </c>
      <c r="F358" s="38" t="s">
        <v>385</v>
      </c>
      <c r="G358" s="38"/>
      <c r="H358" s="53" t="str">
        <f t="shared" si="5"/>
        <v>citation:pradeep_varakantham-01</v>
      </c>
      <c r="I358" s="54"/>
      <c r="J358" s="38" t="s">
        <v>5289</v>
      </c>
      <c r="K358" s="38">
        <v>1299</v>
      </c>
      <c r="L358" s="38">
        <v>17</v>
      </c>
      <c r="M358" s="69" t="s">
        <v>5384</v>
      </c>
      <c r="N358" s="38"/>
      <c r="O358" s="38"/>
      <c r="P358" s="31"/>
    </row>
    <row r="359" spans="2:16">
      <c r="B359" s="30" t="s">
        <v>1979</v>
      </c>
      <c r="C359" s="38" t="s">
        <v>1980</v>
      </c>
      <c r="D359" s="38" t="s">
        <v>1981</v>
      </c>
      <c r="E359" s="38" t="s">
        <v>3653</v>
      </c>
      <c r="F359" s="38" t="s">
        <v>385</v>
      </c>
      <c r="G359" s="38"/>
      <c r="H359" s="53"/>
      <c r="I359" s="54"/>
      <c r="J359" s="38"/>
      <c r="K359" s="38"/>
      <c r="L359" s="38"/>
      <c r="M359" s="69" t="s">
        <v>5380</v>
      </c>
      <c r="N359" s="38"/>
      <c r="O359" s="38"/>
      <c r="P359" s="31"/>
    </row>
    <row r="360" spans="2:16">
      <c r="B360" s="30" t="s">
        <v>1982</v>
      </c>
      <c r="C360" s="38" t="s">
        <v>1983</v>
      </c>
      <c r="D360" s="38" t="s">
        <v>1984</v>
      </c>
      <c r="E360" s="38" t="s">
        <v>3654</v>
      </c>
      <c r="F360" s="38" t="s">
        <v>385</v>
      </c>
      <c r="G360" s="38"/>
      <c r="H360" s="53" t="str">
        <f t="shared" si="5"/>
        <v>citation:raghu_ganti-01</v>
      </c>
      <c r="I360" s="54"/>
      <c r="J360" s="38" t="s">
        <v>5292</v>
      </c>
      <c r="K360" s="38">
        <v>1225</v>
      </c>
      <c r="L360" s="38">
        <v>14</v>
      </c>
      <c r="M360" s="69" t="s">
        <v>5385</v>
      </c>
      <c r="N360" s="38"/>
      <c r="O360" s="38"/>
      <c r="P360" s="31"/>
    </row>
    <row r="361" spans="2:16">
      <c r="B361" s="30" t="s">
        <v>1985</v>
      </c>
      <c r="C361" s="38" t="s">
        <v>1986</v>
      </c>
      <c r="D361" s="38" t="s">
        <v>1987</v>
      </c>
      <c r="E361" s="38" t="s">
        <v>3655</v>
      </c>
      <c r="F361" s="38" t="s">
        <v>385</v>
      </c>
      <c r="G361" s="38"/>
      <c r="H361" s="53" t="str">
        <f t="shared" si="5"/>
        <v>citation:raheleh_dilmaghani-01</v>
      </c>
      <c r="I361" s="54"/>
      <c r="J361" s="38" t="s">
        <v>5294</v>
      </c>
      <c r="K361" s="38">
        <v>359</v>
      </c>
      <c r="L361" s="38">
        <v>12</v>
      </c>
      <c r="M361" s="69" t="s">
        <v>5384</v>
      </c>
      <c r="N361" s="38"/>
      <c r="O361" s="38"/>
      <c r="P361" s="31"/>
    </row>
    <row r="362" spans="2:16">
      <c r="B362" s="30" t="s">
        <v>1988</v>
      </c>
      <c r="C362" s="38" t="s">
        <v>1989</v>
      </c>
      <c r="D362" s="38" t="s">
        <v>1990</v>
      </c>
      <c r="E362" s="38" t="s">
        <v>3656</v>
      </c>
      <c r="F362" s="38" t="s">
        <v>385</v>
      </c>
      <c r="G362" s="38"/>
      <c r="H362" s="53" t="str">
        <f t="shared" si="5"/>
        <v>citation:rahul_urgaonkar-01</v>
      </c>
      <c r="I362" s="54"/>
      <c r="J362" s="38" t="s">
        <v>5380</v>
      </c>
      <c r="K362" s="38" t="s">
        <v>5380</v>
      </c>
      <c r="L362" s="38" t="s">
        <v>5380</v>
      </c>
      <c r="M362" s="69" t="s">
        <v>5386</v>
      </c>
      <c r="N362" s="38"/>
      <c r="O362" s="38"/>
      <c r="P362" s="31"/>
    </row>
    <row r="363" spans="2:16">
      <c r="B363" s="30" t="s">
        <v>1991</v>
      </c>
      <c r="C363" s="38" t="s">
        <v>1992</v>
      </c>
      <c r="D363" s="38" t="s">
        <v>1993</v>
      </c>
      <c r="E363" s="38" t="s">
        <v>3657</v>
      </c>
      <c r="F363" s="38" t="s">
        <v>385</v>
      </c>
      <c r="G363" s="38"/>
      <c r="H363" s="53" t="str">
        <f t="shared" si="5"/>
        <v>citation:rajesh_bordawekar-01</v>
      </c>
      <c r="I363" s="54"/>
      <c r="J363" s="38" t="s">
        <v>5295</v>
      </c>
      <c r="K363" s="38">
        <v>2763</v>
      </c>
      <c r="L363" s="38">
        <v>29</v>
      </c>
      <c r="M363" s="69" t="s">
        <v>5386</v>
      </c>
      <c r="N363" s="38"/>
      <c r="O363" s="38"/>
      <c r="P363" s="31"/>
    </row>
    <row r="364" spans="2:16">
      <c r="B364" s="30" t="s">
        <v>1994</v>
      </c>
      <c r="C364" s="38" t="s">
        <v>1995</v>
      </c>
      <c r="D364" s="38" t="s">
        <v>1996</v>
      </c>
      <c r="E364" s="38" t="s">
        <v>3658</v>
      </c>
      <c r="F364" s="38" t="s">
        <v>385</v>
      </c>
      <c r="G364" s="38"/>
      <c r="H364" s="53" t="str">
        <f t="shared" si="5"/>
        <v>citation:ramya_raghavendra-01</v>
      </c>
      <c r="I364" s="54"/>
      <c r="J364" s="38" t="s">
        <v>5297</v>
      </c>
      <c r="K364" s="38">
        <v>1011</v>
      </c>
      <c r="L364" s="38">
        <v>12</v>
      </c>
      <c r="M364" s="69" t="s">
        <v>5384</v>
      </c>
      <c r="N364" s="38"/>
      <c r="O364" s="38"/>
      <c r="P364" s="31"/>
    </row>
    <row r="365" spans="2:16">
      <c r="B365" s="30" t="s">
        <v>1997</v>
      </c>
      <c r="C365" s="38" t="s">
        <v>1998</v>
      </c>
      <c r="D365" s="38" t="s">
        <v>1999</v>
      </c>
      <c r="E365" s="38" t="s">
        <v>3659</v>
      </c>
      <c r="F365" s="38" t="s">
        <v>385</v>
      </c>
      <c r="G365" s="38"/>
      <c r="H365" s="53" t="str">
        <f t="shared" si="5"/>
        <v>citation:reiner_sailer-01</v>
      </c>
      <c r="I365" s="54"/>
      <c r="J365" s="38" t="s">
        <v>5380</v>
      </c>
      <c r="K365" s="38" t="s">
        <v>5380</v>
      </c>
      <c r="L365" s="38" t="s">
        <v>5380</v>
      </c>
      <c r="M365" s="69" t="s">
        <v>5387</v>
      </c>
      <c r="N365" s="38"/>
      <c r="O365" s="38"/>
      <c r="P365" s="31"/>
    </row>
    <row r="366" spans="2:16">
      <c r="B366" s="30" t="s">
        <v>2000</v>
      </c>
      <c r="C366" s="38" t="s">
        <v>2001</v>
      </c>
      <c r="D366" s="38" t="s">
        <v>2002</v>
      </c>
      <c r="E366" s="38" t="s">
        <v>3660</v>
      </c>
      <c r="F366" s="38" t="s">
        <v>385</v>
      </c>
      <c r="G366" s="38"/>
      <c r="H366" s="53"/>
      <c r="I366" s="54"/>
      <c r="J366" s="38"/>
      <c r="K366" s="38"/>
      <c r="L366" s="38"/>
      <c r="M366" s="69" t="s">
        <v>5380</v>
      </c>
      <c r="N366" s="38"/>
      <c r="O366" s="38"/>
      <c r="P366" s="31"/>
    </row>
    <row r="367" spans="2:16">
      <c r="B367" s="30" t="s">
        <v>2003</v>
      </c>
      <c r="C367" s="38" t="s">
        <v>2004</v>
      </c>
      <c r="D367" s="38" t="s">
        <v>2005</v>
      </c>
      <c r="E367" s="38" t="s">
        <v>3661</v>
      </c>
      <c r="F367" s="38" t="s">
        <v>385</v>
      </c>
      <c r="G367" s="38"/>
      <c r="H367" s="53" t="str">
        <f t="shared" si="5"/>
        <v>citation:seraphin_calo-01</v>
      </c>
      <c r="I367" s="54"/>
      <c r="J367" s="38" t="s">
        <v>5380</v>
      </c>
      <c r="K367" s="38" t="s">
        <v>5380</v>
      </c>
      <c r="L367" s="38" t="s">
        <v>5380</v>
      </c>
      <c r="M367" s="69" t="s">
        <v>5388</v>
      </c>
      <c r="N367" s="38"/>
      <c r="O367" s="38"/>
      <c r="P367" s="31"/>
    </row>
    <row r="368" spans="2:16">
      <c r="B368" s="30" t="s">
        <v>2006</v>
      </c>
      <c r="C368" s="38" t="s">
        <v>2007</v>
      </c>
      <c r="D368" s="38" t="s">
        <v>2008</v>
      </c>
      <c r="E368" s="38" t="s">
        <v>3662</v>
      </c>
      <c r="F368" s="38" t="s">
        <v>385</v>
      </c>
      <c r="G368" s="38"/>
      <c r="H368" s="53" t="str">
        <f t="shared" si="5"/>
        <v>citation:shahram_ebadollahi-01</v>
      </c>
      <c r="I368" s="54"/>
      <c r="J368" s="38" t="s">
        <v>5380</v>
      </c>
      <c r="K368" s="38" t="s">
        <v>5380</v>
      </c>
      <c r="L368" s="38" t="s">
        <v>5380</v>
      </c>
      <c r="M368" s="69" t="s">
        <v>5387</v>
      </c>
      <c r="N368" s="38"/>
      <c r="O368" s="38"/>
      <c r="P368" s="31"/>
    </row>
    <row r="369" spans="2:16">
      <c r="B369" s="30" t="s">
        <v>2009</v>
      </c>
      <c r="C369" s="38" t="s">
        <v>2010</v>
      </c>
      <c r="D369" s="38" t="s">
        <v>2011</v>
      </c>
      <c r="E369" s="38" t="s">
        <v>3663</v>
      </c>
      <c r="F369" s="38" t="s">
        <v>385</v>
      </c>
      <c r="G369" s="38"/>
      <c r="H369" s="53" t="str">
        <f t="shared" si="5"/>
        <v>citation:shai_halevi-01</v>
      </c>
      <c r="I369" s="54"/>
      <c r="J369" s="38" t="s">
        <v>5318</v>
      </c>
      <c r="K369" s="38">
        <v>12947</v>
      </c>
      <c r="L369" s="38">
        <v>54</v>
      </c>
      <c r="M369" s="69" t="s">
        <v>5385</v>
      </c>
      <c r="N369" s="38"/>
      <c r="O369" s="38"/>
      <c r="P369" s="31"/>
    </row>
    <row r="370" spans="2:16">
      <c r="B370" s="30" t="s">
        <v>2012</v>
      </c>
      <c r="C370" s="38" t="s">
        <v>2013</v>
      </c>
      <c r="D370" s="38" t="s">
        <v>1268</v>
      </c>
      <c r="E370" s="38" t="s">
        <v>3664</v>
      </c>
      <c r="F370" s="38" t="s">
        <v>385</v>
      </c>
      <c r="G370" s="38"/>
      <c r="H370" s="53" t="str">
        <f t="shared" si="5"/>
        <v>citation:sihyung_lee-01</v>
      </c>
      <c r="I370" s="54"/>
      <c r="J370" s="38" t="s">
        <v>5380</v>
      </c>
      <c r="K370" s="38" t="s">
        <v>5380</v>
      </c>
      <c r="L370" s="38" t="s">
        <v>5380</v>
      </c>
      <c r="M370" s="69" t="s">
        <v>5386</v>
      </c>
      <c r="N370" s="38"/>
      <c r="O370" s="38"/>
      <c r="P370" s="31"/>
    </row>
    <row r="371" spans="2:16">
      <c r="B371" s="30" t="s">
        <v>2014</v>
      </c>
      <c r="C371" s="38" t="s">
        <v>2015</v>
      </c>
      <c r="D371" s="38" t="s">
        <v>2016</v>
      </c>
      <c r="E371" s="38" t="s">
        <v>3665</v>
      </c>
      <c r="F371" s="38" t="s">
        <v>385</v>
      </c>
      <c r="G371" s="38"/>
      <c r="H371" s="53"/>
      <c r="I371" s="54"/>
      <c r="J371" s="38"/>
      <c r="K371" s="38"/>
      <c r="L371" s="38"/>
      <c r="M371" s="69" t="s">
        <v>5380</v>
      </c>
      <c r="N371" s="38"/>
      <c r="O371" s="38"/>
      <c r="P371" s="31"/>
    </row>
    <row r="372" spans="2:16">
      <c r="B372" s="30" t="s">
        <v>2017</v>
      </c>
      <c r="C372" s="38" t="s">
        <v>2018</v>
      </c>
      <c r="D372" s="38" t="s">
        <v>2019</v>
      </c>
      <c r="E372" s="38" t="s">
        <v>3666</v>
      </c>
      <c r="F372" s="38" t="s">
        <v>385</v>
      </c>
      <c r="G372" s="38"/>
      <c r="H372" s="53" t="str">
        <f t="shared" si="5"/>
        <v>citation:tal_rabin-01</v>
      </c>
      <c r="I372" s="54"/>
      <c r="J372" s="38" t="s">
        <v>5340</v>
      </c>
      <c r="K372" s="38">
        <v>8593</v>
      </c>
      <c r="L372" s="38">
        <v>39</v>
      </c>
      <c r="M372" s="69" t="s">
        <v>5388</v>
      </c>
      <c r="N372" s="38"/>
      <c r="O372" s="38"/>
      <c r="P372" s="31"/>
    </row>
    <row r="373" spans="2:16">
      <c r="B373" s="30" t="s">
        <v>2020</v>
      </c>
      <c r="C373" s="38" t="s">
        <v>2021</v>
      </c>
      <c r="D373" s="38" t="s">
        <v>2022</v>
      </c>
      <c r="E373" s="38" t="s">
        <v>3667</v>
      </c>
      <c r="F373" s="38" t="s">
        <v>385</v>
      </c>
      <c r="G373" s="38"/>
      <c r="H373" s="53" t="str">
        <f t="shared" si="5"/>
        <v>citation:theodoros_salonidis-01</v>
      </c>
      <c r="I373" s="54"/>
      <c r="J373" s="38" t="s">
        <v>5380</v>
      </c>
      <c r="K373" s="38" t="s">
        <v>5380</v>
      </c>
      <c r="L373" s="38" t="s">
        <v>5380</v>
      </c>
      <c r="M373" s="69" t="s">
        <v>5385</v>
      </c>
      <c r="N373" s="38"/>
      <c r="O373" s="38"/>
      <c r="P373" s="31"/>
    </row>
    <row r="374" spans="2:16">
      <c r="B374" s="30" t="s">
        <v>2023</v>
      </c>
      <c r="C374" s="38" t="s">
        <v>2024</v>
      </c>
      <c r="D374" s="38" t="s">
        <v>2025</v>
      </c>
      <c r="E374" s="38" t="s">
        <v>3668</v>
      </c>
      <c r="F374" s="38" t="s">
        <v>385</v>
      </c>
      <c r="G374" s="38"/>
      <c r="H374" s="53" t="str">
        <f t="shared" si="5"/>
        <v>citation:ting_he-01</v>
      </c>
      <c r="I374" s="54"/>
      <c r="J374" s="38" t="s">
        <v>5349</v>
      </c>
      <c r="K374" s="38">
        <v>769</v>
      </c>
      <c r="L374" s="38">
        <v>13</v>
      </c>
      <c r="M374" s="69" t="s">
        <v>5388</v>
      </c>
      <c r="N374" s="38"/>
      <c r="O374" s="38"/>
      <c r="P374" s="31"/>
    </row>
    <row r="375" spans="2:16">
      <c r="B375" s="30" t="s">
        <v>2026</v>
      </c>
      <c r="C375" s="38" t="s">
        <v>2024</v>
      </c>
      <c r="D375" s="38" t="s">
        <v>1196</v>
      </c>
      <c r="E375" s="38" t="s">
        <v>3669</v>
      </c>
      <c r="F375" s="38" t="s">
        <v>385</v>
      </c>
      <c r="G375" s="38"/>
      <c r="H375" s="53" t="str">
        <f t="shared" si="5"/>
        <v>citation:ting_wang-01</v>
      </c>
      <c r="I375" s="54"/>
      <c r="J375" s="38" t="s">
        <v>5350</v>
      </c>
      <c r="K375" s="38">
        <v>716</v>
      </c>
      <c r="L375" s="38">
        <v>11</v>
      </c>
      <c r="M375" s="69" t="s">
        <v>5384</v>
      </c>
      <c r="N375" s="38"/>
      <c r="O375" s="38"/>
      <c r="P375" s="31"/>
    </row>
    <row r="376" spans="2:16">
      <c r="B376" s="30" t="s">
        <v>2027</v>
      </c>
      <c r="C376" s="38" t="s">
        <v>2028</v>
      </c>
      <c r="D376" s="38" t="s">
        <v>2029</v>
      </c>
      <c r="E376" s="38" t="s">
        <v>3670</v>
      </c>
      <c r="F376" s="38" t="s">
        <v>385</v>
      </c>
      <c r="G376" s="38"/>
      <c r="H376" s="53" t="str">
        <f t="shared" si="5"/>
        <v>citation:vasilieos_pappas-01</v>
      </c>
      <c r="I376" s="54"/>
      <c r="J376" s="38" t="s">
        <v>5354</v>
      </c>
      <c r="K376" s="38">
        <v>1250</v>
      </c>
      <c r="L376" s="38">
        <v>14</v>
      </c>
      <c r="M376" s="69" t="s">
        <v>5384</v>
      </c>
      <c r="N376" s="38"/>
      <c r="O376" s="38"/>
      <c r="P376" s="31"/>
    </row>
    <row r="377" spans="2:16">
      <c r="B377" s="30" t="s">
        <v>2030</v>
      </c>
      <c r="C377" s="38" t="s">
        <v>2031</v>
      </c>
      <c r="D377" s="38" t="s">
        <v>2032</v>
      </c>
      <c r="E377" s="38" t="s">
        <v>3671</v>
      </c>
      <c r="F377" s="38" t="s">
        <v>385</v>
      </c>
      <c r="G377" s="38"/>
      <c r="H377" s="53"/>
      <c r="I377" s="54"/>
      <c r="J377" s="38"/>
      <c r="K377" s="38"/>
      <c r="L377" s="38"/>
      <c r="M377" s="69" t="s">
        <v>5380</v>
      </c>
      <c r="N377" s="38"/>
      <c r="O377" s="38"/>
      <c r="P377" s="31"/>
    </row>
    <row r="378" spans="2:16">
      <c r="B378" s="30" t="s">
        <v>2033</v>
      </c>
      <c r="C378" s="38" t="s">
        <v>2034</v>
      </c>
      <c r="D378" s="38" t="s">
        <v>2035</v>
      </c>
      <c r="E378" s="38" t="s">
        <v>3672</v>
      </c>
      <c r="F378" s="38" t="s">
        <v>385</v>
      </c>
      <c r="G378" s="38"/>
      <c r="H378" s="53" t="str">
        <f t="shared" si="5"/>
        <v>citation:xin_hu-01</v>
      </c>
      <c r="I378" s="54"/>
      <c r="J378" s="38" t="s">
        <v>5366</v>
      </c>
      <c r="K378" s="38">
        <v>1138</v>
      </c>
      <c r="L378" s="38">
        <v>13</v>
      </c>
      <c r="M378" s="69" t="s">
        <v>5387</v>
      </c>
      <c r="N378" s="38"/>
      <c r="O378" s="38"/>
      <c r="P378" s="31"/>
    </row>
    <row r="379" spans="2:16">
      <c r="B379" s="30" t="s">
        <v>2036</v>
      </c>
      <c r="C379" s="38" t="s">
        <v>2037</v>
      </c>
      <c r="D379" s="38" t="s">
        <v>1196</v>
      </c>
      <c r="E379" s="38" t="s">
        <v>3673</v>
      </c>
      <c r="F379" s="38" t="s">
        <v>385</v>
      </c>
      <c r="G379" s="38"/>
      <c r="H379" s="53" t="str">
        <f t="shared" si="5"/>
        <v>citation:xiping_wang-01</v>
      </c>
      <c r="I379" s="54"/>
      <c r="J379" s="38" t="s">
        <v>5380</v>
      </c>
      <c r="K379" s="38" t="s">
        <v>5380</v>
      </c>
      <c r="L379" s="38" t="s">
        <v>5380</v>
      </c>
      <c r="M379" s="69" t="s">
        <v>5388</v>
      </c>
      <c r="N379" s="38"/>
      <c r="O379" s="38"/>
      <c r="P379" s="31"/>
    </row>
    <row r="380" spans="2:16">
      <c r="B380" s="30" t="s">
        <v>2038</v>
      </c>
      <c r="C380" s="38" t="s">
        <v>2039</v>
      </c>
      <c r="D380" s="38" t="s">
        <v>1271</v>
      </c>
      <c r="E380" s="38" t="s">
        <v>3674</v>
      </c>
      <c r="F380" s="38" t="s">
        <v>385</v>
      </c>
      <c r="G380" s="38"/>
      <c r="H380" s="53"/>
      <c r="I380" s="54"/>
      <c r="J380" s="38"/>
      <c r="K380" s="38"/>
      <c r="L380" s="38"/>
      <c r="M380" s="69" t="s">
        <v>5380</v>
      </c>
      <c r="N380" s="38"/>
      <c r="O380" s="38"/>
      <c r="P380" s="31"/>
    </row>
    <row r="381" spans="2:16">
      <c r="B381" s="30" t="s">
        <v>2040</v>
      </c>
      <c r="C381" s="38" t="s">
        <v>2041</v>
      </c>
      <c r="D381" s="38" t="s">
        <v>1406</v>
      </c>
      <c r="E381" s="38" t="s">
        <v>3675</v>
      </c>
      <c r="F381" s="38" t="s">
        <v>385</v>
      </c>
      <c r="G381" s="38"/>
      <c r="H381" s="53"/>
      <c r="I381" s="54"/>
      <c r="J381" s="38"/>
      <c r="K381" s="38"/>
      <c r="L381" s="38"/>
      <c r="M381" s="69" t="s">
        <v>5380</v>
      </c>
      <c r="N381" s="38"/>
      <c r="O381" s="38"/>
      <c r="P381" s="31"/>
    </row>
    <row r="382" spans="2:16">
      <c r="B382" s="32" t="s">
        <v>2042</v>
      </c>
      <c r="C382" s="39" t="s">
        <v>2043</v>
      </c>
      <c r="D382" s="39" t="s">
        <v>2044</v>
      </c>
      <c r="E382" s="39" t="s">
        <v>3676</v>
      </c>
      <c r="F382" s="39" t="s">
        <v>385</v>
      </c>
      <c r="G382" s="39"/>
      <c r="H382" s="51" t="str">
        <f t="shared" si="5"/>
        <v>citation:zubair_shafiq-01</v>
      </c>
      <c r="I382" s="52"/>
      <c r="J382" s="38" t="s">
        <v>5380</v>
      </c>
      <c r="K382" s="38" t="s">
        <v>5380</v>
      </c>
      <c r="L382" s="38" t="s">
        <v>5380</v>
      </c>
      <c r="M382" s="69" t="s">
        <v>5384</v>
      </c>
      <c r="N382" s="39"/>
      <c r="O382" s="39"/>
      <c r="P382" s="34"/>
    </row>
    <row r="383" spans="2:16">
      <c r="B383" s="44" t="s">
        <v>2045</v>
      </c>
      <c r="C383" s="45" t="s">
        <v>2046</v>
      </c>
      <c r="D383" s="45" t="s">
        <v>2047</v>
      </c>
      <c r="E383" s="45" t="s">
        <v>3677</v>
      </c>
      <c r="F383" s="45" t="s">
        <v>493</v>
      </c>
      <c r="G383" s="45"/>
      <c r="H383" s="46" t="str">
        <f t="shared" si="5"/>
        <v>citation:andres_garcia-camino-01</v>
      </c>
      <c r="I383" s="47"/>
      <c r="J383" s="38" t="s">
        <v>5054</v>
      </c>
      <c r="K383" s="38">
        <v>589</v>
      </c>
      <c r="L383" s="38">
        <v>11</v>
      </c>
      <c r="M383" s="69" t="s">
        <v>5391</v>
      </c>
      <c r="N383" s="45"/>
      <c r="O383" s="45"/>
      <c r="P383" s="48"/>
    </row>
    <row r="384" spans="2:16">
      <c r="B384" s="32" t="s">
        <v>2048</v>
      </c>
      <c r="C384" s="39" t="s">
        <v>2049</v>
      </c>
      <c r="D384" s="39" t="s">
        <v>2050</v>
      </c>
      <c r="E384" s="39" t="s">
        <v>3678</v>
      </c>
      <c r="F384" s="39" t="s">
        <v>497</v>
      </c>
      <c r="G384" s="39"/>
      <c r="H384" s="51" t="str">
        <f t="shared" si="5"/>
        <v>citation:dario_fiore-01</v>
      </c>
      <c r="I384" s="52"/>
      <c r="J384" s="38" t="s">
        <v>5107</v>
      </c>
      <c r="K384" s="38">
        <v>680</v>
      </c>
      <c r="L384" s="38">
        <v>14</v>
      </c>
      <c r="M384" s="69" t="s">
        <v>5388</v>
      </c>
      <c r="N384" s="39"/>
      <c r="O384" s="39"/>
      <c r="P384" s="34"/>
    </row>
    <row r="385" spans="2:16">
      <c r="B385" s="30" t="s">
        <v>2059</v>
      </c>
      <c r="C385" s="38" t="s">
        <v>1169</v>
      </c>
      <c r="D385" s="38" t="s">
        <v>2060</v>
      </c>
      <c r="E385" s="38" t="s">
        <v>3679</v>
      </c>
      <c r="F385" s="38" t="s">
        <v>507</v>
      </c>
      <c r="G385" s="38"/>
      <c r="H385" s="53" t="str">
        <f t="shared" si="5"/>
        <v>citation:alberto_schaeffer-filho-01</v>
      </c>
      <c r="I385" s="54"/>
      <c r="J385" s="38" t="s">
        <v>5045</v>
      </c>
      <c r="K385" s="38">
        <v>394</v>
      </c>
      <c r="L385" s="38">
        <v>10</v>
      </c>
      <c r="M385" s="69" t="s">
        <v>5387</v>
      </c>
      <c r="N385" s="38"/>
      <c r="O385" s="38"/>
      <c r="P385" s="31"/>
    </row>
    <row r="386" spans="2:16">
      <c r="B386" s="30" t="s">
        <v>2061</v>
      </c>
      <c r="C386" s="38" t="s">
        <v>2062</v>
      </c>
      <c r="D386" s="38" t="s">
        <v>2063</v>
      </c>
      <c r="E386" s="38" t="s">
        <v>3680</v>
      </c>
      <c r="F386" s="38" t="s">
        <v>507</v>
      </c>
      <c r="G386" s="38"/>
      <c r="H386" s="53" t="str">
        <f t="shared" si="5"/>
        <v>citation:alessandra_russo-01</v>
      </c>
      <c r="I386" s="54"/>
      <c r="J386" s="38" t="s">
        <v>5046</v>
      </c>
      <c r="K386" s="38">
        <v>2389</v>
      </c>
      <c r="L386" s="38">
        <v>25</v>
      </c>
      <c r="M386" s="69" t="s">
        <v>5385</v>
      </c>
      <c r="N386" s="38"/>
      <c r="O386" s="38"/>
      <c r="P386" s="31"/>
    </row>
    <row r="387" spans="2:16">
      <c r="B387" s="30" t="s">
        <v>2064</v>
      </c>
      <c r="C387" s="38" t="s">
        <v>2065</v>
      </c>
      <c r="D387" s="38" t="s">
        <v>2066</v>
      </c>
      <c r="E387" s="38" t="s">
        <v>3681</v>
      </c>
      <c r="F387" s="38" t="s">
        <v>507</v>
      </c>
      <c r="G387" s="38"/>
      <c r="H387" s="53" t="str">
        <f t="shared" si="5"/>
        <v>citation:alexander_wolf-01</v>
      </c>
      <c r="I387" s="54"/>
      <c r="J387" s="38" t="s">
        <v>5380</v>
      </c>
      <c r="K387" s="38" t="s">
        <v>5380</v>
      </c>
      <c r="L387" s="38" t="s">
        <v>5380</v>
      </c>
      <c r="M387" s="69" t="s">
        <v>5386</v>
      </c>
      <c r="N387" s="38"/>
      <c r="O387" s="38"/>
      <c r="P387" s="31"/>
    </row>
    <row r="388" spans="2:16">
      <c r="B388" s="30" t="s">
        <v>2067</v>
      </c>
      <c r="C388" s="38" t="s">
        <v>2068</v>
      </c>
      <c r="D388" s="38" t="s">
        <v>2069</v>
      </c>
      <c r="E388" s="38" t="s">
        <v>3682</v>
      </c>
      <c r="F388" s="38" t="s">
        <v>507</v>
      </c>
      <c r="G388" s="38"/>
      <c r="H388" s="53" t="str">
        <f t="shared" ref="H388:H450" si="6">"citation:"&amp;B388&amp;"-01"</f>
        <v>citation:andrei_petric-01</v>
      </c>
      <c r="I388" s="54"/>
      <c r="J388" s="38" t="s">
        <v>5380</v>
      </c>
      <c r="K388" s="38" t="s">
        <v>5380</v>
      </c>
      <c r="L388" s="38" t="s">
        <v>5380</v>
      </c>
      <c r="M388" s="69" t="s">
        <v>5387</v>
      </c>
      <c r="N388" s="38"/>
      <c r="O388" s="38"/>
      <c r="P388" s="31"/>
    </row>
    <row r="389" spans="2:16">
      <c r="B389" s="30" t="s">
        <v>2070</v>
      </c>
      <c r="C389" s="38" t="s">
        <v>2071</v>
      </c>
      <c r="D389" s="38" t="s">
        <v>2072</v>
      </c>
      <c r="E389" s="38" t="s">
        <v>3683</v>
      </c>
      <c r="F389" s="38" t="s">
        <v>507</v>
      </c>
      <c r="G389" s="38"/>
      <c r="H389" s="53"/>
      <c r="I389" s="54"/>
      <c r="J389" s="38"/>
      <c r="K389" s="38"/>
      <c r="L389" s="38"/>
      <c r="M389" s="69" t="s">
        <v>5380</v>
      </c>
      <c r="N389" s="38"/>
      <c r="O389" s="38"/>
      <c r="P389" s="31"/>
    </row>
    <row r="390" spans="2:16">
      <c r="B390" s="30" t="s">
        <v>2073</v>
      </c>
      <c r="C390" s="38" t="s">
        <v>3684</v>
      </c>
      <c r="D390" s="38" t="s">
        <v>2074</v>
      </c>
      <c r="E390" s="38" t="s">
        <v>3685</v>
      </c>
      <c r="F390" s="38" t="s">
        <v>507</v>
      </c>
      <c r="G390" s="38"/>
      <c r="H390" s="53" t="str">
        <f t="shared" si="6"/>
        <v>citation:chee_yen_leow-01</v>
      </c>
      <c r="I390" s="54"/>
      <c r="J390" s="38" t="s">
        <v>5090</v>
      </c>
      <c r="K390" s="38">
        <v>113</v>
      </c>
      <c r="L390" s="38">
        <v>5</v>
      </c>
      <c r="M390" s="69" t="s">
        <v>5386</v>
      </c>
      <c r="N390" s="38"/>
      <c r="O390" s="38"/>
      <c r="P390" s="31"/>
    </row>
    <row r="391" spans="2:16">
      <c r="B391" s="30" t="s">
        <v>2075</v>
      </c>
      <c r="C391" s="38" t="s">
        <v>2076</v>
      </c>
      <c r="D391" s="38" t="s">
        <v>1406</v>
      </c>
      <c r="E391" s="38" t="s">
        <v>3686</v>
      </c>
      <c r="F391" s="38" t="s">
        <v>507</v>
      </c>
      <c r="G391" s="38"/>
      <c r="H391" s="53" t="str">
        <f t="shared" si="6"/>
        <v>citation:chi_liu-01</v>
      </c>
      <c r="I391" s="54"/>
      <c r="J391" s="38" t="s">
        <v>5380</v>
      </c>
      <c r="K391" s="38" t="s">
        <v>5380</v>
      </c>
      <c r="L391" s="38" t="s">
        <v>5380</v>
      </c>
      <c r="M391" s="69" t="s">
        <v>5387</v>
      </c>
      <c r="N391" s="38"/>
      <c r="O391" s="38"/>
      <c r="P391" s="31"/>
    </row>
    <row r="392" spans="2:16">
      <c r="B392" s="30" t="s">
        <v>2077</v>
      </c>
      <c r="C392" s="38" t="s">
        <v>2078</v>
      </c>
      <c r="D392" s="38" t="s">
        <v>2079</v>
      </c>
      <c r="E392" s="38" t="s">
        <v>3687</v>
      </c>
      <c r="F392" s="38" t="s">
        <v>507</v>
      </c>
      <c r="G392" s="38"/>
      <c r="H392" s="53"/>
      <c r="I392" s="54"/>
      <c r="J392" s="38"/>
      <c r="K392" s="38"/>
      <c r="L392" s="38"/>
      <c r="M392" s="69" t="s">
        <v>5380</v>
      </c>
      <c r="N392" s="38"/>
      <c r="O392" s="38"/>
      <c r="P392" s="31"/>
    </row>
    <row r="393" spans="2:16">
      <c r="B393" s="30" t="s">
        <v>2080</v>
      </c>
      <c r="C393" s="38" t="s">
        <v>2081</v>
      </c>
      <c r="D393" s="38" t="s">
        <v>1633</v>
      </c>
      <c r="E393" s="38" t="s">
        <v>3688</v>
      </c>
      <c r="F393" s="38" t="s">
        <v>507</v>
      </c>
      <c r="G393" s="38"/>
      <c r="H393" s="53"/>
      <c r="I393" s="54"/>
      <c r="J393" s="38"/>
      <c r="K393" s="38"/>
      <c r="L393" s="38"/>
      <c r="M393" s="69" t="s">
        <v>5380</v>
      </c>
      <c r="N393" s="38"/>
      <c r="O393" s="38"/>
      <c r="P393" s="31"/>
    </row>
    <row r="394" spans="2:16">
      <c r="B394" s="30" t="s">
        <v>2082</v>
      </c>
      <c r="C394" s="38" t="s">
        <v>2083</v>
      </c>
      <c r="D394" s="38" t="s">
        <v>2084</v>
      </c>
      <c r="E394" s="38" t="s">
        <v>3689</v>
      </c>
      <c r="F394" s="38" t="s">
        <v>507</v>
      </c>
      <c r="G394" s="38"/>
      <c r="H394" s="53" t="str">
        <f t="shared" si="6"/>
        <v>citation:dalal_alrajeh-01</v>
      </c>
      <c r="I394" s="54"/>
      <c r="J394" s="38" t="s">
        <v>5103</v>
      </c>
      <c r="K394" s="38">
        <v>180</v>
      </c>
      <c r="L394" s="38">
        <v>7</v>
      </c>
      <c r="M394" s="69" t="s">
        <v>5391</v>
      </c>
      <c r="N394" s="38"/>
      <c r="O394" s="38"/>
      <c r="P394" s="31"/>
    </row>
    <row r="395" spans="2:16">
      <c r="B395" s="30" t="s">
        <v>2085</v>
      </c>
      <c r="C395" s="38" t="s">
        <v>1662</v>
      </c>
      <c r="D395" s="38" t="s">
        <v>2086</v>
      </c>
      <c r="E395" s="38" t="s">
        <v>3690</v>
      </c>
      <c r="F395" s="38" t="s">
        <v>507</v>
      </c>
      <c r="G395" s="38"/>
      <c r="H395" s="53" t="str">
        <f t="shared" si="6"/>
        <v>citation:daniel_okeeffe-01</v>
      </c>
      <c r="I395" s="54"/>
      <c r="J395" s="38" t="s">
        <v>5380</v>
      </c>
      <c r="K395" s="38" t="s">
        <v>5380</v>
      </c>
      <c r="L395" s="38" t="s">
        <v>5380</v>
      </c>
      <c r="M395" s="69" t="s">
        <v>5386</v>
      </c>
      <c r="N395" s="38"/>
      <c r="O395" s="38"/>
      <c r="P395" s="31"/>
    </row>
    <row r="396" spans="2:16">
      <c r="B396" s="30" t="s">
        <v>2087</v>
      </c>
      <c r="C396" s="38" t="s">
        <v>80</v>
      </c>
      <c r="D396" s="38" t="s">
        <v>2088</v>
      </c>
      <c r="E396" s="38" t="s">
        <v>3691</v>
      </c>
      <c r="F396" s="38" t="s">
        <v>507</v>
      </c>
      <c r="G396" s="38"/>
      <c r="H396" s="53" t="str">
        <f t="shared" si="6"/>
        <v>citation:dave_thornley-01</v>
      </c>
      <c r="I396" s="54"/>
      <c r="J396" s="38" t="s">
        <v>5380</v>
      </c>
      <c r="K396" s="38" t="s">
        <v>5380</v>
      </c>
      <c r="L396" s="38" t="s">
        <v>5380</v>
      </c>
      <c r="M396" s="69" t="s">
        <v>5386</v>
      </c>
      <c r="N396" s="38"/>
      <c r="O396" s="38"/>
      <c r="P396" s="31"/>
    </row>
    <row r="397" spans="2:16">
      <c r="B397" s="30" t="s">
        <v>2089</v>
      </c>
      <c r="C397" s="38" t="s">
        <v>2090</v>
      </c>
      <c r="D397" s="38" t="s">
        <v>2091</v>
      </c>
      <c r="E397" s="38" t="s">
        <v>3692</v>
      </c>
      <c r="F397" s="38" t="s">
        <v>507</v>
      </c>
      <c r="G397" s="38"/>
      <c r="H397" s="53" t="str">
        <f t="shared" si="6"/>
        <v>citation:duncan_gillies-01</v>
      </c>
      <c r="I397" s="54"/>
      <c r="J397" s="38" t="s">
        <v>5380</v>
      </c>
      <c r="K397" s="38" t="s">
        <v>5380</v>
      </c>
      <c r="L397" s="38" t="s">
        <v>5380</v>
      </c>
      <c r="M397" s="69" t="s">
        <v>5385</v>
      </c>
      <c r="N397" s="38"/>
      <c r="O397" s="38"/>
      <c r="P397" s="31"/>
    </row>
    <row r="398" spans="2:16">
      <c r="B398" s="30" t="s">
        <v>2092</v>
      </c>
      <c r="C398" s="38" t="s">
        <v>2093</v>
      </c>
      <c r="D398" s="38" t="s">
        <v>2094</v>
      </c>
      <c r="E398" s="38" t="s">
        <v>3693</v>
      </c>
      <c r="F398" s="38" t="s">
        <v>507</v>
      </c>
      <c r="G398" s="38"/>
      <c r="H398" s="53" t="str">
        <f t="shared" si="6"/>
        <v>citation:emil_lupu-01</v>
      </c>
      <c r="I398" s="54"/>
      <c r="J398" s="38" t="s">
        <v>5128</v>
      </c>
      <c r="K398" s="38">
        <v>6578</v>
      </c>
      <c r="L398" s="38">
        <v>35</v>
      </c>
      <c r="M398" s="69" t="s">
        <v>5385</v>
      </c>
      <c r="N398" s="38"/>
      <c r="O398" s="38"/>
      <c r="P398" s="31"/>
    </row>
    <row r="399" spans="2:16">
      <c r="B399" s="30" t="s">
        <v>2095</v>
      </c>
      <c r="C399" s="38" t="s">
        <v>2096</v>
      </c>
      <c r="D399" s="38" t="s">
        <v>2097</v>
      </c>
      <c r="E399" s="38" t="s">
        <v>3694</v>
      </c>
      <c r="F399" s="38" t="s">
        <v>507</v>
      </c>
      <c r="G399" s="38"/>
      <c r="H399" s="53" t="str">
        <f t="shared" si="6"/>
        <v>citation:erol_gelenbe-01</v>
      </c>
      <c r="I399" s="54"/>
      <c r="J399" s="38" t="s">
        <v>5131</v>
      </c>
      <c r="K399" s="38">
        <v>13962</v>
      </c>
      <c r="L399" s="38">
        <v>65</v>
      </c>
      <c r="M399" s="69" t="s">
        <v>5384</v>
      </c>
      <c r="N399" s="38"/>
      <c r="O399" s="38"/>
      <c r="P399" s="31"/>
    </row>
    <row r="400" spans="2:16">
      <c r="B400" s="30" t="s">
        <v>2098</v>
      </c>
      <c r="C400" s="38" t="s">
        <v>2099</v>
      </c>
      <c r="D400" s="38" t="s">
        <v>2100</v>
      </c>
      <c r="E400" s="38" t="s">
        <v>3695</v>
      </c>
      <c r="F400" s="38" t="s">
        <v>507</v>
      </c>
      <c r="G400" s="38"/>
      <c r="H400" s="53" t="str">
        <f t="shared" si="6"/>
        <v>citation:eskindir_asmare-01</v>
      </c>
      <c r="I400" s="54"/>
      <c r="J400" s="38" t="s">
        <v>5380</v>
      </c>
      <c r="K400" s="38" t="s">
        <v>5380</v>
      </c>
      <c r="L400" s="38" t="s">
        <v>5380</v>
      </c>
      <c r="M400" s="69" t="s">
        <v>5387</v>
      </c>
      <c r="N400" s="38"/>
      <c r="O400" s="38"/>
      <c r="P400" s="31"/>
    </row>
    <row r="401" spans="2:16">
      <c r="B401" s="30" t="s">
        <v>2101</v>
      </c>
      <c r="C401" s="38" t="s">
        <v>1092</v>
      </c>
      <c r="D401" s="38" t="s">
        <v>2102</v>
      </c>
      <c r="E401" s="38" t="s">
        <v>3696</v>
      </c>
      <c r="F401" s="38" t="s">
        <v>507</v>
      </c>
      <c r="G401" s="38"/>
      <c r="H401" s="53"/>
      <c r="I401" s="54"/>
      <c r="J401" s="38"/>
      <c r="K401" s="38"/>
      <c r="L401" s="38"/>
      <c r="M401" s="69" t="s">
        <v>5380</v>
      </c>
      <c r="N401" s="38"/>
      <c r="O401" s="38"/>
      <c r="P401" s="31"/>
    </row>
    <row r="402" spans="2:16">
      <c r="B402" s="30" t="s">
        <v>2103</v>
      </c>
      <c r="C402" s="38" t="s">
        <v>2104</v>
      </c>
      <c r="D402" s="38" t="s">
        <v>2105</v>
      </c>
      <c r="E402" s="38" t="s">
        <v>3697</v>
      </c>
      <c r="F402" s="38" t="s">
        <v>507</v>
      </c>
      <c r="G402" s="38"/>
      <c r="H402" s="53"/>
      <c r="I402" s="54"/>
      <c r="J402" s="38"/>
      <c r="K402" s="38"/>
      <c r="L402" s="38"/>
      <c r="M402" s="69" t="s">
        <v>5380</v>
      </c>
      <c r="N402" s="38"/>
      <c r="O402" s="38"/>
      <c r="P402" s="31"/>
    </row>
    <row r="403" spans="2:16">
      <c r="B403" s="30" t="s">
        <v>2106</v>
      </c>
      <c r="C403" s="38" t="s">
        <v>2107</v>
      </c>
      <c r="D403" s="38" t="s">
        <v>2108</v>
      </c>
      <c r="E403" s="38" t="s">
        <v>3698</v>
      </c>
      <c r="F403" s="38" t="s">
        <v>507</v>
      </c>
      <c r="G403" s="38"/>
      <c r="H403" s="53" t="str">
        <f t="shared" si="6"/>
        <v>citation:ivan_ho-01</v>
      </c>
      <c r="I403" s="54"/>
      <c r="J403" s="38" t="s">
        <v>5179</v>
      </c>
      <c r="K403" s="38">
        <v>245</v>
      </c>
      <c r="L403" s="38">
        <v>8</v>
      </c>
      <c r="M403" s="69" t="s">
        <v>5384</v>
      </c>
      <c r="N403" s="38"/>
      <c r="O403" s="38"/>
      <c r="P403" s="31"/>
    </row>
    <row r="404" spans="2:16">
      <c r="B404" s="30" t="s">
        <v>2109</v>
      </c>
      <c r="C404" s="38" t="s">
        <v>2110</v>
      </c>
      <c r="D404" s="38" t="s">
        <v>2111</v>
      </c>
      <c r="E404" s="38" t="s">
        <v>3699</v>
      </c>
      <c r="F404" s="38" t="s">
        <v>507</v>
      </c>
      <c r="G404" s="38"/>
      <c r="H404" s="53" t="str">
        <f t="shared" si="6"/>
        <v>citation:jeff_kramer-01</v>
      </c>
      <c r="I404" s="54"/>
      <c r="J404" s="38" t="s">
        <v>5186</v>
      </c>
      <c r="K404" s="38">
        <v>18654</v>
      </c>
      <c r="L404" s="38">
        <v>61</v>
      </c>
      <c r="M404" s="69" t="s">
        <v>5391</v>
      </c>
      <c r="N404" s="38"/>
      <c r="O404" s="38"/>
      <c r="P404" s="31"/>
    </row>
    <row r="405" spans="2:16">
      <c r="B405" s="30" t="s">
        <v>2112</v>
      </c>
      <c r="C405" s="38" t="s">
        <v>2113</v>
      </c>
      <c r="D405" s="38" t="s">
        <v>2114</v>
      </c>
      <c r="E405" s="38" t="s">
        <v>3700</v>
      </c>
      <c r="F405" s="38" t="s">
        <v>507</v>
      </c>
      <c r="G405" s="38"/>
      <c r="H405" s="53" t="str">
        <f t="shared" si="6"/>
        <v>citation:jiefei_ma-01</v>
      </c>
      <c r="I405" s="54"/>
      <c r="J405" s="38" t="s">
        <v>5192</v>
      </c>
      <c r="K405" s="38">
        <v>216</v>
      </c>
      <c r="L405" s="38">
        <v>7</v>
      </c>
      <c r="M405" s="69" t="s">
        <v>5384</v>
      </c>
      <c r="N405" s="38"/>
      <c r="O405" s="38"/>
      <c r="P405" s="31"/>
    </row>
    <row r="406" spans="2:16">
      <c r="B406" s="30" t="s">
        <v>2115</v>
      </c>
      <c r="C406" s="38" t="s">
        <v>1054</v>
      </c>
      <c r="D406" s="38" t="s">
        <v>2116</v>
      </c>
      <c r="E406" s="38" t="s">
        <v>3701</v>
      </c>
      <c r="F406" s="38" t="s">
        <v>507</v>
      </c>
      <c r="G406" s="38"/>
      <c r="H406" s="53"/>
      <c r="I406" s="54"/>
      <c r="J406" s="38"/>
      <c r="K406" s="38"/>
      <c r="L406" s="38"/>
      <c r="M406" s="69" t="s">
        <v>5380</v>
      </c>
      <c r="N406" s="38"/>
      <c r="O406" s="38"/>
      <c r="P406" s="31"/>
    </row>
    <row r="407" spans="2:16">
      <c r="B407" s="30" t="s">
        <v>2117</v>
      </c>
      <c r="C407" s="38" t="s">
        <v>1249</v>
      </c>
      <c r="D407" s="38" t="s">
        <v>2118</v>
      </c>
      <c r="E407" s="38" t="s">
        <v>3702</v>
      </c>
      <c r="F407" s="38" t="s">
        <v>507</v>
      </c>
      <c r="G407" s="38"/>
      <c r="H407" s="53" t="str">
        <f t="shared" si="6"/>
        <v>citation:keith_clark-01</v>
      </c>
      <c r="I407" s="54"/>
      <c r="J407" s="38" t="s">
        <v>5221</v>
      </c>
      <c r="K407" s="38">
        <v>6521</v>
      </c>
      <c r="L407" s="38">
        <v>26</v>
      </c>
      <c r="M407" s="69" t="s">
        <v>5391</v>
      </c>
      <c r="N407" s="38"/>
      <c r="O407" s="38"/>
      <c r="P407" s="31"/>
    </row>
    <row r="408" spans="2:16">
      <c r="B408" s="30" t="s">
        <v>2119</v>
      </c>
      <c r="C408" s="38" t="s">
        <v>1106</v>
      </c>
      <c r="D408" s="38" t="s">
        <v>2120</v>
      </c>
      <c r="E408" s="38" t="s">
        <v>3703</v>
      </c>
      <c r="F408" s="38" t="s">
        <v>507</v>
      </c>
      <c r="G408" s="38"/>
      <c r="H408" s="53" t="str">
        <f t="shared" si="6"/>
        <v>citation:kevin_twidle-01</v>
      </c>
      <c r="I408" s="54"/>
      <c r="J408" s="38" t="s">
        <v>5380</v>
      </c>
      <c r="K408" s="38" t="s">
        <v>5380</v>
      </c>
      <c r="L408" s="38" t="s">
        <v>5380</v>
      </c>
      <c r="M408" s="69" t="s">
        <v>5394</v>
      </c>
      <c r="N408" s="38"/>
      <c r="O408" s="38"/>
      <c r="P408" s="31"/>
    </row>
    <row r="409" spans="2:16">
      <c r="B409" s="30" t="s">
        <v>2121</v>
      </c>
      <c r="C409" s="38" t="s">
        <v>2122</v>
      </c>
      <c r="D409" s="38" t="s">
        <v>2123</v>
      </c>
      <c r="E409" s="38" t="s">
        <v>3704</v>
      </c>
      <c r="F409" s="38" t="s">
        <v>507</v>
      </c>
      <c r="G409" s="38" t="s">
        <v>3289</v>
      </c>
      <c r="H409" s="53" t="str">
        <f t="shared" si="6"/>
        <v>citation:kin_leung-01</v>
      </c>
      <c r="I409" s="54"/>
      <c r="J409" s="38" t="s">
        <v>5223</v>
      </c>
      <c r="K409" s="38">
        <v>6765</v>
      </c>
      <c r="L409" s="38">
        <v>42</v>
      </c>
      <c r="M409" s="69" t="s">
        <v>5386</v>
      </c>
      <c r="N409" s="38"/>
      <c r="O409" s="38"/>
      <c r="P409" s="31"/>
    </row>
    <row r="410" spans="2:16">
      <c r="B410" s="30" t="s">
        <v>2124</v>
      </c>
      <c r="C410" s="38" t="s">
        <v>2125</v>
      </c>
      <c r="D410" s="38" t="s">
        <v>2126</v>
      </c>
      <c r="E410" s="38" t="s">
        <v>3705</v>
      </c>
      <c r="F410" s="38" t="s">
        <v>507</v>
      </c>
      <c r="G410" s="38"/>
      <c r="H410" s="53" t="str">
        <f t="shared" si="6"/>
        <v>citation:krysia_broda-01</v>
      </c>
      <c r="I410" s="54"/>
      <c r="J410" s="38" t="s">
        <v>5380</v>
      </c>
      <c r="K410" s="38" t="s">
        <v>5380</v>
      </c>
      <c r="L410" s="38" t="s">
        <v>5380</v>
      </c>
      <c r="M410" s="69" t="s">
        <v>5384</v>
      </c>
      <c r="N410" s="38"/>
      <c r="O410" s="38"/>
      <c r="P410" s="31"/>
    </row>
    <row r="411" spans="2:16">
      <c r="B411" s="30" t="s">
        <v>2127</v>
      </c>
      <c r="C411" s="38" t="s">
        <v>2128</v>
      </c>
      <c r="D411" s="38" t="s">
        <v>2129</v>
      </c>
      <c r="E411" s="38" t="s">
        <v>3706</v>
      </c>
      <c r="F411" s="38" t="s">
        <v>507</v>
      </c>
      <c r="G411" s="38"/>
      <c r="H411" s="53" t="str">
        <f t="shared" si="6"/>
        <v>citation:laurence_hey-01</v>
      </c>
      <c r="I411" s="54"/>
      <c r="J411" s="38" t="s">
        <v>5380</v>
      </c>
      <c r="K411" s="38" t="s">
        <v>5380</v>
      </c>
      <c r="L411" s="38" t="s">
        <v>5380</v>
      </c>
      <c r="M411" s="69" t="s">
        <v>5391</v>
      </c>
      <c r="N411" s="38"/>
      <c r="O411" s="38"/>
      <c r="P411" s="31"/>
    </row>
    <row r="412" spans="2:16">
      <c r="B412" s="30" t="s">
        <v>2130</v>
      </c>
      <c r="C412" s="38" t="s">
        <v>2131</v>
      </c>
      <c r="D412" s="38" t="s">
        <v>2114</v>
      </c>
      <c r="E412" s="38" t="s">
        <v>3707</v>
      </c>
      <c r="F412" s="38" t="s">
        <v>507</v>
      </c>
      <c r="G412" s="38"/>
      <c r="H412" s="53" t="str">
        <f t="shared" si="6"/>
        <v>citation:liang_ma-01</v>
      </c>
      <c r="I412" s="54"/>
      <c r="J412" s="38" t="s">
        <v>5227</v>
      </c>
      <c r="K412" s="38">
        <v>1085</v>
      </c>
      <c r="L412" s="38">
        <v>15</v>
      </c>
      <c r="M412" s="69" t="s">
        <v>5388</v>
      </c>
      <c r="N412" s="38"/>
      <c r="O412" s="38"/>
      <c r="P412" s="31"/>
    </row>
    <row r="413" spans="2:16">
      <c r="B413" s="30" t="s">
        <v>2132</v>
      </c>
      <c r="C413" s="38" t="s">
        <v>2133</v>
      </c>
      <c r="D413" s="38" t="s">
        <v>2134</v>
      </c>
      <c r="E413" s="38" t="s">
        <v>3708</v>
      </c>
      <c r="F413" s="38" t="s">
        <v>507</v>
      </c>
      <c r="G413" s="38"/>
      <c r="H413" s="53" t="str">
        <f t="shared" si="6"/>
        <v>citation:luke_dickens-01</v>
      </c>
      <c r="I413" s="54"/>
      <c r="J413" s="38" t="s">
        <v>5380</v>
      </c>
      <c r="K413" s="38" t="s">
        <v>5380</v>
      </c>
      <c r="L413" s="38" t="s">
        <v>5380</v>
      </c>
      <c r="M413" s="69" t="s">
        <v>5385</v>
      </c>
      <c r="N413" s="38"/>
      <c r="O413" s="38"/>
      <c r="P413" s="31"/>
    </row>
    <row r="414" spans="2:16">
      <c r="B414" s="30" t="s">
        <v>2135</v>
      </c>
      <c r="C414" s="38" t="s">
        <v>1217</v>
      </c>
      <c r="D414" s="38" t="s">
        <v>2136</v>
      </c>
      <c r="E414" s="38" t="s">
        <v>3709</v>
      </c>
      <c r="F414" s="38" t="s">
        <v>507</v>
      </c>
      <c r="G414" s="38"/>
      <c r="H414" s="53"/>
      <c r="I414" s="54"/>
      <c r="J414" s="38"/>
      <c r="K414" s="38"/>
      <c r="L414" s="38"/>
      <c r="M414" s="69" t="s">
        <v>5380</v>
      </c>
      <c r="N414" s="38"/>
      <c r="O414" s="38"/>
      <c r="P414" s="31"/>
    </row>
    <row r="415" spans="2:16">
      <c r="B415" s="30" t="s">
        <v>2137</v>
      </c>
      <c r="C415" s="38" t="s">
        <v>2138</v>
      </c>
      <c r="D415" s="38" t="s">
        <v>2139</v>
      </c>
      <c r="E415" s="38" t="s">
        <v>3710</v>
      </c>
      <c r="F415" s="38" t="s">
        <v>507</v>
      </c>
      <c r="G415" s="38"/>
      <c r="H415" s="53" t="str">
        <f t="shared" si="6"/>
        <v>citation:morris_sloman-01</v>
      </c>
      <c r="I415" s="54"/>
      <c r="J415" s="38" t="s">
        <v>5256</v>
      </c>
      <c r="K415" s="38">
        <v>12339</v>
      </c>
      <c r="L415" s="38">
        <v>49</v>
      </c>
      <c r="M415" s="69" t="s">
        <v>5385</v>
      </c>
      <c r="N415" s="38"/>
      <c r="O415" s="38"/>
      <c r="P415" s="31"/>
    </row>
    <row r="416" spans="2:16">
      <c r="B416" s="30" t="s">
        <v>2140</v>
      </c>
      <c r="C416" s="38" t="s">
        <v>2141</v>
      </c>
      <c r="D416" s="38" t="s">
        <v>2142</v>
      </c>
      <c r="E416" s="38" t="s">
        <v>3711</v>
      </c>
      <c r="F416" s="38" t="s">
        <v>507</v>
      </c>
      <c r="G416" s="38"/>
      <c r="H416" s="53" t="str">
        <f t="shared" si="6"/>
        <v>citation:naranker_dulay-01</v>
      </c>
      <c r="I416" s="54"/>
      <c r="J416" s="38" t="s">
        <v>5263</v>
      </c>
      <c r="K416" s="38">
        <v>6013</v>
      </c>
      <c r="L416" s="38">
        <v>31</v>
      </c>
      <c r="M416" s="69" t="s">
        <v>5387</v>
      </c>
      <c r="N416" s="38"/>
      <c r="O416" s="38"/>
      <c r="P416" s="31"/>
    </row>
    <row r="417" spans="2:16">
      <c r="B417" s="30" t="s">
        <v>2143</v>
      </c>
      <c r="C417" s="38" t="s">
        <v>2144</v>
      </c>
      <c r="D417" s="38" t="s">
        <v>2145</v>
      </c>
      <c r="E417" s="38" t="s">
        <v>3712</v>
      </c>
      <c r="F417" s="38" t="s">
        <v>507</v>
      </c>
      <c r="G417" s="38"/>
      <c r="H417" s="53" t="str">
        <f t="shared" si="6"/>
        <v>citation:nikoletta_sofra-01</v>
      </c>
      <c r="I417" s="54"/>
      <c r="J417" s="38" t="s">
        <v>5380</v>
      </c>
      <c r="K417" s="38" t="s">
        <v>5380</v>
      </c>
      <c r="L417" s="38" t="s">
        <v>5380</v>
      </c>
      <c r="M417" s="69" t="s">
        <v>5386</v>
      </c>
      <c r="N417" s="38"/>
      <c r="O417" s="38"/>
      <c r="P417" s="31"/>
    </row>
    <row r="418" spans="2:16">
      <c r="B418" s="30" t="s">
        <v>2146</v>
      </c>
      <c r="C418" s="38" t="s">
        <v>1571</v>
      </c>
      <c r="D418" s="38" t="s">
        <v>2147</v>
      </c>
      <c r="E418" s="38" t="s">
        <v>3713</v>
      </c>
      <c r="F418" s="38" t="s">
        <v>507</v>
      </c>
      <c r="G418" s="38"/>
      <c r="H418" s="53" t="str">
        <f t="shared" si="6"/>
        <v>citation:peter_pietzuch-01</v>
      </c>
      <c r="I418" s="54"/>
      <c r="J418" s="38" t="s">
        <v>5284</v>
      </c>
      <c r="K418" s="38">
        <v>3552</v>
      </c>
      <c r="L418" s="38">
        <v>26</v>
      </c>
      <c r="M418" s="69" t="s">
        <v>5384</v>
      </c>
      <c r="N418" s="38"/>
      <c r="O418" s="38"/>
      <c r="P418" s="31"/>
    </row>
    <row r="419" spans="2:16">
      <c r="B419" s="30" t="s">
        <v>2148</v>
      </c>
      <c r="C419" s="38" t="s">
        <v>2149</v>
      </c>
      <c r="D419" s="38" t="s">
        <v>2150</v>
      </c>
      <c r="E419" s="38" t="s">
        <v>3714</v>
      </c>
      <c r="F419" s="38" t="s">
        <v>507</v>
      </c>
      <c r="G419" s="38"/>
      <c r="H419" s="53" t="str">
        <f t="shared" si="6"/>
        <v>citation:petr_novotny-01</v>
      </c>
      <c r="I419" s="54"/>
      <c r="J419" s="38" t="s">
        <v>5380</v>
      </c>
      <c r="K419" s="38" t="s">
        <v>5380</v>
      </c>
      <c r="L419" s="38" t="s">
        <v>5380</v>
      </c>
      <c r="M419" s="69" t="s">
        <v>5386</v>
      </c>
      <c r="N419" s="38"/>
      <c r="O419" s="38"/>
      <c r="P419" s="31"/>
    </row>
    <row r="420" spans="2:16">
      <c r="B420" s="30" t="s">
        <v>2151</v>
      </c>
      <c r="C420" s="38" t="s">
        <v>2152</v>
      </c>
      <c r="D420" s="38" t="s">
        <v>2153</v>
      </c>
      <c r="E420" s="38" t="s">
        <v>3715</v>
      </c>
      <c r="F420" s="38" t="s">
        <v>507</v>
      </c>
      <c r="G420" s="38"/>
      <c r="H420" s="53" t="str">
        <f t="shared" si="6"/>
        <v>citation:robert_craven-01</v>
      </c>
      <c r="I420" s="54"/>
      <c r="J420" s="38" t="s">
        <v>5380</v>
      </c>
      <c r="K420" s="38" t="s">
        <v>5380</v>
      </c>
      <c r="L420" s="38" t="s">
        <v>5380</v>
      </c>
      <c r="M420" s="69" t="s">
        <v>5384</v>
      </c>
      <c r="N420" s="38"/>
      <c r="O420" s="38"/>
      <c r="P420" s="31"/>
    </row>
    <row r="421" spans="2:16">
      <c r="B421" s="30" t="s">
        <v>2154</v>
      </c>
      <c r="C421" s="38" t="s">
        <v>2155</v>
      </c>
      <c r="D421" s="38" t="s">
        <v>2156</v>
      </c>
      <c r="E421" s="38" t="s">
        <v>3716</v>
      </c>
      <c r="F421" s="38" t="s">
        <v>507</v>
      </c>
      <c r="G421" s="38"/>
      <c r="H421" s="53" t="str">
        <f t="shared" si="6"/>
        <v>citation:sebastin_uchitel-01</v>
      </c>
      <c r="I421" s="54"/>
      <c r="J421" s="38" t="s">
        <v>5312</v>
      </c>
      <c r="K421" s="38">
        <v>3958</v>
      </c>
      <c r="L421" s="38">
        <v>30</v>
      </c>
      <c r="M421" s="69" t="s">
        <v>5386</v>
      </c>
      <c r="N421" s="38"/>
      <c r="O421" s="38"/>
      <c r="P421" s="31"/>
    </row>
    <row r="422" spans="2:16">
      <c r="B422" s="30" t="s">
        <v>2157</v>
      </c>
      <c r="C422" s="38" t="s">
        <v>2158</v>
      </c>
      <c r="D422" s="38" t="s">
        <v>2159</v>
      </c>
      <c r="E422" s="38" t="s">
        <v>3717</v>
      </c>
      <c r="F422" s="38" t="s">
        <v>507</v>
      </c>
      <c r="G422" s="38"/>
      <c r="H422" s="53" t="str">
        <f t="shared" si="6"/>
        <v>citation:sepideh_nazemi-01</v>
      </c>
      <c r="I422" s="54"/>
      <c r="J422" s="38" t="s">
        <v>5380</v>
      </c>
      <c r="K422" s="38" t="s">
        <v>5380</v>
      </c>
      <c r="L422" s="38" t="s">
        <v>5380</v>
      </c>
      <c r="M422" s="69" t="s">
        <v>5389</v>
      </c>
      <c r="N422" s="38"/>
      <c r="O422" s="38"/>
      <c r="P422" s="31"/>
    </row>
    <row r="423" spans="2:16">
      <c r="B423" s="30" t="s">
        <v>2160</v>
      </c>
      <c r="C423" s="38" t="s">
        <v>2161</v>
      </c>
      <c r="D423" s="38" t="s">
        <v>1196</v>
      </c>
      <c r="E423" s="38" t="s">
        <v>3718</v>
      </c>
      <c r="F423" s="38" t="s">
        <v>507</v>
      </c>
      <c r="G423" s="38"/>
      <c r="H423" s="53" t="str">
        <f t="shared" si="6"/>
        <v>citation:shiqiang_wang-01</v>
      </c>
      <c r="I423" s="54"/>
      <c r="J423" s="38" t="s">
        <v>5321</v>
      </c>
      <c r="K423" s="38">
        <v>163</v>
      </c>
      <c r="L423" s="38">
        <v>7</v>
      </c>
      <c r="M423" s="69" t="s">
        <v>5388</v>
      </c>
      <c r="N423" s="38"/>
      <c r="O423" s="38"/>
      <c r="P423" s="31"/>
    </row>
    <row r="424" spans="2:16">
      <c r="B424" s="30" t="s">
        <v>2162</v>
      </c>
      <c r="C424" s="38" t="s">
        <v>2163</v>
      </c>
      <c r="D424" s="38" t="s">
        <v>2039</v>
      </c>
      <c r="E424" s="38" t="s">
        <v>3719</v>
      </c>
      <c r="F424" s="38" t="s">
        <v>507</v>
      </c>
      <c r="G424" s="38"/>
      <c r="H424" s="53"/>
      <c r="I424" s="54"/>
      <c r="J424" s="38"/>
      <c r="K424" s="38"/>
      <c r="L424" s="38"/>
      <c r="M424" s="69" t="s">
        <v>5380</v>
      </c>
      <c r="N424" s="38"/>
      <c r="O424" s="38"/>
      <c r="P424" s="31"/>
    </row>
    <row r="425" spans="2:16">
      <c r="B425" s="30" t="s">
        <v>2164</v>
      </c>
      <c r="C425" s="38" t="s">
        <v>2165</v>
      </c>
      <c r="D425" s="38" t="s">
        <v>2166</v>
      </c>
      <c r="E425" s="38" t="s">
        <v>3720</v>
      </c>
      <c r="F425" s="38" t="s">
        <v>507</v>
      </c>
      <c r="G425" s="38"/>
      <c r="H425" s="53" t="str">
        <f t="shared" si="6"/>
        <v>citation:susan_eisenbach-01</v>
      </c>
      <c r="I425" s="54"/>
      <c r="J425" s="38" t="s">
        <v>5337</v>
      </c>
      <c r="K425" s="38">
        <v>2673</v>
      </c>
      <c r="L425" s="38">
        <v>22</v>
      </c>
      <c r="M425" s="69" t="s">
        <v>5384</v>
      </c>
      <c r="N425" s="38"/>
      <c r="O425" s="38"/>
      <c r="P425" s="31"/>
    </row>
    <row r="426" spans="2:16">
      <c r="B426" s="30" t="s">
        <v>2167</v>
      </c>
      <c r="C426" s="38" t="s">
        <v>2168</v>
      </c>
      <c r="D426" s="38" t="s">
        <v>2169</v>
      </c>
      <c r="E426" s="38" t="s">
        <v>3721</v>
      </c>
      <c r="F426" s="38" t="s">
        <v>507</v>
      </c>
      <c r="G426" s="38"/>
      <c r="H426" s="53" t="str">
        <f t="shared" si="6"/>
        <v>citation:sye-loong_keoh-01</v>
      </c>
      <c r="I426" s="54"/>
      <c r="J426" s="38" t="s">
        <v>5338</v>
      </c>
      <c r="K426" s="38">
        <v>595</v>
      </c>
      <c r="L426" s="38">
        <v>14</v>
      </c>
      <c r="M426" s="69" t="s">
        <v>5387</v>
      </c>
      <c r="N426" s="38"/>
      <c r="O426" s="38"/>
      <c r="P426" s="31"/>
    </row>
    <row r="427" spans="2:16">
      <c r="B427" s="30" t="s">
        <v>2170</v>
      </c>
      <c r="C427" s="38" t="s">
        <v>2171</v>
      </c>
      <c r="D427" s="38" t="s">
        <v>2172</v>
      </c>
      <c r="E427" s="38" t="s">
        <v>3722</v>
      </c>
      <c r="F427" s="38" t="s">
        <v>507</v>
      </c>
      <c r="G427" s="38"/>
      <c r="H427" s="53" t="str">
        <f t="shared" si="6"/>
        <v>citation:themistoklis_bourdenas-01</v>
      </c>
      <c r="I427" s="54"/>
      <c r="J427" s="38" t="s">
        <v>5344</v>
      </c>
      <c r="K427" s="38">
        <v>136</v>
      </c>
      <c r="L427" s="38">
        <v>6</v>
      </c>
      <c r="M427" s="69" t="s">
        <v>5389</v>
      </c>
      <c r="N427" s="38"/>
      <c r="O427" s="38"/>
      <c r="P427" s="31"/>
    </row>
    <row r="428" spans="2:16">
      <c r="B428" s="30" t="s">
        <v>2173</v>
      </c>
      <c r="C428" s="38" t="s">
        <v>2174</v>
      </c>
      <c r="D428" s="38" t="s">
        <v>2175</v>
      </c>
      <c r="E428" s="38" t="s">
        <v>3723</v>
      </c>
      <c r="F428" s="38" t="s">
        <v>507</v>
      </c>
      <c r="G428" s="38"/>
      <c r="H428" s="53" t="str">
        <f t="shared" si="6"/>
        <v>citation:yun_hou-01</v>
      </c>
      <c r="I428" s="54"/>
      <c r="J428" s="38" t="s">
        <v>5380</v>
      </c>
      <c r="K428" s="38" t="s">
        <v>5380</v>
      </c>
      <c r="L428" s="38" t="s">
        <v>5380</v>
      </c>
      <c r="M428" s="69" t="s">
        <v>5387</v>
      </c>
      <c r="N428" s="38"/>
      <c r="O428" s="38"/>
      <c r="P428" s="31"/>
    </row>
    <row r="429" spans="2:16">
      <c r="B429" s="30" t="s">
        <v>2176</v>
      </c>
      <c r="C429" s="38" t="s">
        <v>2177</v>
      </c>
      <c r="D429" s="38" t="s">
        <v>2178</v>
      </c>
      <c r="E429" s="38" t="s">
        <v>3724</v>
      </c>
      <c r="F429" s="38" t="s">
        <v>507</v>
      </c>
      <c r="G429" s="38"/>
      <c r="H429" s="53" t="str">
        <f t="shared" si="6"/>
        <v>citation:zhengguo_sheng-01</v>
      </c>
      <c r="I429" s="54"/>
      <c r="J429" s="38" t="s">
        <v>5379</v>
      </c>
      <c r="K429" s="38">
        <v>301</v>
      </c>
      <c r="L429" s="38">
        <v>6</v>
      </c>
      <c r="M429" s="69" t="s">
        <v>5385</v>
      </c>
      <c r="N429" s="38"/>
      <c r="O429" s="38"/>
      <c r="P429" s="31"/>
    </row>
    <row r="430" spans="2:16">
      <c r="B430" s="32" t="s">
        <v>2179</v>
      </c>
      <c r="C430" s="39" t="s">
        <v>2180</v>
      </c>
      <c r="D430" s="39" t="s">
        <v>2181</v>
      </c>
      <c r="E430" s="39" t="s">
        <v>3725</v>
      </c>
      <c r="F430" s="39" t="s">
        <v>507</v>
      </c>
      <c r="G430" s="39"/>
      <c r="H430" s="51" t="str">
        <f t="shared" si="6"/>
        <v>citation:zhiguo_ding-01</v>
      </c>
      <c r="I430" s="52"/>
      <c r="J430" s="38" t="s">
        <v>5380</v>
      </c>
      <c r="K430" s="38" t="s">
        <v>5380</v>
      </c>
      <c r="L430" s="38" t="s">
        <v>5380</v>
      </c>
      <c r="M430" s="69" t="s">
        <v>5388</v>
      </c>
      <c r="N430" s="39"/>
      <c r="O430" s="39"/>
      <c r="P430" s="34"/>
    </row>
    <row r="431" spans="2:16">
      <c r="B431" s="28" t="s">
        <v>2051</v>
      </c>
      <c r="C431" s="37" t="s">
        <v>2052</v>
      </c>
      <c r="D431" s="37" t="s">
        <v>2053</v>
      </c>
      <c r="E431" s="37" t="s">
        <v>3726</v>
      </c>
      <c r="F431" s="37" t="s">
        <v>500</v>
      </c>
      <c r="G431" s="37"/>
      <c r="H431" s="49" t="str">
        <f t="shared" si="6"/>
        <v>citation:jean-charles_faugere-01</v>
      </c>
      <c r="I431" s="50"/>
      <c r="J431" s="38" t="s">
        <v>5380</v>
      </c>
      <c r="K431" s="38" t="s">
        <v>5380</v>
      </c>
      <c r="L431" s="38" t="s">
        <v>5380</v>
      </c>
      <c r="M431" s="69" t="s">
        <v>5387</v>
      </c>
      <c r="N431" s="37"/>
      <c r="O431" s="37"/>
      <c r="P431" s="29"/>
    </row>
    <row r="432" spans="2:16">
      <c r="B432" s="32" t="s">
        <v>2054</v>
      </c>
      <c r="C432" s="39" t="s">
        <v>2055</v>
      </c>
      <c r="D432" s="39" t="s">
        <v>2056</v>
      </c>
      <c r="E432" s="39" t="s">
        <v>3727</v>
      </c>
      <c r="F432" s="39" t="s">
        <v>500</v>
      </c>
      <c r="G432" s="39"/>
      <c r="H432" s="51" t="str">
        <f t="shared" si="6"/>
        <v>citation:ludovic_perret-01</v>
      </c>
      <c r="I432" s="52"/>
      <c r="J432" s="38" t="s">
        <v>5233</v>
      </c>
      <c r="K432" s="38">
        <v>1066</v>
      </c>
      <c r="L432" s="38">
        <v>18</v>
      </c>
      <c r="M432" s="69" t="s">
        <v>5388</v>
      </c>
      <c r="N432" s="39"/>
      <c r="O432" s="39"/>
      <c r="P432" s="34"/>
    </row>
    <row r="433" spans="2:16">
      <c r="B433" s="30" t="s">
        <v>2182</v>
      </c>
      <c r="C433" s="38" t="s">
        <v>1264</v>
      </c>
      <c r="D433" s="38" t="s">
        <v>2183</v>
      </c>
      <c r="E433" s="38" t="s">
        <v>3728</v>
      </c>
      <c r="F433" s="38" t="s">
        <v>5029</v>
      </c>
      <c r="G433" s="38"/>
      <c r="H433" s="53" t="str">
        <f t="shared" si="6"/>
        <v>citation:christian_bonnet-01</v>
      </c>
      <c r="I433" s="54"/>
      <c r="J433" s="38" t="s">
        <v>5095</v>
      </c>
      <c r="K433" s="38">
        <v>3221</v>
      </c>
      <c r="L433" s="38">
        <v>24</v>
      </c>
      <c r="M433" s="69" t="s">
        <v>5387</v>
      </c>
      <c r="N433" s="38"/>
      <c r="O433" s="38"/>
      <c r="P433" s="31"/>
    </row>
    <row r="434" spans="2:16">
      <c r="B434" s="32" t="s">
        <v>2184</v>
      </c>
      <c r="C434" s="39" t="s">
        <v>2185</v>
      </c>
      <c r="D434" s="39" t="s">
        <v>2186</v>
      </c>
      <c r="E434" s="39" t="s">
        <v>3729</v>
      </c>
      <c r="F434" s="39" t="s">
        <v>5029</v>
      </c>
      <c r="G434" s="39"/>
      <c r="H434" s="51" t="str">
        <f t="shared" si="6"/>
        <v>citation:fethi_filali-01</v>
      </c>
      <c r="I434" s="52"/>
      <c r="J434" s="38" t="s">
        <v>5141</v>
      </c>
      <c r="K434" s="38">
        <v>2550</v>
      </c>
      <c r="L434" s="38">
        <v>20</v>
      </c>
      <c r="M434" s="69" t="s">
        <v>5387</v>
      </c>
      <c r="N434" s="39"/>
      <c r="O434" s="39"/>
      <c r="P434" s="34"/>
    </row>
    <row r="435" spans="2:16">
      <c r="B435" s="30" t="s">
        <v>2187</v>
      </c>
      <c r="C435" s="38" t="s">
        <v>2188</v>
      </c>
      <c r="D435" s="38" t="s">
        <v>2189</v>
      </c>
      <c r="E435" s="38" t="s">
        <v>3730</v>
      </c>
      <c r="F435" s="38" t="s">
        <v>388</v>
      </c>
      <c r="G435" s="38"/>
      <c r="H435" s="53" t="str">
        <f t="shared" si="6"/>
        <v>citation:vrizlynn_thing-01</v>
      </c>
      <c r="I435" s="54"/>
      <c r="J435" s="38" t="s">
        <v>5380</v>
      </c>
      <c r="K435" s="38" t="s">
        <v>5380</v>
      </c>
      <c r="L435" s="38" t="s">
        <v>5380</v>
      </c>
      <c r="M435" s="69" t="s">
        <v>5385</v>
      </c>
      <c r="N435" s="38"/>
      <c r="O435" s="38"/>
      <c r="P435" s="31"/>
    </row>
    <row r="436" spans="2:16">
      <c r="B436" s="32" t="s">
        <v>2190</v>
      </c>
      <c r="C436" s="39" t="s">
        <v>3731</v>
      </c>
      <c r="D436" s="39" t="s">
        <v>2191</v>
      </c>
      <c r="E436" s="39" t="s">
        <v>3732</v>
      </c>
      <c r="F436" s="39" t="s">
        <v>388</v>
      </c>
      <c r="G436" s="39"/>
      <c r="H436" s="51" t="str">
        <f t="shared" si="6"/>
        <v>citation:woon_hau_chin-01</v>
      </c>
      <c r="I436" s="52"/>
      <c r="J436" s="38" t="s">
        <v>5364</v>
      </c>
      <c r="K436" s="38">
        <v>1385</v>
      </c>
      <c r="L436" s="38">
        <v>17</v>
      </c>
      <c r="M436" s="69" t="s">
        <v>5395</v>
      </c>
      <c r="N436" s="39"/>
      <c r="O436" s="39"/>
      <c r="P436" s="34"/>
    </row>
    <row r="437" spans="2:16">
      <c r="B437" s="30" t="s">
        <v>2192</v>
      </c>
      <c r="C437" s="38" t="s">
        <v>1471</v>
      </c>
      <c r="D437" s="38" t="s">
        <v>2193</v>
      </c>
      <c r="E437" s="38" t="s">
        <v>3733</v>
      </c>
      <c r="F437" s="38" t="s">
        <v>509</v>
      </c>
      <c r="G437" s="38"/>
      <c r="H437" s="53" t="str">
        <f t="shared" si="6"/>
        <v>citation:martin_grabner-01</v>
      </c>
      <c r="I437" s="54"/>
      <c r="J437" s="38" t="s">
        <v>5380</v>
      </c>
      <c r="K437" s="38" t="s">
        <v>5380</v>
      </c>
      <c r="L437" s="38" t="s">
        <v>5380</v>
      </c>
      <c r="M437" s="69" t="s">
        <v>5391</v>
      </c>
      <c r="N437" s="38"/>
      <c r="O437" s="38"/>
      <c r="P437" s="31"/>
    </row>
    <row r="438" spans="2:16">
      <c r="B438" s="32" t="s">
        <v>2194</v>
      </c>
      <c r="C438" s="39" t="s">
        <v>2195</v>
      </c>
      <c r="D438" s="39" t="s">
        <v>2196</v>
      </c>
      <c r="E438" s="39" t="s">
        <v>3734</v>
      </c>
      <c r="F438" s="39" t="s">
        <v>509</v>
      </c>
      <c r="G438" s="39"/>
      <c r="H438" s="51" t="str">
        <f t="shared" si="6"/>
        <v>citation:matthias_dehmer-01</v>
      </c>
      <c r="I438" s="52"/>
      <c r="J438" s="38" t="s">
        <v>5247</v>
      </c>
      <c r="K438" s="38">
        <v>2074</v>
      </c>
      <c r="L438" s="38">
        <v>25</v>
      </c>
      <c r="M438" s="69" t="s">
        <v>5391</v>
      </c>
      <c r="N438" s="39"/>
      <c r="O438" s="39"/>
      <c r="P438" s="34"/>
    </row>
    <row r="439" spans="2:16">
      <c r="B439" s="32" t="s">
        <v>2197</v>
      </c>
      <c r="C439" s="39" t="s">
        <v>1501</v>
      </c>
      <c r="D439" s="39" t="s">
        <v>2198</v>
      </c>
      <c r="E439" s="39" t="s">
        <v>3735</v>
      </c>
      <c r="F439" s="39" t="s">
        <v>512</v>
      </c>
      <c r="G439" s="39"/>
      <c r="H439" s="51" t="str">
        <f t="shared" si="6"/>
        <v>citation:michael_dorneich-01</v>
      </c>
      <c r="I439" s="52"/>
      <c r="J439" s="38" t="s">
        <v>5249</v>
      </c>
      <c r="K439" s="38">
        <v>807</v>
      </c>
      <c r="L439" s="38">
        <v>15</v>
      </c>
      <c r="M439" s="69" t="s">
        <v>5385</v>
      </c>
      <c r="N439" s="39"/>
      <c r="O439" s="39"/>
      <c r="P439" s="34"/>
    </row>
    <row r="440" spans="2:16">
      <c r="B440" s="32" t="s">
        <v>2057</v>
      </c>
      <c r="C440" s="39" t="s">
        <v>1761</v>
      </c>
      <c r="D440" s="39" t="s">
        <v>2058</v>
      </c>
      <c r="E440" s="39" t="s">
        <v>3736</v>
      </c>
      <c r="F440" s="39" t="s">
        <v>503</v>
      </c>
      <c r="G440" s="39"/>
      <c r="H440" s="51" t="str">
        <f t="shared" si="6"/>
        <v>citation:joel_alwen-01</v>
      </c>
      <c r="I440" s="52"/>
      <c r="J440" s="38" t="s">
        <v>5380</v>
      </c>
      <c r="K440" s="38" t="s">
        <v>5380</v>
      </c>
      <c r="L440" s="38" t="s">
        <v>5380</v>
      </c>
      <c r="M440" s="69" t="s">
        <v>5387</v>
      </c>
      <c r="N440" s="39"/>
      <c r="O440" s="39"/>
      <c r="P440" s="34"/>
    </row>
    <row r="441" spans="2:16">
      <c r="B441" s="32" t="s">
        <v>2199</v>
      </c>
      <c r="C441" s="39" t="s">
        <v>2200</v>
      </c>
      <c r="D441" s="39" t="s">
        <v>2201</v>
      </c>
      <c r="E441" s="39" t="s">
        <v>3737</v>
      </c>
      <c r="F441" s="39" t="s">
        <v>515</v>
      </c>
      <c r="G441" s="39"/>
      <c r="H441" s="51" t="str">
        <f t="shared" si="6"/>
        <v>citation:paolo_lutterotti-01</v>
      </c>
      <c r="I441" s="52"/>
      <c r="J441" s="38" t="s">
        <v>5380</v>
      </c>
      <c r="K441" s="38" t="s">
        <v>5380</v>
      </c>
      <c r="L441" s="38" t="s">
        <v>5380</v>
      </c>
      <c r="M441" s="69" t="s">
        <v>5387</v>
      </c>
      <c r="N441" s="39"/>
      <c r="O441" s="39"/>
      <c r="P441" s="34"/>
    </row>
    <row r="442" spans="2:16">
      <c r="B442" s="32" t="s">
        <v>2202</v>
      </c>
      <c r="C442" s="39" t="s">
        <v>2203</v>
      </c>
      <c r="D442" s="39" t="s">
        <v>2204</v>
      </c>
      <c r="E442" s="39" t="s">
        <v>3738</v>
      </c>
      <c r="F442" s="39" t="s">
        <v>518</v>
      </c>
      <c r="G442" s="39"/>
      <c r="H442" s="51" t="str">
        <f t="shared" si="6"/>
        <v>citation:guilin_qi-01</v>
      </c>
      <c r="I442" s="52"/>
      <c r="J442" s="38" t="s">
        <v>5380</v>
      </c>
      <c r="K442" s="38" t="s">
        <v>5380</v>
      </c>
      <c r="L442" s="38" t="s">
        <v>5380</v>
      </c>
      <c r="M442" s="69" t="s">
        <v>5391</v>
      </c>
      <c r="N442" s="39"/>
      <c r="O442" s="39"/>
      <c r="P442" s="34"/>
    </row>
    <row r="443" spans="2:16">
      <c r="B443" s="30" t="s">
        <v>2207</v>
      </c>
      <c r="C443" s="38" t="s">
        <v>2208</v>
      </c>
      <c r="D443" s="38" t="s">
        <v>2209</v>
      </c>
      <c r="E443" s="38" t="s">
        <v>3739</v>
      </c>
      <c r="F443" s="38" t="s">
        <v>523</v>
      </c>
      <c r="G443" s="38"/>
      <c r="H443" s="53" t="str">
        <f t="shared" si="6"/>
        <v>citation:dennis_hofheinz-01</v>
      </c>
      <c r="I443" s="54"/>
      <c r="J443" s="38" t="s">
        <v>5380</v>
      </c>
      <c r="K443" s="38" t="s">
        <v>5380</v>
      </c>
      <c r="L443" s="38" t="s">
        <v>5380</v>
      </c>
      <c r="M443" s="69" t="s">
        <v>5387</v>
      </c>
      <c r="N443" s="38"/>
      <c r="O443" s="38"/>
      <c r="P443" s="31"/>
    </row>
    <row r="444" spans="2:16">
      <c r="B444" s="32" t="s">
        <v>2210</v>
      </c>
      <c r="C444" s="39" t="s">
        <v>2211</v>
      </c>
      <c r="D444" s="39" t="s">
        <v>2212</v>
      </c>
      <c r="E444" s="39" t="s">
        <v>3740</v>
      </c>
      <c r="F444" s="39" t="s">
        <v>526</v>
      </c>
      <c r="G444" s="39"/>
      <c r="H444" s="51" t="str">
        <f t="shared" si="6"/>
        <v>citation:andreas_kassler-01</v>
      </c>
      <c r="I444" s="52"/>
      <c r="J444" s="38" t="s">
        <v>5053</v>
      </c>
      <c r="K444" s="38">
        <v>1336</v>
      </c>
      <c r="L444" s="38">
        <v>19</v>
      </c>
      <c r="M444" s="69" t="s">
        <v>5386</v>
      </c>
      <c r="N444" s="39"/>
      <c r="O444" s="39"/>
      <c r="P444" s="34"/>
    </row>
    <row r="445" spans="2:16">
      <c r="B445" s="32" t="s">
        <v>2213</v>
      </c>
      <c r="C445" s="39" t="s">
        <v>1501</v>
      </c>
      <c r="D445" s="39" t="s">
        <v>2214</v>
      </c>
      <c r="E445" s="39" t="s">
        <v>3741</v>
      </c>
      <c r="F445" s="39" t="s">
        <v>529</v>
      </c>
      <c r="G445" s="39"/>
      <c r="H445" s="51" t="str">
        <f t="shared" si="6"/>
        <v>citation:michael_luck-01</v>
      </c>
      <c r="I445" s="52"/>
      <c r="J445" s="38" t="s">
        <v>5250</v>
      </c>
      <c r="K445" s="38">
        <v>9240</v>
      </c>
      <c r="L445" s="38">
        <v>48</v>
      </c>
      <c r="M445" s="69" t="s">
        <v>5384</v>
      </c>
      <c r="N445" s="39"/>
      <c r="O445" s="39"/>
      <c r="P445" s="34"/>
    </row>
    <row r="446" spans="2:16">
      <c r="B446" s="32" t="s">
        <v>2205</v>
      </c>
      <c r="C446" s="39" t="s">
        <v>2206</v>
      </c>
      <c r="D446" s="39" t="s">
        <v>2025</v>
      </c>
      <c r="E446" s="39" t="s">
        <v>3742</v>
      </c>
      <c r="F446" s="39" t="s">
        <v>521</v>
      </c>
      <c r="G446" s="39"/>
      <c r="H446" s="51" t="str">
        <f t="shared" si="6"/>
        <v>citation:jing_he-01</v>
      </c>
      <c r="I446" s="52"/>
      <c r="J446" s="38" t="s">
        <v>5196</v>
      </c>
      <c r="K446" s="38">
        <v>338</v>
      </c>
      <c r="L446" s="38">
        <v>12</v>
      </c>
      <c r="M446" s="69" t="s">
        <v>5388</v>
      </c>
      <c r="N446" s="39"/>
      <c r="O446" s="39"/>
      <c r="P446" s="34"/>
    </row>
    <row r="447" spans="2:16">
      <c r="B447" s="32" t="s">
        <v>2215</v>
      </c>
      <c r="C447" s="39" t="s">
        <v>2216</v>
      </c>
      <c r="D447" s="39" t="s">
        <v>2217</v>
      </c>
      <c r="E447" s="39" t="s">
        <v>3743</v>
      </c>
      <c r="F447" s="39" t="s">
        <v>532</v>
      </c>
      <c r="G447" s="39"/>
      <c r="H447" s="51" t="str">
        <f t="shared" si="6"/>
        <v>citation:norman_heino-01</v>
      </c>
      <c r="I447" s="52"/>
      <c r="J447" s="38" t="s">
        <v>5270</v>
      </c>
      <c r="K447" s="38">
        <v>249</v>
      </c>
      <c r="L447" s="38">
        <v>10</v>
      </c>
      <c r="M447" s="69" t="s">
        <v>5386</v>
      </c>
      <c r="N447" s="39"/>
      <c r="O447" s="39"/>
      <c r="P447" s="34"/>
    </row>
    <row r="448" spans="2:16">
      <c r="B448" s="30" t="s">
        <v>2218</v>
      </c>
      <c r="C448" s="38" t="s">
        <v>80</v>
      </c>
      <c r="D448" s="38" t="s">
        <v>2219</v>
      </c>
      <c r="E448" s="38" t="s">
        <v>3744</v>
      </c>
      <c r="F448" s="38" t="s">
        <v>392</v>
      </c>
      <c r="G448" s="38"/>
      <c r="H448" s="53" t="str">
        <f t="shared" si="6"/>
        <v>citation:dave_sloggett-01</v>
      </c>
      <c r="I448" s="54"/>
      <c r="J448" s="38" t="s">
        <v>5380</v>
      </c>
      <c r="K448" s="38" t="s">
        <v>5380</v>
      </c>
      <c r="L448" s="38" t="s">
        <v>5380</v>
      </c>
      <c r="M448" s="69" t="s">
        <v>5384</v>
      </c>
      <c r="N448" s="38"/>
      <c r="O448" s="38"/>
      <c r="P448" s="31"/>
    </row>
    <row r="449" spans="2:16">
      <c r="B449" s="32" t="s">
        <v>2220</v>
      </c>
      <c r="C449" s="39" t="s">
        <v>1551</v>
      </c>
      <c r="D449" s="39" t="s">
        <v>2221</v>
      </c>
      <c r="E449" s="39" t="s">
        <v>3745</v>
      </c>
      <c r="F449" s="39" t="s">
        <v>392</v>
      </c>
      <c r="G449" s="39"/>
      <c r="H449" s="51"/>
      <c r="I449" s="52"/>
      <c r="J449" s="38"/>
      <c r="K449" s="38"/>
      <c r="L449" s="38"/>
      <c r="M449" s="69" t="s">
        <v>5380</v>
      </c>
      <c r="N449" s="39"/>
      <c r="O449" s="39"/>
      <c r="P449" s="34"/>
    </row>
    <row r="450" spans="2:16">
      <c r="B450" s="32" t="s">
        <v>2222</v>
      </c>
      <c r="C450" s="39" t="s">
        <v>2223</v>
      </c>
      <c r="D450" s="39" t="s">
        <v>2224</v>
      </c>
      <c r="E450" s="39" t="s">
        <v>3746</v>
      </c>
      <c r="F450" s="39" t="s">
        <v>535</v>
      </c>
      <c r="G450" s="39"/>
      <c r="H450" s="51" t="str">
        <f t="shared" si="6"/>
        <v>citation:stephan_eidenbenz-01</v>
      </c>
      <c r="I450" s="52"/>
      <c r="J450" s="38" t="s">
        <v>5331</v>
      </c>
      <c r="K450" s="38">
        <v>2395</v>
      </c>
      <c r="L450" s="38">
        <v>24</v>
      </c>
      <c r="M450" s="69" t="s">
        <v>5384</v>
      </c>
      <c r="N450" s="39"/>
      <c r="O450" s="39"/>
      <c r="P450" s="34"/>
    </row>
    <row r="451" spans="2:16">
      <c r="B451" s="30" t="s">
        <v>2225</v>
      </c>
      <c r="C451" s="38" t="s">
        <v>1537</v>
      </c>
      <c r="D451" s="38" t="s">
        <v>2226</v>
      </c>
      <c r="E451" s="38" t="s">
        <v>3747</v>
      </c>
      <c r="F451" s="38" t="s">
        <v>537</v>
      </c>
      <c r="G451" s="38"/>
      <c r="H451" s="53"/>
      <c r="I451" s="54"/>
      <c r="J451" s="38"/>
      <c r="K451" s="38"/>
      <c r="L451" s="38"/>
      <c r="M451" s="69" t="s">
        <v>5380</v>
      </c>
      <c r="N451" s="38"/>
      <c r="O451" s="38"/>
      <c r="P451" s="31"/>
    </row>
    <row r="452" spans="2:16">
      <c r="B452" s="30" t="s">
        <v>2227</v>
      </c>
      <c r="C452" s="38" t="s">
        <v>2228</v>
      </c>
      <c r="D452" s="38" t="s">
        <v>2229</v>
      </c>
      <c r="E452" s="38" t="s">
        <v>3748</v>
      </c>
      <c r="F452" s="38" t="s">
        <v>537</v>
      </c>
      <c r="G452" s="38"/>
      <c r="H452" s="53"/>
      <c r="I452" s="54"/>
      <c r="J452" s="38"/>
      <c r="K452" s="38"/>
      <c r="L452" s="38"/>
      <c r="M452" s="69" t="s">
        <v>5380</v>
      </c>
      <c r="N452" s="38"/>
      <c r="O452" s="38"/>
      <c r="P452" s="31"/>
    </row>
    <row r="453" spans="2:16">
      <c r="B453" s="32" t="s">
        <v>2230</v>
      </c>
      <c r="C453" s="39" t="s">
        <v>1217</v>
      </c>
      <c r="D453" s="39" t="s">
        <v>2231</v>
      </c>
      <c r="E453" s="39" t="s">
        <v>3749</v>
      </c>
      <c r="F453" s="39" t="s">
        <v>537</v>
      </c>
      <c r="G453" s="39"/>
      <c r="H453" s="51" t="str">
        <f t="shared" ref="H453:H513" si="7">"citation:"&amp;B453&amp;"-01"</f>
        <v>citation:mark_klein-01</v>
      </c>
      <c r="I453" s="52"/>
      <c r="J453" s="38" t="s">
        <v>5242</v>
      </c>
      <c r="K453" s="38">
        <v>6989</v>
      </c>
      <c r="L453" s="38">
        <v>39</v>
      </c>
      <c r="M453" s="69" t="s">
        <v>5388</v>
      </c>
      <c r="N453" s="39"/>
      <c r="O453" s="39"/>
      <c r="P453" s="34"/>
    </row>
    <row r="454" spans="2:16">
      <c r="B454" s="30" t="s">
        <v>2232</v>
      </c>
      <c r="C454" s="38" t="s">
        <v>2233</v>
      </c>
      <c r="D454" s="38" t="s">
        <v>2234</v>
      </c>
      <c r="E454" s="38" t="s">
        <v>3750</v>
      </c>
      <c r="F454" s="38" t="s">
        <v>395</v>
      </c>
      <c r="G454" s="38"/>
      <c r="H454" s="53" t="str">
        <f t="shared" si="7"/>
        <v>citation:bryan_parno-01</v>
      </c>
      <c r="I454" s="54"/>
      <c r="J454" s="38" t="s">
        <v>5081</v>
      </c>
      <c r="K454" s="38">
        <v>3852</v>
      </c>
      <c r="L454" s="38">
        <v>24</v>
      </c>
      <c r="M454" s="69" t="s">
        <v>5386</v>
      </c>
      <c r="N454" s="38"/>
      <c r="O454" s="38"/>
      <c r="P454" s="31"/>
    </row>
    <row r="455" spans="2:16">
      <c r="B455" s="30" t="s">
        <v>2235</v>
      </c>
      <c r="C455" s="38" t="s">
        <v>2236</v>
      </c>
      <c r="D455" s="38" t="s">
        <v>2237</v>
      </c>
      <c r="E455" s="38" t="s">
        <v>3751</v>
      </c>
      <c r="F455" s="38" t="s">
        <v>395</v>
      </c>
      <c r="G455" s="38"/>
      <c r="H455" s="53"/>
      <c r="I455" s="54"/>
      <c r="J455" s="38"/>
      <c r="K455" s="38"/>
      <c r="L455" s="38"/>
      <c r="M455" s="69" t="s">
        <v>5380</v>
      </c>
      <c r="N455" s="38"/>
      <c r="O455" s="38"/>
      <c r="P455" s="31"/>
    </row>
    <row r="456" spans="2:16">
      <c r="B456" s="30" t="s">
        <v>2238</v>
      </c>
      <c r="C456" s="38" t="s">
        <v>2239</v>
      </c>
      <c r="D456" s="38" t="s">
        <v>2240</v>
      </c>
      <c r="E456" s="38" t="s">
        <v>3752</v>
      </c>
      <c r="F456" s="38" t="s">
        <v>395</v>
      </c>
      <c r="G456" s="38"/>
      <c r="H456" s="53" t="str">
        <f t="shared" si="7"/>
        <v>citation:moritz_becker-01</v>
      </c>
      <c r="I456" s="54"/>
      <c r="J456" s="38" t="s">
        <v>5380</v>
      </c>
      <c r="K456" s="38" t="s">
        <v>5380</v>
      </c>
      <c r="L456" s="38" t="s">
        <v>5380</v>
      </c>
      <c r="M456" s="69" t="s">
        <v>5386</v>
      </c>
      <c r="N456" s="38"/>
      <c r="O456" s="38"/>
      <c r="P456" s="31"/>
    </row>
    <row r="457" spans="2:16">
      <c r="B457" s="30" t="s">
        <v>2241</v>
      </c>
      <c r="C457" s="38" t="s">
        <v>2242</v>
      </c>
      <c r="D457" s="38" t="s">
        <v>2243</v>
      </c>
      <c r="E457" s="38" t="s">
        <v>3753</v>
      </c>
      <c r="F457" s="38" t="s">
        <v>395</v>
      </c>
      <c r="G457" s="38"/>
      <c r="H457" s="53"/>
      <c r="I457" s="54"/>
      <c r="J457" s="38"/>
      <c r="K457" s="38"/>
      <c r="L457" s="38"/>
      <c r="M457" s="69" t="s">
        <v>5380</v>
      </c>
      <c r="N457" s="38"/>
      <c r="O457" s="38"/>
      <c r="P457" s="31"/>
    </row>
    <row r="458" spans="2:16">
      <c r="B458" s="32" t="s">
        <v>2244</v>
      </c>
      <c r="C458" s="39" t="s">
        <v>2245</v>
      </c>
      <c r="D458" s="39" t="s">
        <v>2246</v>
      </c>
      <c r="E458" s="39" t="s">
        <v>3754</v>
      </c>
      <c r="F458" s="39" t="s">
        <v>395</v>
      </c>
      <c r="G458" s="39"/>
      <c r="H458" s="51"/>
      <c r="I458" s="52"/>
      <c r="J458" s="38"/>
      <c r="K458" s="38"/>
      <c r="L458" s="38"/>
      <c r="M458" s="69" t="s">
        <v>5380</v>
      </c>
      <c r="N458" s="39"/>
      <c r="O458" s="39"/>
      <c r="P458" s="34"/>
    </row>
    <row r="459" spans="2:16">
      <c r="B459" s="30" t="s">
        <v>2247</v>
      </c>
      <c r="C459" s="38" t="s">
        <v>1501</v>
      </c>
      <c r="D459" s="38" t="s">
        <v>2248</v>
      </c>
      <c r="E459" s="38" t="s">
        <v>3755</v>
      </c>
      <c r="F459" s="38" t="s">
        <v>334</v>
      </c>
      <c r="G459" s="38"/>
      <c r="H459" s="53" t="str">
        <f t="shared" si="7"/>
        <v>citation:michael_frame-01</v>
      </c>
      <c r="I459" s="54"/>
      <c r="J459" s="38" t="s">
        <v>5380</v>
      </c>
      <c r="K459" s="38" t="s">
        <v>5380</v>
      </c>
      <c r="L459" s="38" t="s">
        <v>5380</v>
      </c>
      <c r="M459" s="69" t="s">
        <v>5390</v>
      </c>
      <c r="N459" s="38"/>
      <c r="O459" s="38"/>
      <c r="P459" s="31"/>
    </row>
    <row r="460" spans="2:16">
      <c r="B460" s="32" t="s">
        <v>2249</v>
      </c>
      <c r="C460" s="39" t="s">
        <v>2250</v>
      </c>
      <c r="D460" s="39" t="s">
        <v>2251</v>
      </c>
      <c r="E460" s="39" t="s">
        <v>3756</v>
      </c>
      <c r="F460" s="39" t="s">
        <v>334</v>
      </c>
      <c r="G460" s="39"/>
      <c r="H460" s="51" t="str">
        <f t="shared" si="7"/>
        <v>citation:phil_sutton-01</v>
      </c>
      <c r="I460" s="52"/>
      <c r="J460" s="38" t="s">
        <v>5380</v>
      </c>
      <c r="K460" s="38" t="s">
        <v>5380</v>
      </c>
      <c r="L460" s="38" t="s">
        <v>5380</v>
      </c>
      <c r="M460" s="69" t="s">
        <v>5390</v>
      </c>
      <c r="N460" s="39"/>
      <c r="O460" s="39"/>
      <c r="P460" s="34"/>
    </row>
    <row r="461" spans="2:16">
      <c r="B461" s="30" t="s">
        <v>2252</v>
      </c>
      <c r="C461" s="38" t="s">
        <v>2253</v>
      </c>
      <c r="D461" s="38" t="s">
        <v>2254</v>
      </c>
      <c r="E461" s="38" t="s">
        <v>3757</v>
      </c>
      <c r="F461" s="38" t="s">
        <v>540</v>
      </c>
      <c r="G461" s="38"/>
      <c r="H461" s="53" t="str">
        <f t="shared" si="7"/>
        <v>citation:hiroshi_hosobe-01</v>
      </c>
      <c r="I461" s="54"/>
      <c r="J461" s="38" t="s">
        <v>5164</v>
      </c>
      <c r="K461" s="38">
        <v>341</v>
      </c>
      <c r="L461" s="38">
        <v>10</v>
      </c>
      <c r="M461" s="69" t="s">
        <v>5384</v>
      </c>
      <c r="N461" s="38"/>
      <c r="O461" s="38"/>
      <c r="P461" s="31"/>
    </row>
    <row r="462" spans="2:16">
      <c r="B462" s="32" t="s">
        <v>2255</v>
      </c>
      <c r="C462" s="39" t="s">
        <v>2256</v>
      </c>
      <c r="D462" s="39" t="s">
        <v>2257</v>
      </c>
      <c r="E462" s="39" t="s">
        <v>3758</v>
      </c>
      <c r="F462" s="39" t="s">
        <v>540</v>
      </c>
      <c r="G462" s="39"/>
      <c r="H462" s="51" t="str">
        <f t="shared" si="7"/>
        <v>citation:ken_satoh-01</v>
      </c>
      <c r="I462" s="52"/>
      <c r="J462" s="38" t="s">
        <v>5380</v>
      </c>
      <c r="K462" s="38" t="s">
        <v>5380</v>
      </c>
      <c r="L462" s="38" t="s">
        <v>5380</v>
      </c>
      <c r="M462" s="69" t="s">
        <v>5384</v>
      </c>
      <c r="N462" s="39"/>
      <c r="O462" s="39"/>
      <c r="P462" s="34"/>
    </row>
    <row r="463" spans="2:16">
      <c r="B463" s="32" t="s">
        <v>2258</v>
      </c>
      <c r="C463" s="39" t="s">
        <v>2259</v>
      </c>
      <c r="D463" s="39" t="s">
        <v>2260</v>
      </c>
      <c r="E463" s="39" t="s">
        <v>3759</v>
      </c>
      <c r="F463" s="39" t="s">
        <v>543</v>
      </c>
      <c r="G463" s="39"/>
      <c r="H463" s="51" t="str">
        <f t="shared" si="7"/>
        <v>citation:konstantinos_vamvourellis-01</v>
      </c>
      <c r="I463" s="52"/>
      <c r="J463" s="38" t="s">
        <v>5224</v>
      </c>
      <c r="K463" s="38">
        <v>23</v>
      </c>
      <c r="L463" s="38">
        <v>1</v>
      </c>
      <c r="M463" s="69" t="s">
        <v>5385</v>
      </c>
      <c r="N463" s="39"/>
      <c r="O463" s="39"/>
      <c r="P463" s="34"/>
    </row>
    <row r="464" spans="2:16">
      <c r="B464" s="32" t="s">
        <v>2261</v>
      </c>
      <c r="C464" s="39" t="s">
        <v>2262</v>
      </c>
      <c r="D464" s="39" t="s">
        <v>1268</v>
      </c>
      <c r="E464" s="39" t="s">
        <v>3760</v>
      </c>
      <c r="F464" s="39" t="s">
        <v>398</v>
      </c>
      <c r="G464" s="39"/>
      <c r="H464" s="51" t="str">
        <f t="shared" si="7"/>
        <v>citation:juong-sik_lee-01</v>
      </c>
      <c r="I464" s="52"/>
      <c r="J464" s="38" t="s">
        <v>5380</v>
      </c>
      <c r="K464" s="38" t="s">
        <v>5380</v>
      </c>
      <c r="L464" s="38" t="s">
        <v>5380</v>
      </c>
      <c r="M464" s="69" t="s">
        <v>5387</v>
      </c>
      <c r="N464" s="39"/>
      <c r="O464" s="39"/>
      <c r="P464" s="34"/>
    </row>
    <row r="465" spans="2:16">
      <c r="B465" s="28" t="s">
        <v>2263</v>
      </c>
      <c r="C465" s="37" t="s">
        <v>3761</v>
      </c>
      <c r="D465" s="37" t="s">
        <v>1492</v>
      </c>
      <c r="E465" s="37" t="s">
        <v>3762</v>
      </c>
      <c r="F465" s="37" t="s">
        <v>546</v>
      </c>
      <c r="G465" s="37"/>
      <c r="H465" s="49" t="str">
        <f t="shared" si="7"/>
        <v>citation:chung_wei_hang-01</v>
      </c>
      <c r="I465" s="50"/>
      <c r="J465" s="38" t="s">
        <v>5099</v>
      </c>
      <c r="K465" s="38">
        <v>411</v>
      </c>
      <c r="L465" s="38">
        <v>9</v>
      </c>
      <c r="M465" s="69" t="s">
        <v>5388</v>
      </c>
      <c r="N465" s="37"/>
      <c r="O465" s="37"/>
      <c r="P465" s="29"/>
    </row>
    <row r="466" spans="2:16">
      <c r="B466" s="32" t="s">
        <v>2264</v>
      </c>
      <c r="C466" s="39" t="s">
        <v>2265</v>
      </c>
      <c r="D466" s="39" t="s">
        <v>1514</v>
      </c>
      <c r="E466" s="39" t="s">
        <v>3763</v>
      </c>
      <c r="F466" s="39" t="s">
        <v>546</v>
      </c>
      <c r="G466" s="39"/>
      <c r="H466" s="51" t="str">
        <f t="shared" si="7"/>
        <v>citation:munindar_singh-01</v>
      </c>
      <c r="I466" s="52"/>
      <c r="J466" s="38" t="s">
        <v>5259</v>
      </c>
      <c r="K466" s="38">
        <v>18063</v>
      </c>
      <c r="L466" s="38">
        <v>62</v>
      </c>
      <c r="M466" s="69" t="s">
        <v>5388</v>
      </c>
      <c r="N466" s="39"/>
      <c r="O466" s="39"/>
      <c r="P466" s="34"/>
    </row>
    <row r="467" spans="2:16">
      <c r="B467" s="32" t="s">
        <v>2266</v>
      </c>
      <c r="C467" s="39" t="s">
        <v>2267</v>
      </c>
      <c r="D467" s="39" t="s">
        <v>2268</v>
      </c>
      <c r="E467" s="39" t="s">
        <v>3764</v>
      </c>
      <c r="F467" s="39" t="s">
        <v>549</v>
      </c>
      <c r="G467" s="39"/>
      <c r="H467" s="51"/>
      <c r="I467" s="52"/>
      <c r="J467" s="38"/>
      <c r="K467" s="38"/>
      <c r="L467" s="38"/>
      <c r="M467" s="69" t="s">
        <v>5380</v>
      </c>
      <c r="N467" s="39"/>
      <c r="O467" s="39"/>
      <c r="P467" s="34"/>
    </row>
    <row r="468" spans="2:16">
      <c r="B468" s="32" t="s">
        <v>2269</v>
      </c>
      <c r="C468" s="39" t="s">
        <v>2270</v>
      </c>
      <c r="D468" s="39" t="s">
        <v>2271</v>
      </c>
      <c r="E468" s="39" t="s">
        <v>3765</v>
      </c>
      <c r="F468" s="39" t="s">
        <v>552</v>
      </c>
      <c r="G468" s="39"/>
      <c r="H468" s="51" t="str">
        <f t="shared" si="7"/>
        <v>citation:arosha_bandara-01</v>
      </c>
      <c r="I468" s="52"/>
      <c r="J468" s="38" t="s">
        <v>5063</v>
      </c>
      <c r="K468" s="38">
        <v>1264</v>
      </c>
      <c r="L468" s="38">
        <v>18</v>
      </c>
      <c r="M468" s="69" t="s">
        <v>5384</v>
      </c>
      <c r="N468" s="39"/>
      <c r="O468" s="39"/>
      <c r="P468" s="34"/>
    </row>
    <row r="469" spans="2:16">
      <c r="B469" s="32" t="s">
        <v>2272</v>
      </c>
      <c r="C469" s="39" t="s">
        <v>2273</v>
      </c>
      <c r="D469" s="39" t="s">
        <v>2274</v>
      </c>
      <c r="E469" s="39" t="s">
        <v>3766</v>
      </c>
      <c r="F469" s="39" t="s">
        <v>555</v>
      </c>
      <c r="G469" s="39"/>
      <c r="H469" s="51"/>
      <c r="I469" s="52"/>
      <c r="J469" s="38"/>
      <c r="K469" s="38"/>
      <c r="L469" s="38"/>
      <c r="M469" s="69" t="s">
        <v>5380</v>
      </c>
      <c r="N469" s="39"/>
      <c r="O469" s="39"/>
      <c r="P469" s="34"/>
    </row>
    <row r="470" spans="2:16">
      <c r="B470" s="30" t="s">
        <v>2275</v>
      </c>
      <c r="C470" s="38" t="s">
        <v>1214</v>
      </c>
      <c r="D470" s="38" t="s">
        <v>1493</v>
      </c>
      <c r="E470" s="38" t="s">
        <v>3767</v>
      </c>
      <c r="F470" s="38" t="s">
        <v>557</v>
      </c>
      <c r="G470" s="38"/>
      <c r="H470" s="53" t="str">
        <f t="shared" si="7"/>
        <v>citation:jun_zhao-01</v>
      </c>
      <c r="I470" s="54"/>
      <c r="J470" s="38" t="s">
        <v>5216</v>
      </c>
      <c r="K470" s="38">
        <v>2395</v>
      </c>
      <c r="L470" s="38">
        <v>24</v>
      </c>
      <c r="M470" s="69" t="s">
        <v>5391</v>
      </c>
      <c r="N470" s="38"/>
      <c r="O470" s="38"/>
      <c r="P470" s="31"/>
    </row>
    <row r="471" spans="2:16">
      <c r="B471" s="30" t="s">
        <v>2276</v>
      </c>
      <c r="C471" s="38" t="s">
        <v>2277</v>
      </c>
      <c r="D471" s="38" t="s">
        <v>2278</v>
      </c>
      <c r="E471" s="38" t="s">
        <v>3768</v>
      </c>
      <c r="F471" s="38" t="s">
        <v>557</v>
      </c>
      <c r="G471" s="38"/>
      <c r="H471" s="53"/>
      <c r="I471" s="54"/>
      <c r="J471" s="38"/>
      <c r="K471" s="38"/>
      <c r="L471" s="38"/>
      <c r="M471" s="69" t="s">
        <v>5380</v>
      </c>
      <c r="N471" s="38"/>
      <c r="O471" s="38"/>
      <c r="P471" s="31"/>
    </row>
    <row r="472" spans="2:16">
      <c r="B472" s="32" t="s">
        <v>2279</v>
      </c>
      <c r="C472" s="39" t="s">
        <v>1183</v>
      </c>
      <c r="D472" s="39" t="s">
        <v>1458</v>
      </c>
      <c r="E472" s="39" t="s">
        <v>3769</v>
      </c>
      <c r="F472" s="39" t="s">
        <v>557</v>
      </c>
      <c r="G472" s="39"/>
      <c r="H472" s="51"/>
      <c r="I472" s="52"/>
      <c r="J472" s="38"/>
      <c r="K472" s="38"/>
      <c r="L472" s="38"/>
      <c r="M472" s="69" t="s">
        <v>5380</v>
      </c>
      <c r="N472" s="39"/>
      <c r="O472" s="39"/>
      <c r="P472" s="34"/>
    </row>
    <row r="473" spans="2:16">
      <c r="B473" s="32" t="s">
        <v>2280</v>
      </c>
      <c r="C473" s="39" t="s">
        <v>2281</v>
      </c>
      <c r="D473" s="39" t="s">
        <v>2282</v>
      </c>
      <c r="E473" s="39" t="s">
        <v>3770</v>
      </c>
      <c r="F473" s="39" t="s">
        <v>560</v>
      </c>
      <c r="G473" s="39"/>
      <c r="H473" s="51" t="str">
        <f t="shared" si="7"/>
        <v>citation:gonul_ayci-01</v>
      </c>
      <c r="I473" s="52"/>
      <c r="J473" s="38" t="s">
        <v>5153</v>
      </c>
      <c r="K473" s="38">
        <v>1</v>
      </c>
      <c r="L473" s="38">
        <v>1</v>
      </c>
      <c r="M473" s="69" t="s">
        <v>5390</v>
      </c>
      <c r="N473" s="39"/>
      <c r="O473" s="39"/>
      <c r="P473" s="34"/>
    </row>
    <row r="474" spans="2:16">
      <c r="B474" s="32" t="s">
        <v>2283</v>
      </c>
      <c r="C474" s="39" t="s">
        <v>2284</v>
      </c>
      <c r="D474" s="39" t="s">
        <v>2285</v>
      </c>
      <c r="E474" s="39" t="s">
        <v>3771</v>
      </c>
      <c r="F474" s="39" t="s">
        <v>401</v>
      </c>
      <c r="G474" s="39"/>
      <c r="H474" s="51"/>
      <c r="I474" s="52"/>
      <c r="J474" s="38"/>
      <c r="K474" s="38"/>
      <c r="L474" s="38"/>
      <c r="M474" s="69" t="s">
        <v>5380</v>
      </c>
      <c r="N474" s="39"/>
      <c r="O474" s="39"/>
      <c r="P474" s="34"/>
    </row>
    <row r="475" spans="2:16">
      <c r="B475" s="30" t="s">
        <v>2286</v>
      </c>
      <c r="C475" s="38" t="s">
        <v>2287</v>
      </c>
      <c r="D475" s="38" t="s">
        <v>2288</v>
      </c>
      <c r="E475" s="38" t="s">
        <v>3772</v>
      </c>
      <c r="F475" s="38" t="s">
        <v>265</v>
      </c>
      <c r="G475" s="38"/>
      <c r="H475" s="53"/>
      <c r="I475" s="54"/>
      <c r="J475" s="38"/>
      <c r="K475" s="38"/>
      <c r="L475" s="38"/>
      <c r="M475" s="69" t="s">
        <v>5380</v>
      </c>
      <c r="N475" s="38"/>
      <c r="O475" s="38"/>
      <c r="P475" s="31"/>
    </row>
    <row r="476" spans="2:16">
      <c r="B476" s="30" t="s">
        <v>2289</v>
      </c>
      <c r="C476" s="38" t="s">
        <v>2290</v>
      </c>
      <c r="D476" s="38" t="s">
        <v>2291</v>
      </c>
      <c r="E476" s="38" t="s">
        <v>3773</v>
      </c>
      <c r="F476" s="38" t="s">
        <v>265</v>
      </c>
      <c r="G476" s="38"/>
      <c r="H476" s="53"/>
      <c r="I476" s="54"/>
      <c r="J476" s="38"/>
      <c r="K476" s="38"/>
      <c r="L476" s="38"/>
      <c r="M476" s="69" t="s">
        <v>5380</v>
      </c>
      <c r="N476" s="38"/>
      <c r="O476" s="38"/>
      <c r="P476" s="31"/>
    </row>
    <row r="477" spans="2:16">
      <c r="B477" s="30" t="s">
        <v>2292</v>
      </c>
      <c r="C477" s="38" t="s">
        <v>2293</v>
      </c>
      <c r="D477" s="38" t="s">
        <v>2294</v>
      </c>
      <c r="E477" s="38" t="s">
        <v>3774</v>
      </c>
      <c r="F477" s="38" t="s">
        <v>265</v>
      </c>
      <c r="G477" s="38"/>
      <c r="H477" s="53" t="str">
        <f t="shared" si="7"/>
        <v>citation:brett_holbert-01</v>
      </c>
      <c r="I477" s="54"/>
      <c r="J477" s="38" t="s">
        <v>5380</v>
      </c>
      <c r="K477" s="38" t="s">
        <v>5380</v>
      </c>
      <c r="L477" s="38" t="s">
        <v>5380</v>
      </c>
      <c r="M477" s="69" t="s">
        <v>5391</v>
      </c>
      <c r="N477" s="38"/>
      <c r="O477" s="38"/>
      <c r="P477" s="31"/>
    </row>
    <row r="478" spans="2:16">
      <c r="B478" s="30" t="s">
        <v>2295</v>
      </c>
      <c r="C478" s="38" t="s">
        <v>2296</v>
      </c>
      <c r="D478" s="38" t="s">
        <v>2297</v>
      </c>
      <c r="E478" s="38" t="s">
        <v>3775</v>
      </c>
      <c r="F478" s="38" t="s">
        <v>265</v>
      </c>
      <c r="G478" s="38"/>
      <c r="H478" s="53" t="str">
        <f t="shared" si="7"/>
        <v>citation:chao-hsien_chu-01</v>
      </c>
      <c r="I478" s="54"/>
      <c r="J478" s="38" t="s">
        <v>5085</v>
      </c>
      <c r="K478" s="38">
        <v>2930</v>
      </c>
      <c r="L478" s="38">
        <v>29</v>
      </c>
      <c r="M478" s="69" t="s">
        <v>5386</v>
      </c>
      <c r="N478" s="38"/>
      <c r="O478" s="38"/>
      <c r="P478" s="31"/>
    </row>
    <row r="479" spans="2:16">
      <c r="B479" s="30" t="s">
        <v>2298</v>
      </c>
      <c r="C479" s="38" t="s">
        <v>1273</v>
      </c>
      <c r="D479" s="38" t="s">
        <v>2299</v>
      </c>
      <c r="E479" s="38" t="s">
        <v>3776</v>
      </c>
      <c r="F479" s="38" t="s">
        <v>265</v>
      </c>
      <c r="G479" s="38"/>
      <c r="H479" s="53" t="str">
        <f t="shared" si="7"/>
        <v>citation:don_shemanski-01</v>
      </c>
      <c r="I479" s="54"/>
      <c r="J479" s="38" t="s">
        <v>5380</v>
      </c>
      <c r="K479" s="38" t="s">
        <v>5380</v>
      </c>
      <c r="L479" s="38" t="s">
        <v>5380</v>
      </c>
      <c r="M479" s="69" t="s">
        <v>5388</v>
      </c>
      <c r="N479" s="38"/>
      <c r="O479" s="38"/>
      <c r="P479" s="31"/>
    </row>
    <row r="480" spans="2:16">
      <c r="B480" s="30" t="s">
        <v>2300</v>
      </c>
      <c r="C480" s="38" t="s">
        <v>2301</v>
      </c>
      <c r="D480" s="38" t="s">
        <v>1268</v>
      </c>
      <c r="E480" s="38" t="s">
        <v>3777</v>
      </c>
      <c r="F480" s="38" t="s">
        <v>265</v>
      </c>
      <c r="G480" s="38"/>
      <c r="H480" s="53" t="str">
        <f t="shared" si="7"/>
        <v>citation:dongwon_lee-01</v>
      </c>
      <c r="I480" s="54"/>
      <c r="J480" s="38" t="s">
        <v>5120</v>
      </c>
      <c r="K480" s="38">
        <v>7900</v>
      </c>
      <c r="L480" s="38">
        <v>36</v>
      </c>
      <c r="M480" s="69" t="s">
        <v>5385</v>
      </c>
      <c r="N480" s="38"/>
      <c r="O480" s="38"/>
      <c r="P480" s="31"/>
    </row>
    <row r="481" spans="2:16">
      <c r="B481" s="30" t="s">
        <v>2302</v>
      </c>
      <c r="C481" s="38" t="s">
        <v>2303</v>
      </c>
      <c r="D481" s="38" t="s">
        <v>2304</v>
      </c>
      <c r="E481" s="38" t="s">
        <v>3778</v>
      </c>
      <c r="F481" s="38" t="s">
        <v>265</v>
      </c>
      <c r="G481" s="38"/>
      <c r="H481" s="53" t="str">
        <f t="shared" si="7"/>
        <v>citation:fangfei_chen-01</v>
      </c>
      <c r="I481" s="54"/>
      <c r="J481" s="38" t="s">
        <v>5136</v>
      </c>
      <c r="K481" s="38">
        <v>176</v>
      </c>
      <c r="L481" s="38">
        <v>6</v>
      </c>
      <c r="M481" s="69" t="s">
        <v>5384</v>
      </c>
      <c r="N481" s="38"/>
      <c r="O481" s="38"/>
      <c r="P481" s="31"/>
    </row>
    <row r="482" spans="2:16">
      <c r="B482" s="30" t="s">
        <v>2305</v>
      </c>
      <c r="C482" s="38" t="s">
        <v>2306</v>
      </c>
      <c r="D482" s="38" t="s">
        <v>2307</v>
      </c>
      <c r="E482" s="38" t="s">
        <v>3779</v>
      </c>
      <c r="F482" s="38" t="s">
        <v>265</v>
      </c>
      <c r="G482" s="38"/>
      <c r="H482" s="53" t="str">
        <f t="shared" si="7"/>
        <v>citation:guohong_cao-01</v>
      </c>
      <c r="I482" s="54"/>
      <c r="J482" s="38" t="s">
        <v>5155</v>
      </c>
      <c r="K482" s="38">
        <v>14449</v>
      </c>
      <c r="L482" s="38">
        <v>61</v>
      </c>
      <c r="M482" s="69" t="s">
        <v>5386</v>
      </c>
      <c r="N482" s="38"/>
      <c r="O482" s="38"/>
      <c r="P482" s="31"/>
    </row>
    <row r="483" spans="2:16">
      <c r="B483" s="30" t="s">
        <v>2308</v>
      </c>
      <c r="C483" s="38" t="s">
        <v>2309</v>
      </c>
      <c r="D483" s="38" t="s">
        <v>1657</v>
      </c>
      <c r="E483" s="38" t="s">
        <v>3780</v>
      </c>
      <c r="F483" s="38" t="s">
        <v>265</v>
      </c>
      <c r="G483" s="38"/>
      <c r="H483" s="53"/>
      <c r="I483" s="54"/>
      <c r="J483" s="38"/>
      <c r="K483" s="38"/>
      <c r="L483" s="38"/>
      <c r="M483" s="69" t="s">
        <v>5380</v>
      </c>
      <c r="N483" s="38"/>
      <c r="O483" s="38"/>
      <c r="P483" s="31"/>
    </row>
    <row r="484" spans="2:16">
      <c r="B484" s="30" t="s">
        <v>2310</v>
      </c>
      <c r="C484" s="38" t="s">
        <v>2311</v>
      </c>
      <c r="D484" s="38" t="s">
        <v>2312</v>
      </c>
      <c r="E484" s="38" t="s">
        <v>3781</v>
      </c>
      <c r="F484" s="38" t="s">
        <v>265</v>
      </c>
      <c r="G484" s="38"/>
      <c r="H484" s="53" t="str">
        <f t="shared" si="7"/>
        <v>citation:hosam_rowaihy-01</v>
      </c>
      <c r="I484" s="54"/>
      <c r="J484" s="38" t="s">
        <v>5169</v>
      </c>
      <c r="K484" s="38">
        <v>601</v>
      </c>
      <c r="L484" s="38">
        <v>13</v>
      </c>
      <c r="M484" s="69" t="s">
        <v>5385</v>
      </c>
      <c r="N484" s="38"/>
      <c r="O484" s="38"/>
      <c r="P484" s="31"/>
    </row>
    <row r="485" spans="2:16">
      <c r="B485" s="30" t="s">
        <v>2313</v>
      </c>
      <c r="C485" s="38" t="s">
        <v>2314</v>
      </c>
      <c r="D485" s="38" t="s">
        <v>2315</v>
      </c>
      <c r="E485" s="38" t="s">
        <v>3782</v>
      </c>
      <c r="F485" s="38" t="s">
        <v>265</v>
      </c>
      <c r="G485" s="38"/>
      <c r="H485" s="53"/>
      <c r="I485" s="54"/>
      <c r="J485" s="38"/>
      <c r="K485" s="38"/>
      <c r="L485" s="38"/>
      <c r="M485" s="69" t="s">
        <v>5380</v>
      </c>
      <c r="N485" s="38"/>
      <c r="O485" s="38"/>
      <c r="P485" s="31"/>
    </row>
    <row r="486" spans="2:16">
      <c r="B486" s="30" t="s">
        <v>2316</v>
      </c>
      <c r="C486" s="38" t="s">
        <v>1151</v>
      </c>
      <c r="D486" s="38" t="s">
        <v>2317</v>
      </c>
      <c r="E486" s="38" t="s">
        <v>3783</v>
      </c>
      <c r="F486" s="38" t="s">
        <v>265</v>
      </c>
      <c r="G486" s="38"/>
      <c r="H486" s="53" t="str">
        <f t="shared" si="7"/>
        <v>citation:james_edwards-01</v>
      </c>
      <c r="I486" s="54"/>
      <c r="J486" s="38" t="s">
        <v>5380</v>
      </c>
      <c r="K486" s="38" t="s">
        <v>5380</v>
      </c>
      <c r="L486" s="38" t="s">
        <v>5380</v>
      </c>
      <c r="M486" s="69" t="s">
        <v>5387</v>
      </c>
      <c r="N486" s="38"/>
      <c r="O486" s="38"/>
      <c r="P486" s="31"/>
    </row>
    <row r="487" spans="2:16">
      <c r="B487" s="30" t="s">
        <v>2318</v>
      </c>
      <c r="C487" s="38" t="s">
        <v>2319</v>
      </c>
      <c r="D487" s="38" t="s">
        <v>1493</v>
      </c>
      <c r="E487" s="38" t="s">
        <v>3784</v>
      </c>
      <c r="F487" s="38" t="s">
        <v>265</v>
      </c>
      <c r="G487" s="38"/>
      <c r="H487" s="53" t="str">
        <f t="shared" si="7"/>
        <v>citation:mingyi_zhao-01</v>
      </c>
      <c r="I487" s="54"/>
      <c r="J487" s="38" t="s">
        <v>5380</v>
      </c>
      <c r="K487" s="38" t="s">
        <v>5380</v>
      </c>
      <c r="L487" s="38" t="s">
        <v>5380</v>
      </c>
      <c r="M487" s="69" t="s">
        <v>5387</v>
      </c>
      <c r="N487" s="38"/>
      <c r="O487" s="38"/>
      <c r="P487" s="31"/>
    </row>
    <row r="488" spans="2:16">
      <c r="B488" s="30" t="s">
        <v>2320</v>
      </c>
      <c r="C488" s="38" t="s">
        <v>2321</v>
      </c>
      <c r="D488" s="38" t="s">
        <v>2035</v>
      </c>
      <c r="E488" s="38" t="s">
        <v>3785</v>
      </c>
      <c r="F488" s="38" t="s">
        <v>265</v>
      </c>
      <c r="G488" s="38"/>
      <c r="H488" s="53" t="str">
        <f t="shared" si="7"/>
        <v>citation:nan_hu-01</v>
      </c>
      <c r="I488" s="54"/>
      <c r="J488" s="38" t="s">
        <v>5380</v>
      </c>
      <c r="K488" s="38" t="s">
        <v>5380</v>
      </c>
      <c r="L488" s="38" t="s">
        <v>5380</v>
      </c>
      <c r="M488" s="69" t="s">
        <v>5387</v>
      </c>
      <c r="N488" s="38"/>
      <c r="O488" s="38"/>
      <c r="P488" s="31"/>
    </row>
    <row r="489" spans="2:16">
      <c r="B489" s="30" t="s">
        <v>2322</v>
      </c>
      <c r="C489" s="38" t="s">
        <v>102</v>
      </c>
      <c r="D489" s="38" t="s">
        <v>2323</v>
      </c>
      <c r="E489" s="38" t="s">
        <v>3786</v>
      </c>
      <c r="F489" s="38" t="s">
        <v>265</v>
      </c>
      <c r="G489" s="38"/>
      <c r="H489" s="53" t="str">
        <f t="shared" si="7"/>
        <v>citation:patrick_mcdaniel-01</v>
      </c>
      <c r="I489" s="54"/>
      <c r="J489" s="38" t="s">
        <v>5277</v>
      </c>
      <c r="K489" s="38">
        <v>10018</v>
      </c>
      <c r="L489" s="38">
        <v>44</v>
      </c>
      <c r="M489" s="69" t="s">
        <v>5391</v>
      </c>
      <c r="N489" s="38"/>
      <c r="O489" s="38"/>
      <c r="P489" s="31"/>
    </row>
    <row r="490" spans="2:16">
      <c r="B490" s="30" t="s">
        <v>2324</v>
      </c>
      <c r="C490" s="38" t="s">
        <v>1193</v>
      </c>
      <c r="D490" s="38" t="s">
        <v>1406</v>
      </c>
      <c r="E490" s="38" t="s">
        <v>3787</v>
      </c>
      <c r="F490" s="38" t="s">
        <v>265</v>
      </c>
      <c r="G490" s="38"/>
      <c r="H490" s="53" t="str">
        <f t="shared" si="7"/>
        <v>citation:peng_liu-01</v>
      </c>
      <c r="I490" s="54"/>
      <c r="J490" s="38" t="s">
        <v>5281</v>
      </c>
      <c r="K490" s="38">
        <v>5092</v>
      </c>
      <c r="L490" s="38">
        <v>32</v>
      </c>
      <c r="M490" s="69" t="s">
        <v>5388</v>
      </c>
      <c r="N490" s="38"/>
      <c r="O490" s="38"/>
      <c r="P490" s="31"/>
    </row>
    <row r="491" spans="2:16">
      <c r="B491" s="30" t="s">
        <v>2325</v>
      </c>
      <c r="C491" s="38" t="s">
        <v>2326</v>
      </c>
      <c r="D491" s="38" t="s">
        <v>2327</v>
      </c>
      <c r="E491" s="38" t="s">
        <v>3788</v>
      </c>
      <c r="F491" s="38" t="s">
        <v>265</v>
      </c>
      <c r="G491" s="38"/>
      <c r="H491" s="53" t="str">
        <f t="shared" si="7"/>
        <v>citation:qiang_zeng-01</v>
      </c>
      <c r="I491" s="54"/>
      <c r="J491" s="38" t="s">
        <v>5380</v>
      </c>
      <c r="K491" s="38" t="s">
        <v>5380</v>
      </c>
      <c r="L491" s="38" t="s">
        <v>5380</v>
      </c>
      <c r="M491" s="69" t="s">
        <v>5387</v>
      </c>
      <c r="N491" s="38"/>
      <c r="O491" s="38"/>
      <c r="P491" s="31"/>
    </row>
    <row r="492" spans="2:16">
      <c r="B492" s="30" t="s">
        <v>2328</v>
      </c>
      <c r="C492" s="38" t="s">
        <v>2329</v>
      </c>
      <c r="D492" s="38" t="s">
        <v>2330</v>
      </c>
      <c r="E492" s="38" t="s">
        <v>3789</v>
      </c>
      <c r="F492" s="38" t="s">
        <v>265</v>
      </c>
      <c r="G492" s="38"/>
      <c r="H492" s="53" t="str">
        <f t="shared" si="7"/>
        <v>citation:raju_kumar-01</v>
      </c>
      <c r="I492" s="54"/>
      <c r="J492" s="38" t="s">
        <v>5380</v>
      </c>
      <c r="K492" s="38" t="s">
        <v>5380</v>
      </c>
      <c r="L492" s="38" t="s">
        <v>5380</v>
      </c>
      <c r="M492" s="69" t="s">
        <v>5387</v>
      </c>
      <c r="N492" s="38"/>
      <c r="O492" s="38"/>
      <c r="P492" s="31"/>
    </row>
    <row r="493" spans="2:16">
      <c r="B493" s="30" t="s">
        <v>2331</v>
      </c>
      <c r="C493" s="38" t="s">
        <v>1137</v>
      </c>
      <c r="D493" s="38" t="s">
        <v>2332</v>
      </c>
      <c r="E493" s="38" t="s">
        <v>3790</v>
      </c>
      <c r="F493" s="38" t="s">
        <v>265</v>
      </c>
      <c r="G493" s="38"/>
      <c r="H493" s="53" t="str">
        <f t="shared" si="7"/>
        <v>citation:scott_rager-01</v>
      </c>
      <c r="I493" s="54"/>
      <c r="J493" s="38" t="s">
        <v>5311</v>
      </c>
      <c r="K493" s="38">
        <v>16</v>
      </c>
      <c r="L493" s="38">
        <v>2</v>
      </c>
      <c r="M493" s="69" t="s">
        <v>5386</v>
      </c>
      <c r="N493" s="38"/>
      <c r="O493" s="38"/>
      <c r="P493" s="31"/>
    </row>
    <row r="494" spans="2:16">
      <c r="B494" s="30" t="s">
        <v>2333</v>
      </c>
      <c r="C494" s="38" t="s">
        <v>2334</v>
      </c>
      <c r="D494" s="38" t="s">
        <v>2335</v>
      </c>
      <c r="E494" s="38" t="s">
        <v>3791</v>
      </c>
      <c r="F494" s="38" t="s">
        <v>265</v>
      </c>
      <c r="G494" s="38"/>
      <c r="H494" s="53"/>
      <c r="I494" s="54"/>
      <c r="J494" s="38"/>
      <c r="K494" s="38"/>
      <c r="L494" s="38"/>
      <c r="M494" s="69" t="s">
        <v>5380</v>
      </c>
      <c r="N494" s="38"/>
      <c r="O494" s="38"/>
      <c r="P494" s="31"/>
    </row>
    <row r="495" spans="2:16">
      <c r="B495" s="30" t="s">
        <v>2336</v>
      </c>
      <c r="C495" s="38" t="s">
        <v>2337</v>
      </c>
      <c r="D495" s="38" t="s">
        <v>2338</v>
      </c>
      <c r="E495" s="38" t="s">
        <v>3792</v>
      </c>
      <c r="F495" s="38" t="s">
        <v>265</v>
      </c>
      <c r="G495" s="38"/>
      <c r="H495" s="53" t="str">
        <f t="shared" si="7"/>
        <v>citation:sharanya_eswaran-01</v>
      </c>
      <c r="I495" s="54"/>
      <c r="J495" s="38" t="s">
        <v>5380</v>
      </c>
      <c r="K495" s="38" t="s">
        <v>5380</v>
      </c>
      <c r="L495" s="38" t="s">
        <v>5380</v>
      </c>
      <c r="M495" s="69" t="s">
        <v>5385</v>
      </c>
      <c r="N495" s="38"/>
      <c r="O495" s="38"/>
      <c r="P495" s="31"/>
    </row>
    <row r="496" spans="2:16">
      <c r="B496" s="30" t="s">
        <v>2339</v>
      </c>
      <c r="C496" s="38" t="s">
        <v>2340</v>
      </c>
      <c r="D496" s="38" t="s">
        <v>2341</v>
      </c>
      <c r="E496" s="38" t="s">
        <v>3793</v>
      </c>
      <c r="F496" s="38" t="s">
        <v>265</v>
      </c>
      <c r="G496" s="38"/>
      <c r="H496" s="53" t="str">
        <f t="shared" si="7"/>
        <v>citation:simone_silvestri-01</v>
      </c>
      <c r="I496" s="54"/>
      <c r="J496" s="38" t="s">
        <v>5327</v>
      </c>
      <c r="K496" s="38">
        <v>291</v>
      </c>
      <c r="L496" s="38">
        <v>10</v>
      </c>
      <c r="M496" s="69" t="s">
        <v>5387</v>
      </c>
      <c r="N496" s="38"/>
      <c r="O496" s="38"/>
      <c r="P496" s="31"/>
    </row>
    <row r="497" spans="2:16">
      <c r="B497" s="30" t="s">
        <v>2342</v>
      </c>
      <c r="C497" s="38" t="s">
        <v>2343</v>
      </c>
      <c r="D497" s="38" t="s">
        <v>2344</v>
      </c>
      <c r="E497" s="38" t="s">
        <v>3794</v>
      </c>
      <c r="F497" s="38" t="s">
        <v>265</v>
      </c>
      <c r="G497" s="38"/>
      <c r="H497" s="53" t="str">
        <f t="shared" si="7"/>
        <v>citation:srikar_tati-01</v>
      </c>
      <c r="I497" s="54"/>
      <c r="J497" s="38" t="s">
        <v>5330</v>
      </c>
      <c r="K497" s="38">
        <v>41</v>
      </c>
      <c r="L497" s="38">
        <v>3</v>
      </c>
      <c r="M497" s="69" t="s">
        <v>5387</v>
      </c>
      <c r="N497" s="38"/>
      <c r="O497" s="38"/>
      <c r="P497" s="31"/>
    </row>
    <row r="498" spans="2:16">
      <c r="B498" s="30" t="s">
        <v>281</v>
      </c>
      <c r="C498" s="38" t="s">
        <v>1683</v>
      </c>
      <c r="D498" s="38" t="s">
        <v>3795</v>
      </c>
      <c r="E498" s="38" t="s">
        <v>3796</v>
      </c>
      <c r="F498" s="38" t="s">
        <v>265</v>
      </c>
      <c r="G498" s="38" t="s">
        <v>3290</v>
      </c>
      <c r="H498" s="53" t="str">
        <f t="shared" si="7"/>
        <v>citation:thomas_laporta-01</v>
      </c>
      <c r="I498" s="54"/>
      <c r="J498" s="38" t="s">
        <v>5346</v>
      </c>
      <c r="K498" s="38">
        <v>10746</v>
      </c>
      <c r="L498" s="38">
        <v>53</v>
      </c>
      <c r="M498" s="69" t="s">
        <v>5384</v>
      </c>
      <c r="N498" s="38"/>
      <c r="O498" s="38"/>
      <c r="P498" s="31"/>
    </row>
    <row r="499" spans="2:16">
      <c r="B499" s="32" t="s">
        <v>2345</v>
      </c>
      <c r="C499" s="39" t="s">
        <v>1435</v>
      </c>
      <c r="D499" s="39" t="s">
        <v>2346</v>
      </c>
      <c r="E499" s="39" t="s">
        <v>3797</v>
      </c>
      <c r="F499" s="39" t="s">
        <v>265</v>
      </c>
      <c r="G499" s="39"/>
      <c r="H499" s="51"/>
      <c r="I499" s="52"/>
      <c r="J499" s="38"/>
      <c r="K499" s="38"/>
      <c r="L499" s="38"/>
      <c r="M499" s="69" t="s">
        <v>5380</v>
      </c>
      <c r="N499" s="39"/>
      <c r="O499" s="39"/>
      <c r="P499" s="34"/>
    </row>
    <row r="500" spans="2:16">
      <c r="B500" s="44" t="s">
        <v>2347</v>
      </c>
      <c r="C500" s="45" t="s">
        <v>1106</v>
      </c>
      <c r="D500" s="45" t="s">
        <v>2348</v>
      </c>
      <c r="E500" s="45" t="s">
        <v>3798</v>
      </c>
      <c r="F500" s="45" t="s">
        <v>566</v>
      </c>
      <c r="G500" s="45"/>
      <c r="H500" s="46"/>
      <c r="I500" s="47"/>
      <c r="J500" s="38"/>
      <c r="K500" s="38"/>
      <c r="L500" s="38"/>
      <c r="M500" s="69" t="s">
        <v>5380</v>
      </c>
      <c r="N500" s="45"/>
      <c r="O500" s="45"/>
      <c r="P500" s="48"/>
    </row>
    <row r="501" spans="2:16">
      <c r="B501" s="30" t="s">
        <v>2349</v>
      </c>
      <c r="C501" s="38" t="s">
        <v>2350</v>
      </c>
      <c r="D501" s="38" t="s">
        <v>1406</v>
      </c>
      <c r="E501" s="38" t="s">
        <v>3799</v>
      </c>
      <c r="F501" s="38" t="s">
        <v>568</v>
      </c>
      <c r="G501" s="38"/>
      <c r="H501" s="53"/>
      <c r="I501" s="54"/>
      <c r="J501" s="38"/>
      <c r="K501" s="38"/>
      <c r="L501" s="38"/>
      <c r="M501" s="69" t="s">
        <v>5380</v>
      </c>
      <c r="N501" s="38"/>
      <c r="O501" s="38"/>
      <c r="P501" s="31"/>
    </row>
    <row r="502" spans="2:16">
      <c r="B502" s="30" t="s">
        <v>2351</v>
      </c>
      <c r="C502" s="38" t="s">
        <v>1145</v>
      </c>
      <c r="D502" s="38" t="s">
        <v>2352</v>
      </c>
      <c r="E502" s="38" t="s">
        <v>3800</v>
      </c>
      <c r="F502" s="38" t="s">
        <v>568</v>
      </c>
      <c r="G502" s="38"/>
      <c r="H502" s="53" t="str">
        <f t="shared" si="7"/>
        <v>citation:jennifer_rexford-01</v>
      </c>
      <c r="I502" s="54"/>
      <c r="J502" s="38" t="s">
        <v>5188</v>
      </c>
      <c r="K502" s="38">
        <v>25573</v>
      </c>
      <c r="L502" s="38">
        <v>84</v>
      </c>
      <c r="M502" s="69" t="s">
        <v>5385</v>
      </c>
      <c r="N502" s="38"/>
      <c r="O502" s="38"/>
      <c r="P502" s="31"/>
    </row>
    <row r="503" spans="2:16">
      <c r="B503" s="30" t="s">
        <v>2353</v>
      </c>
      <c r="C503" s="38" t="s">
        <v>2354</v>
      </c>
      <c r="D503" s="38" t="s">
        <v>2355</v>
      </c>
      <c r="E503" s="38" t="s">
        <v>3801</v>
      </c>
      <c r="F503" s="38" t="s">
        <v>568</v>
      </c>
      <c r="G503" s="38"/>
      <c r="H503" s="53" t="str">
        <f t="shared" si="7"/>
        <v>citation:laurent_vanbever-01</v>
      </c>
      <c r="I503" s="54"/>
      <c r="J503" s="38" t="s">
        <v>5380</v>
      </c>
      <c r="K503" s="38" t="s">
        <v>5380</v>
      </c>
      <c r="L503" s="38" t="s">
        <v>5380</v>
      </c>
      <c r="M503" s="69" t="s">
        <v>5387</v>
      </c>
      <c r="N503" s="38"/>
      <c r="O503" s="38"/>
      <c r="P503" s="31"/>
    </row>
    <row r="504" spans="2:16">
      <c r="B504" s="32" t="s">
        <v>2356</v>
      </c>
      <c r="C504" s="39" t="s">
        <v>2357</v>
      </c>
      <c r="D504" s="39" t="s">
        <v>2358</v>
      </c>
      <c r="E504" s="39" t="s">
        <v>3802</v>
      </c>
      <c r="F504" s="39" t="s">
        <v>568</v>
      </c>
      <c r="G504" s="39"/>
      <c r="H504" s="51"/>
      <c r="I504" s="52"/>
      <c r="J504" s="38"/>
      <c r="K504" s="38"/>
      <c r="L504" s="38"/>
      <c r="M504" s="69" t="s">
        <v>5380</v>
      </c>
      <c r="N504" s="39"/>
      <c r="O504" s="39"/>
      <c r="P504" s="34"/>
    </row>
    <row r="505" spans="2:16">
      <c r="B505" s="32" t="s">
        <v>2359</v>
      </c>
      <c r="C505" s="39" t="s">
        <v>1217</v>
      </c>
      <c r="D505" s="39" t="s">
        <v>2360</v>
      </c>
      <c r="E505" s="39" t="s">
        <v>3803</v>
      </c>
      <c r="F505" s="39" t="s">
        <v>570</v>
      </c>
      <c r="G505" s="39"/>
      <c r="H505" s="51" t="str">
        <f t="shared" si="7"/>
        <v>citation:mark_walters-01</v>
      </c>
      <c r="I505" s="52"/>
      <c r="J505" s="38" t="s">
        <v>5380</v>
      </c>
      <c r="K505" s="38" t="s">
        <v>5380</v>
      </c>
      <c r="L505" s="38" t="s">
        <v>5380</v>
      </c>
      <c r="M505" s="69" t="s">
        <v>5387</v>
      </c>
      <c r="N505" s="39"/>
      <c r="O505" s="39"/>
      <c r="P505" s="34"/>
    </row>
    <row r="506" spans="2:16">
      <c r="B506" s="30" t="s">
        <v>2361</v>
      </c>
      <c r="C506" s="38" t="s">
        <v>2362</v>
      </c>
      <c r="D506" s="38" t="s">
        <v>2363</v>
      </c>
      <c r="E506" s="38" t="s">
        <v>3804</v>
      </c>
      <c r="F506" s="38" t="s">
        <v>573</v>
      </c>
      <c r="G506" s="38"/>
      <c r="H506" s="53" t="str">
        <f t="shared" si="7"/>
        <v>citation:frank_emmert-streib-01</v>
      </c>
      <c r="I506" s="54"/>
      <c r="J506" s="38" t="s">
        <v>5144</v>
      </c>
      <c r="K506" s="38">
        <v>1717</v>
      </c>
      <c r="L506" s="38">
        <v>21</v>
      </c>
      <c r="M506" s="69" t="s">
        <v>5386</v>
      </c>
      <c r="N506" s="38"/>
      <c r="O506" s="38"/>
      <c r="P506" s="31"/>
    </row>
    <row r="507" spans="2:16">
      <c r="B507" s="32" t="s">
        <v>2364</v>
      </c>
      <c r="C507" s="39" t="s">
        <v>2365</v>
      </c>
      <c r="D507" s="39" t="s">
        <v>2366</v>
      </c>
      <c r="E507" s="39" t="s">
        <v>3805</v>
      </c>
      <c r="F507" s="39" t="s">
        <v>573</v>
      </c>
      <c r="G507" s="39"/>
      <c r="H507" s="51" t="str">
        <f t="shared" si="7"/>
        <v>citation:tharmalingam_ratnarajah-01</v>
      </c>
      <c r="I507" s="52"/>
      <c r="J507" s="38" t="s">
        <v>5343</v>
      </c>
      <c r="K507" s="38">
        <v>2049</v>
      </c>
      <c r="L507" s="38">
        <v>24</v>
      </c>
      <c r="M507" s="69" t="s">
        <v>5387</v>
      </c>
      <c r="N507" s="39"/>
      <c r="O507" s="39"/>
      <c r="P507" s="34"/>
    </row>
    <row r="508" spans="2:16">
      <c r="B508" s="30" t="s">
        <v>2367</v>
      </c>
      <c r="C508" s="38" t="s">
        <v>1543</v>
      </c>
      <c r="D508" s="38" t="s">
        <v>2368</v>
      </c>
      <c r="E508" s="38" t="s">
        <v>3806</v>
      </c>
      <c r="F508" s="38" t="s">
        <v>576</v>
      </c>
      <c r="G508" s="38"/>
      <c r="H508" s="53" t="str">
        <f t="shared" si="7"/>
        <v>citation:alex_dent-01</v>
      </c>
      <c r="I508" s="54"/>
      <c r="J508" s="38" t="s">
        <v>5380</v>
      </c>
      <c r="K508" s="38" t="s">
        <v>5380</v>
      </c>
      <c r="L508" s="38" t="s">
        <v>5380</v>
      </c>
      <c r="M508" s="69" t="s">
        <v>5388</v>
      </c>
      <c r="N508" s="38"/>
      <c r="O508" s="38"/>
      <c r="P508" s="31"/>
    </row>
    <row r="509" spans="2:16">
      <c r="B509" s="30" t="s">
        <v>2369</v>
      </c>
      <c r="C509" s="38" t="s">
        <v>2370</v>
      </c>
      <c r="D509" s="38" t="s">
        <v>2371</v>
      </c>
      <c r="E509" s="38" t="s">
        <v>3807</v>
      </c>
      <c r="F509" s="38" t="s">
        <v>576</v>
      </c>
      <c r="G509" s="38"/>
      <c r="H509" s="53"/>
      <c r="I509" s="54"/>
      <c r="J509" s="38"/>
      <c r="K509" s="38"/>
      <c r="L509" s="38"/>
      <c r="M509" s="69" t="s">
        <v>5380</v>
      </c>
      <c r="N509" s="38"/>
      <c r="O509" s="38"/>
      <c r="P509" s="31"/>
    </row>
    <row r="510" spans="2:16">
      <c r="B510" s="30" t="s">
        <v>2372</v>
      </c>
      <c r="C510" s="38" t="s">
        <v>2373</v>
      </c>
      <c r="D510" s="38" t="s">
        <v>2374</v>
      </c>
      <c r="E510" s="38" t="s">
        <v>3808</v>
      </c>
      <c r="F510" s="38" t="s">
        <v>576</v>
      </c>
      <c r="G510" s="38"/>
      <c r="H510" s="53" t="str">
        <f t="shared" si="7"/>
        <v>citation:arman_khouzani-01</v>
      </c>
      <c r="I510" s="54"/>
      <c r="J510" s="38" t="s">
        <v>5380</v>
      </c>
      <c r="K510" s="38" t="s">
        <v>5380</v>
      </c>
      <c r="L510" s="38" t="s">
        <v>5380</v>
      </c>
      <c r="M510" s="69" t="s">
        <v>137</v>
      </c>
      <c r="N510" s="38"/>
      <c r="O510" s="38"/>
      <c r="P510" s="31"/>
    </row>
    <row r="511" spans="2:16">
      <c r="B511" s="30" t="s">
        <v>2375</v>
      </c>
      <c r="C511" s="38" t="s">
        <v>2376</v>
      </c>
      <c r="D511" s="38" t="s">
        <v>2377</v>
      </c>
      <c r="E511" s="38" t="s">
        <v>3809</v>
      </c>
      <c r="F511" s="38" t="s">
        <v>576</v>
      </c>
      <c r="G511" s="38"/>
      <c r="H511" s="53" t="str">
        <f t="shared" si="7"/>
        <v>citation:carlos_cid-01</v>
      </c>
      <c r="I511" s="54"/>
      <c r="J511" s="38" t="s">
        <v>5380</v>
      </c>
      <c r="K511" s="38" t="s">
        <v>5380</v>
      </c>
      <c r="L511" s="38" t="s">
        <v>5380</v>
      </c>
      <c r="M511" s="69" t="s">
        <v>5385</v>
      </c>
      <c r="N511" s="38"/>
      <c r="O511" s="38"/>
      <c r="P511" s="31"/>
    </row>
    <row r="512" spans="2:16">
      <c r="B512" s="30" t="s">
        <v>2378</v>
      </c>
      <c r="C512" s="38" t="s">
        <v>2379</v>
      </c>
      <c r="D512" s="38" t="s">
        <v>2380</v>
      </c>
      <c r="E512" s="38" t="s">
        <v>3810</v>
      </c>
      <c r="F512" s="38" t="s">
        <v>576</v>
      </c>
      <c r="G512" s="38"/>
      <c r="H512" s="53" t="str">
        <f t="shared" si="7"/>
        <v>citation:charles_morisset-01</v>
      </c>
      <c r="I512" s="54"/>
      <c r="J512" s="38" t="s">
        <v>5087</v>
      </c>
      <c r="K512" s="38">
        <v>480</v>
      </c>
      <c r="L512" s="38">
        <v>12</v>
      </c>
      <c r="M512" s="69" t="s">
        <v>137</v>
      </c>
      <c r="N512" s="38"/>
      <c r="O512" s="38"/>
      <c r="P512" s="31"/>
    </row>
    <row r="513" spans="2:17">
      <c r="B513" s="30" t="s">
        <v>2381</v>
      </c>
      <c r="C513" s="38" t="s">
        <v>1264</v>
      </c>
      <c r="D513" s="38" t="s">
        <v>2382</v>
      </c>
      <c r="E513" s="38" t="s">
        <v>3811</v>
      </c>
      <c r="F513" s="38" t="s">
        <v>576</v>
      </c>
      <c r="G513" s="38"/>
      <c r="H513" s="53" t="str">
        <f t="shared" si="7"/>
        <v>citation:christian_janson-01</v>
      </c>
      <c r="I513" s="54"/>
      <c r="J513" s="38" t="s">
        <v>5380</v>
      </c>
      <c r="K513" s="38" t="s">
        <v>5380</v>
      </c>
      <c r="L513" s="38" t="s">
        <v>5380</v>
      </c>
      <c r="M513" s="69" t="s">
        <v>5387</v>
      </c>
      <c r="N513" s="38"/>
      <c r="O513" s="38"/>
      <c r="P513" s="31"/>
    </row>
    <row r="514" spans="2:17">
      <c r="B514" s="30" t="s">
        <v>2383</v>
      </c>
      <c r="C514" s="38" t="s">
        <v>2384</v>
      </c>
      <c r="D514" s="38" t="s">
        <v>2385</v>
      </c>
      <c r="E514" s="38" t="s">
        <v>3812</v>
      </c>
      <c r="F514" s="38" t="s">
        <v>576</v>
      </c>
      <c r="G514" s="38"/>
      <c r="H514" s="53"/>
      <c r="I514" s="54"/>
      <c r="J514" s="38"/>
      <c r="K514" s="38"/>
      <c r="L514" s="38"/>
      <c r="M514" s="69" t="s">
        <v>5380</v>
      </c>
      <c r="N514" s="38"/>
      <c r="O514" s="38"/>
      <c r="P514" s="31"/>
    </row>
    <row r="515" spans="2:17">
      <c r="B515" s="30" t="s">
        <v>2386</v>
      </c>
      <c r="C515" s="38" t="s">
        <v>2387</v>
      </c>
      <c r="D515" s="38" t="s">
        <v>2388</v>
      </c>
      <c r="E515" s="38" t="s">
        <v>3813</v>
      </c>
      <c r="F515" s="38" t="s">
        <v>576</v>
      </c>
      <c r="G515" s="38"/>
      <c r="H515" s="53" t="str">
        <f t="shared" ref="H515:H578" si="8">"citation:"&amp;B515&amp;"-01"</f>
        <v>citation:elizabeth_quaglia-01</v>
      </c>
      <c r="I515" s="54"/>
      <c r="J515" s="38" t="s">
        <v>5127</v>
      </c>
      <c r="K515" s="38">
        <v>125</v>
      </c>
      <c r="L515" s="38">
        <v>5</v>
      </c>
      <c r="M515" s="69" t="s">
        <v>5388</v>
      </c>
      <c r="N515" s="38"/>
      <c r="O515" s="38"/>
      <c r="P515" s="31"/>
    </row>
    <row r="516" spans="2:17">
      <c r="B516" s="30" t="s">
        <v>2389</v>
      </c>
      <c r="C516" s="38" t="s">
        <v>1151</v>
      </c>
      <c r="D516" s="38" t="s">
        <v>2390</v>
      </c>
      <c r="E516" s="38" t="s">
        <v>3814</v>
      </c>
      <c r="F516" s="38" t="s">
        <v>576</v>
      </c>
      <c r="G516" s="38"/>
      <c r="H516" s="53" t="str">
        <f t="shared" si="8"/>
        <v>citation:james_alderman-01</v>
      </c>
      <c r="I516" s="54"/>
      <c r="J516" s="38" t="s">
        <v>5380</v>
      </c>
      <c r="K516" s="38" t="s">
        <v>5380</v>
      </c>
      <c r="L516" s="38" t="s">
        <v>5380</v>
      </c>
      <c r="M516" s="69" t="s">
        <v>137</v>
      </c>
      <c r="N516" s="38"/>
      <c r="O516" s="38"/>
      <c r="P516" s="31"/>
    </row>
    <row r="517" spans="2:17">
      <c r="B517" s="30" t="s">
        <v>2391</v>
      </c>
      <c r="C517" s="38" t="s">
        <v>2392</v>
      </c>
      <c r="D517" s="38" t="s">
        <v>2393</v>
      </c>
      <c r="E517" s="38" t="s">
        <v>3815</v>
      </c>
      <c r="F517" s="38" t="s">
        <v>576</v>
      </c>
      <c r="G517" s="38"/>
      <c r="H517" s="53" t="str">
        <f t="shared" si="8"/>
        <v>citation:jason_crampton-01</v>
      </c>
      <c r="I517" s="54"/>
      <c r="J517" s="38" t="s">
        <v>5183</v>
      </c>
      <c r="K517" s="38">
        <v>2241</v>
      </c>
      <c r="L517" s="38">
        <v>26</v>
      </c>
      <c r="M517" s="69" t="s">
        <v>137</v>
      </c>
      <c r="N517" s="38"/>
      <c r="O517" s="38"/>
      <c r="P517" s="31"/>
    </row>
    <row r="518" spans="2:17">
      <c r="B518" s="30" t="s">
        <v>2394</v>
      </c>
      <c r="C518" s="38" t="s">
        <v>2395</v>
      </c>
      <c r="D518" s="38" t="s">
        <v>2396</v>
      </c>
      <c r="E518" s="38" t="s">
        <v>3816</v>
      </c>
      <c r="F518" s="38" t="s">
        <v>576</v>
      </c>
      <c r="G518" s="38"/>
      <c r="H518" s="53" t="str">
        <f t="shared" si="8"/>
        <v>citation:kenny_paterson-01</v>
      </c>
      <c r="I518" s="54"/>
      <c r="J518" s="38" t="s">
        <v>5222</v>
      </c>
      <c r="K518" s="38">
        <v>7365</v>
      </c>
      <c r="L518" s="38">
        <v>40</v>
      </c>
      <c r="M518" s="69" t="s">
        <v>5388</v>
      </c>
      <c r="N518" s="38"/>
      <c r="O518" s="38"/>
      <c r="P518" s="31"/>
    </row>
    <row r="519" spans="2:17">
      <c r="B519" s="30" t="s">
        <v>2397</v>
      </c>
      <c r="C519" s="38" t="s">
        <v>1471</v>
      </c>
      <c r="D519" s="38" t="s">
        <v>2398</v>
      </c>
      <c r="E519" s="38" t="s">
        <v>3817</v>
      </c>
      <c r="F519" s="38" t="s">
        <v>576</v>
      </c>
      <c r="G519" s="38"/>
      <c r="H519" s="53" t="str">
        <f t="shared" si="8"/>
        <v>citation:martin_albrecht-01</v>
      </c>
      <c r="I519" s="54"/>
      <c r="J519" s="38" t="s">
        <v>5380</v>
      </c>
      <c r="K519" s="38" t="s">
        <v>5380</v>
      </c>
      <c r="L519" s="38" t="s">
        <v>5380</v>
      </c>
      <c r="M519" s="69" t="s">
        <v>137</v>
      </c>
      <c r="N519" s="38"/>
      <c r="O519" s="38"/>
      <c r="P519" s="31"/>
    </row>
    <row r="520" spans="2:17">
      <c r="B520" s="30" t="s">
        <v>2399</v>
      </c>
      <c r="C520" s="38" t="s">
        <v>2400</v>
      </c>
      <c r="D520" s="38" t="s">
        <v>2401</v>
      </c>
      <c r="E520" s="38" t="s">
        <v>3818</v>
      </c>
      <c r="F520" s="38" t="s">
        <v>576</v>
      </c>
      <c r="G520" s="38"/>
      <c r="H520" s="53"/>
      <c r="I520" s="54"/>
      <c r="J520" s="38"/>
      <c r="K520" s="38"/>
      <c r="L520" s="38"/>
      <c r="M520" s="69" t="s">
        <v>5380</v>
      </c>
      <c r="N520" s="38"/>
      <c r="O520" s="38"/>
      <c r="P520" s="31"/>
    </row>
    <row r="521" spans="2:17">
      <c r="B521" s="30" t="s">
        <v>2402</v>
      </c>
      <c r="C521" s="38" t="s">
        <v>2403</v>
      </c>
      <c r="D521" s="38" t="s">
        <v>2404</v>
      </c>
      <c r="E521" s="38" t="s">
        <v>3819</v>
      </c>
      <c r="F521" s="38" t="s">
        <v>576</v>
      </c>
      <c r="G521" s="38"/>
      <c r="H521" s="53"/>
      <c r="I521" s="54"/>
      <c r="J521" s="38"/>
      <c r="K521" s="38"/>
      <c r="L521" s="38"/>
      <c r="M521" s="69" t="s">
        <v>5380</v>
      </c>
      <c r="N521" s="38"/>
      <c r="O521" s="38"/>
      <c r="P521" s="31"/>
    </row>
    <row r="522" spans="2:17">
      <c r="B522" s="30" t="s">
        <v>2405</v>
      </c>
      <c r="C522" s="38" t="s">
        <v>2152</v>
      </c>
      <c r="D522" s="38" t="s">
        <v>2406</v>
      </c>
      <c r="E522" s="38" t="s">
        <v>3820</v>
      </c>
      <c r="F522" s="38" t="s">
        <v>576</v>
      </c>
      <c r="G522" s="38"/>
      <c r="H522" s="53" t="str">
        <f t="shared" si="8"/>
        <v>citation:robert_fitzpatrick-01</v>
      </c>
      <c r="I522" s="54"/>
      <c r="J522" s="38" t="s">
        <v>5380</v>
      </c>
      <c r="K522" s="38" t="s">
        <v>5380</v>
      </c>
      <c r="L522" s="38" t="s">
        <v>5380</v>
      </c>
      <c r="M522" s="69" t="s">
        <v>137</v>
      </c>
      <c r="N522" s="38"/>
      <c r="O522" s="38"/>
      <c r="P522" s="31"/>
    </row>
    <row r="523" spans="2:17">
      <c r="B523" s="30" t="s">
        <v>2407</v>
      </c>
      <c r="C523" s="38" t="s">
        <v>1063</v>
      </c>
      <c r="D523" s="38" t="s">
        <v>2408</v>
      </c>
      <c r="E523" s="38" t="s">
        <v>3821</v>
      </c>
      <c r="F523" s="38" t="s">
        <v>576</v>
      </c>
      <c r="G523" s="38"/>
      <c r="H523" s="53" t="str">
        <f t="shared" si="8"/>
        <v>citation:shane_balfe-01</v>
      </c>
      <c r="I523" s="54"/>
      <c r="J523" s="38" t="s">
        <v>5380</v>
      </c>
      <c r="K523" s="38" t="s">
        <v>5380</v>
      </c>
      <c r="L523" s="38" t="s">
        <v>5380</v>
      </c>
      <c r="M523" s="69" t="s">
        <v>5388</v>
      </c>
      <c r="N523" s="38"/>
      <c r="O523" s="38"/>
      <c r="P523" s="31"/>
    </row>
    <row r="524" spans="2:17">
      <c r="B524" s="30" t="s">
        <v>2409</v>
      </c>
      <c r="C524" s="38" t="s">
        <v>2410</v>
      </c>
      <c r="D524" s="38" t="s">
        <v>1313</v>
      </c>
      <c r="E524" s="38" t="s">
        <v>3822</v>
      </c>
      <c r="F524" s="38" t="s">
        <v>576</v>
      </c>
      <c r="G524" s="38"/>
      <c r="H524" s="53" t="str">
        <f t="shared" si="8"/>
        <v>citation:sriramkrishnan_srinivasan-01</v>
      </c>
      <c r="I524" s="54"/>
      <c r="J524" s="38" t="s">
        <v>5380</v>
      </c>
      <c r="K524" s="38" t="s">
        <v>5380</v>
      </c>
      <c r="L524" s="38" t="s">
        <v>5380</v>
      </c>
      <c r="M524" s="69" t="s">
        <v>137</v>
      </c>
      <c r="N524" s="38"/>
      <c r="O524" s="38"/>
      <c r="P524" s="31"/>
    </row>
    <row r="525" spans="2:17">
      <c r="B525" s="30" t="s">
        <v>2411</v>
      </c>
      <c r="C525" s="38" t="s">
        <v>2412</v>
      </c>
      <c r="D525" s="38" t="s">
        <v>2413</v>
      </c>
      <c r="E525" s="38" t="s">
        <v>3823</v>
      </c>
      <c r="F525" s="38" t="s">
        <v>576</v>
      </c>
      <c r="G525" s="38"/>
      <c r="H525" s="53" t="str">
        <f t="shared" si="8"/>
        <v>citation:steffen_reidt-01</v>
      </c>
      <c r="I525" s="54"/>
      <c r="J525" s="38" t="s">
        <v>5380</v>
      </c>
      <c r="K525" s="38" t="s">
        <v>5380</v>
      </c>
      <c r="L525" s="38" t="s">
        <v>5380</v>
      </c>
      <c r="M525" s="69" t="s">
        <v>5384</v>
      </c>
      <c r="N525" s="38"/>
      <c r="O525" s="38"/>
      <c r="P525" s="31"/>
    </row>
    <row r="526" spans="2:17">
      <c r="B526" s="30" t="s">
        <v>2414</v>
      </c>
      <c r="C526" s="38" t="s">
        <v>1225</v>
      </c>
      <c r="D526" s="38" t="s">
        <v>2415</v>
      </c>
      <c r="E526" s="38" t="s">
        <v>3824</v>
      </c>
      <c r="F526" s="38" t="s">
        <v>576</v>
      </c>
      <c r="G526" s="38"/>
      <c r="H526" s="53" t="str">
        <f t="shared" si="8"/>
        <v>citation:stephen_wolthusen-01</v>
      </c>
      <c r="I526" s="54"/>
      <c r="J526" s="38" t="s">
        <v>5380</v>
      </c>
      <c r="K526" s="38" t="s">
        <v>5380</v>
      </c>
      <c r="L526" s="38" t="s">
        <v>5380</v>
      </c>
      <c r="M526" s="69" t="s">
        <v>5384</v>
      </c>
      <c r="N526" s="38"/>
      <c r="O526" s="38"/>
      <c r="P526" s="31"/>
      <c r="Q526" s="74"/>
    </row>
    <row r="527" spans="2:17">
      <c r="B527" s="30" t="s">
        <v>2416</v>
      </c>
      <c r="C527" s="38" t="s">
        <v>2417</v>
      </c>
      <c r="D527" s="38" t="s">
        <v>109</v>
      </c>
      <c r="E527" s="38" t="s">
        <v>3825</v>
      </c>
      <c r="F527" s="38" t="s">
        <v>576</v>
      </c>
      <c r="G527" s="38"/>
      <c r="H527" s="53" t="str">
        <f t="shared" si="8"/>
        <v>citation:viet_pham-01</v>
      </c>
      <c r="I527" s="54"/>
      <c r="J527" s="38" t="s">
        <v>5380</v>
      </c>
      <c r="K527" s="38" t="s">
        <v>5380</v>
      </c>
      <c r="L527" s="38" t="s">
        <v>5380</v>
      </c>
      <c r="M527" s="69" t="s">
        <v>137</v>
      </c>
      <c r="N527" s="38"/>
      <c r="O527" s="38"/>
      <c r="P527" s="31"/>
      <c r="Q527" s="74"/>
    </row>
    <row r="528" spans="2:17">
      <c r="B528" s="32" t="s">
        <v>2418</v>
      </c>
      <c r="C528" s="39" t="s">
        <v>1627</v>
      </c>
      <c r="D528" s="39" t="s">
        <v>1414</v>
      </c>
      <c r="E528" s="39" t="s">
        <v>3826</v>
      </c>
      <c r="F528" s="39" t="s">
        <v>576</v>
      </c>
      <c r="G528" s="39"/>
      <c r="H528" s="51" t="str">
        <f t="shared" si="8"/>
        <v>citation:wei_zhang-01</v>
      </c>
      <c r="I528" s="52"/>
      <c r="J528" s="38" t="s">
        <v>5380</v>
      </c>
      <c r="K528" s="38" t="s">
        <v>5380</v>
      </c>
      <c r="L528" s="38" t="s">
        <v>5380</v>
      </c>
      <c r="M528" s="69" t="s">
        <v>137</v>
      </c>
      <c r="N528" s="39"/>
      <c r="O528" s="39"/>
      <c r="P528" s="34"/>
      <c r="Q528" s="74"/>
    </row>
    <row r="529" spans="2:16">
      <c r="B529" s="30" t="s">
        <v>2503</v>
      </c>
      <c r="C529" s="38" t="s">
        <v>2504</v>
      </c>
      <c r="D529" s="38" t="s">
        <v>2505</v>
      </c>
      <c r="E529" s="38" t="s">
        <v>3827</v>
      </c>
      <c r="F529" s="38" t="s">
        <v>403</v>
      </c>
      <c r="G529" s="38"/>
      <c r="H529" s="53" t="str">
        <f t="shared" si="8"/>
        <v>citation:adele_freeman-01</v>
      </c>
      <c r="I529" s="54"/>
      <c r="J529" s="38" t="s">
        <v>5380</v>
      </c>
      <c r="K529" s="38" t="s">
        <v>5380</v>
      </c>
      <c r="L529" s="38" t="s">
        <v>5380</v>
      </c>
      <c r="M529" s="69" t="s">
        <v>5385</v>
      </c>
      <c r="N529" s="38"/>
      <c r="O529" s="38"/>
      <c r="P529" s="31"/>
    </row>
    <row r="530" spans="2:16">
      <c r="B530" s="30" t="s">
        <v>2506</v>
      </c>
      <c r="C530" s="38" t="s">
        <v>1725</v>
      </c>
      <c r="D530" s="38" t="s">
        <v>2507</v>
      </c>
      <c r="E530" s="38" t="s">
        <v>3828</v>
      </c>
      <c r="F530" s="38" t="s">
        <v>403</v>
      </c>
      <c r="G530" s="38"/>
      <c r="H530" s="53"/>
      <c r="I530" s="54"/>
      <c r="J530" s="38"/>
      <c r="K530" s="38"/>
      <c r="L530" s="38"/>
      <c r="M530" s="69" t="s">
        <v>5380</v>
      </c>
      <c r="N530" s="38"/>
      <c r="O530" s="38"/>
      <c r="P530" s="31"/>
    </row>
    <row r="531" spans="2:16">
      <c r="B531" s="30" t="s">
        <v>2508</v>
      </c>
      <c r="C531" s="38" t="s">
        <v>1071</v>
      </c>
      <c r="D531" s="38" t="s">
        <v>2509</v>
      </c>
      <c r="E531" s="38" t="s">
        <v>3829</v>
      </c>
      <c r="F531" s="38" t="s">
        <v>403</v>
      </c>
      <c r="G531" s="38"/>
      <c r="H531" s="53" t="str">
        <f t="shared" si="8"/>
        <v>citation:andrew_mcdonald-01</v>
      </c>
      <c r="I531" s="54"/>
      <c r="J531" s="38" t="s">
        <v>5380</v>
      </c>
      <c r="K531" s="38" t="s">
        <v>5380</v>
      </c>
      <c r="L531" s="38" t="s">
        <v>5380</v>
      </c>
      <c r="M531" s="69" t="s">
        <v>5387</v>
      </c>
      <c r="N531" s="38"/>
      <c r="O531" s="38"/>
      <c r="P531" s="31"/>
    </row>
    <row r="532" spans="2:16">
      <c r="B532" s="30" t="s">
        <v>2510</v>
      </c>
      <c r="C532" s="38" t="s">
        <v>1534</v>
      </c>
      <c r="D532" s="38" t="s">
        <v>2511</v>
      </c>
      <c r="E532" s="38" t="s">
        <v>3830</v>
      </c>
      <c r="F532" s="38" t="s">
        <v>403</v>
      </c>
      <c r="G532" s="38"/>
      <c r="H532" s="53" t="str">
        <f t="shared" si="8"/>
        <v>citation:howard_tripp-01</v>
      </c>
      <c r="I532" s="54"/>
      <c r="J532" s="38" t="s">
        <v>5380</v>
      </c>
      <c r="K532" s="38" t="s">
        <v>5380</v>
      </c>
      <c r="L532" s="38" t="s">
        <v>5380</v>
      </c>
      <c r="M532" s="69" t="s">
        <v>5384</v>
      </c>
      <c r="N532" s="38"/>
      <c r="O532" s="38"/>
      <c r="P532" s="31"/>
    </row>
    <row r="533" spans="2:16">
      <c r="B533" s="30" t="s">
        <v>2512</v>
      </c>
      <c r="C533" s="38" t="s">
        <v>2513</v>
      </c>
      <c r="D533" s="38" t="s">
        <v>2514</v>
      </c>
      <c r="E533" s="38" t="s">
        <v>3831</v>
      </c>
      <c r="F533" s="38" t="s">
        <v>403</v>
      </c>
      <c r="G533" s="38"/>
      <c r="H533" s="53" t="str">
        <f t="shared" si="8"/>
        <v>citation:katy_warr-01</v>
      </c>
      <c r="I533" s="54"/>
      <c r="J533" s="38" t="s">
        <v>5380</v>
      </c>
      <c r="K533" s="38" t="s">
        <v>5380</v>
      </c>
      <c r="L533" s="38" t="s">
        <v>5380</v>
      </c>
      <c r="M533" s="69" t="s">
        <v>5384</v>
      </c>
      <c r="N533" s="38"/>
      <c r="O533" s="38"/>
      <c r="P533" s="31"/>
    </row>
    <row r="534" spans="2:16">
      <c r="B534" s="30" t="s">
        <v>2515</v>
      </c>
      <c r="C534" s="38" t="s">
        <v>2152</v>
      </c>
      <c r="D534" s="38" t="s">
        <v>2516</v>
      </c>
      <c r="E534" s="38" t="s">
        <v>3832</v>
      </c>
      <c r="F534" s="38" t="s">
        <v>403</v>
      </c>
      <c r="G534" s="38"/>
      <c r="H534" s="53" t="str">
        <f t="shared" si="8"/>
        <v>citation:robert_hancock-01</v>
      </c>
      <c r="I534" s="54"/>
      <c r="J534" s="38" t="s">
        <v>5380</v>
      </c>
      <c r="K534" s="38" t="s">
        <v>5380</v>
      </c>
      <c r="L534" s="38" t="s">
        <v>5380</v>
      </c>
      <c r="M534" s="69" t="s">
        <v>5384</v>
      </c>
      <c r="N534" s="38"/>
      <c r="O534" s="38"/>
      <c r="P534" s="31"/>
    </row>
    <row r="535" spans="2:16">
      <c r="B535" s="30" t="s">
        <v>2517</v>
      </c>
      <c r="C535" s="38" t="s">
        <v>1183</v>
      </c>
      <c r="D535" s="38" t="s">
        <v>2518</v>
      </c>
      <c r="E535" s="38" t="s">
        <v>3833</v>
      </c>
      <c r="F535" s="38" t="s">
        <v>403</v>
      </c>
      <c r="G535" s="38"/>
      <c r="H535" s="53" t="str">
        <f t="shared" si="8"/>
        <v>citation:sam_empson-01</v>
      </c>
      <c r="I535" s="54"/>
      <c r="J535" s="38" t="s">
        <v>5380</v>
      </c>
      <c r="K535" s="38" t="s">
        <v>5380</v>
      </c>
      <c r="L535" s="38" t="s">
        <v>5380</v>
      </c>
      <c r="M535" s="69" t="s">
        <v>5388</v>
      </c>
      <c r="N535" s="38"/>
      <c r="O535" s="38"/>
      <c r="P535" s="31"/>
    </row>
    <row r="536" spans="2:16">
      <c r="B536" s="32" t="s">
        <v>2519</v>
      </c>
      <c r="C536" s="39" t="s">
        <v>2520</v>
      </c>
      <c r="D536" s="39" t="s">
        <v>2505</v>
      </c>
      <c r="E536" s="39" t="s">
        <v>3834</v>
      </c>
      <c r="F536" s="39" t="s">
        <v>403</v>
      </c>
      <c r="G536" s="39"/>
      <c r="H536" s="51" t="str">
        <f t="shared" si="8"/>
        <v>citation:timothy_freeman-01</v>
      </c>
      <c r="I536" s="52"/>
      <c r="J536" s="38" t="s">
        <v>5380</v>
      </c>
      <c r="K536" s="38" t="s">
        <v>5380</v>
      </c>
      <c r="L536" s="38" t="s">
        <v>5380</v>
      </c>
      <c r="M536" s="69" t="s">
        <v>5387</v>
      </c>
      <c r="N536" s="39"/>
      <c r="O536" s="39"/>
      <c r="P536" s="34"/>
    </row>
    <row r="537" spans="2:16">
      <c r="B537" s="30" t="s">
        <v>2419</v>
      </c>
      <c r="C537" s="38" t="s">
        <v>2420</v>
      </c>
      <c r="D537" s="38" t="s">
        <v>2421</v>
      </c>
      <c r="E537" s="38" t="s">
        <v>3835</v>
      </c>
      <c r="F537" s="38" t="s">
        <v>250</v>
      </c>
      <c r="G537" s="38"/>
      <c r="H537" s="53"/>
      <c r="I537" s="54"/>
      <c r="J537" s="38"/>
      <c r="K537" s="38"/>
      <c r="L537" s="38"/>
      <c r="M537" s="69" t="s">
        <v>5380</v>
      </c>
      <c r="N537" s="38"/>
      <c r="O537" s="38"/>
      <c r="P537" s="31"/>
    </row>
    <row r="538" spans="2:16">
      <c r="B538" s="30" t="s">
        <v>2422</v>
      </c>
      <c r="C538" s="38" t="s">
        <v>2423</v>
      </c>
      <c r="D538" s="38" t="s">
        <v>2424</v>
      </c>
      <c r="E538" s="38" t="s">
        <v>3836</v>
      </c>
      <c r="F538" s="38" t="s">
        <v>250</v>
      </c>
      <c r="G538" s="38"/>
      <c r="H538" s="53" t="str">
        <f t="shared" si="8"/>
        <v>citation:boleslaw_szymanski-01</v>
      </c>
      <c r="I538" s="54"/>
      <c r="J538" s="38" t="s">
        <v>5074</v>
      </c>
      <c r="K538" s="38">
        <v>8791</v>
      </c>
      <c r="L538" s="38">
        <v>45</v>
      </c>
      <c r="M538" s="69" t="s">
        <v>5385</v>
      </c>
      <c r="N538" s="38"/>
      <c r="O538" s="38"/>
      <c r="P538" s="31"/>
    </row>
    <row r="539" spans="2:16">
      <c r="B539" s="30" t="s">
        <v>2425</v>
      </c>
      <c r="C539" s="38" t="s">
        <v>2426</v>
      </c>
      <c r="D539" s="38" t="s">
        <v>2427</v>
      </c>
      <c r="E539" s="38" t="s">
        <v>3837</v>
      </c>
      <c r="F539" s="38" t="s">
        <v>250</v>
      </c>
      <c r="G539" s="38"/>
      <c r="H539" s="53"/>
      <c r="I539" s="54"/>
      <c r="J539" s="38"/>
      <c r="K539" s="38"/>
      <c r="L539" s="38"/>
      <c r="M539" s="69" t="s">
        <v>5380</v>
      </c>
      <c r="N539" s="38"/>
      <c r="O539" s="38"/>
      <c r="P539" s="31"/>
    </row>
    <row r="540" spans="2:16">
      <c r="B540" s="30" t="s">
        <v>2428</v>
      </c>
      <c r="C540" s="38" t="s">
        <v>1364</v>
      </c>
      <c r="D540" s="38" t="s">
        <v>2429</v>
      </c>
      <c r="E540" s="38" t="s">
        <v>3838</v>
      </c>
      <c r="F540" s="38" t="s">
        <v>250</v>
      </c>
      <c r="G540" s="38"/>
      <c r="H540" s="53" t="str">
        <f t="shared" si="8"/>
        <v>citation:christopher_morrell-01</v>
      </c>
      <c r="I540" s="54"/>
      <c r="J540" s="38" t="s">
        <v>5098</v>
      </c>
      <c r="K540" s="38">
        <v>105</v>
      </c>
      <c r="L540" s="38">
        <v>4</v>
      </c>
      <c r="M540" s="69" t="s">
        <v>5384</v>
      </c>
      <c r="N540" s="38"/>
      <c r="O540" s="38"/>
      <c r="P540" s="31"/>
    </row>
    <row r="541" spans="2:16">
      <c r="B541" s="30" t="s">
        <v>2430</v>
      </c>
      <c r="C541" s="38" t="s">
        <v>2431</v>
      </c>
      <c r="D541" s="38" t="s">
        <v>2432</v>
      </c>
      <c r="E541" s="38" t="s">
        <v>3839</v>
      </c>
      <c r="F541" s="38" t="s">
        <v>250</v>
      </c>
      <c r="G541" s="38"/>
      <c r="H541" s="53"/>
      <c r="I541" s="54"/>
      <c r="J541" s="38"/>
      <c r="K541" s="38"/>
      <c r="L541" s="38"/>
      <c r="M541" s="69" t="s">
        <v>5380</v>
      </c>
      <c r="N541" s="38"/>
      <c r="O541" s="38"/>
      <c r="P541" s="31"/>
    </row>
    <row r="542" spans="2:16">
      <c r="B542" s="30" t="s">
        <v>2433</v>
      </c>
      <c r="C542" s="38" t="s">
        <v>2431</v>
      </c>
      <c r="D542" s="38" t="s">
        <v>2434</v>
      </c>
      <c r="E542" s="38" t="s">
        <v>3840</v>
      </c>
      <c r="F542" s="38" t="s">
        <v>250</v>
      </c>
      <c r="G542" s="38"/>
      <c r="H542" s="53" t="str">
        <f t="shared" si="8"/>
        <v>citation:deborah_mcguinness-01</v>
      </c>
      <c r="I542" s="54"/>
      <c r="J542" s="38" t="s">
        <v>5112</v>
      </c>
      <c r="K542" s="38">
        <v>33405</v>
      </c>
      <c r="L542" s="38">
        <v>62</v>
      </c>
      <c r="M542" s="69" t="s">
        <v>5384</v>
      </c>
      <c r="N542" s="38"/>
      <c r="O542" s="38"/>
      <c r="P542" s="31"/>
    </row>
    <row r="543" spans="2:16">
      <c r="B543" s="30" t="s">
        <v>2435</v>
      </c>
      <c r="C543" s="38" t="s">
        <v>2436</v>
      </c>
      <c r="D543" s="38" t="s">
        <v>2437</v>
      </c>
      <c r="E543" s="38" t="s">
        <v>3841</v>
      </c>
      <c r="F543" s="38" t="s">
        <v>250</v>
      </c>
      <c r="G543" s="38"/>
      <c r="H543" s="53" t="str">
        <f t="shared" si="8"/>
        <v>citation:eyuphan_bulut-01</v>
      </c>
      <c r="I543" s="54"/>
      <c r="J543" s="38" t="s">
        <v>5133</v>
      </c>
      <c r="K543" s="38">
        <v>840</v>
      </c>
      <c r="L543" s="38">
        <v>16</v>
      </c>
      <c r="M543" s="69" t="s">
        <v>5384</v>
      </c>
      <c r="N543" s="38"/>
      <c r="O543" s="38"/>
      <c r="P543" s="31"/>
    </row>
    <row r="544" spans="2:16">
      <c r="B544" s="30" t="s">
        <v>2438</v>
      </c>
      <c r="C544" s="38" t="s">
        <v>2439</v>
      </c>
      <c r="D544" s="38" t="s">
        <v>2304</v>
      </c>
      <c r="E544" s="38" t="s">
        <v>3842</v>
      </c>
      <c r="F544" s="38" t="s">
        <v>250</v>
      </c>
      <c r="G544" s="38"/>
      <c r="H544" s="53" t="str">
        <f t="shared" si="8"/>
        <v>citation:gang_chen-01</v>
      </c>
      <c r="I544" s="54"/>
      <c r="J544" s="38" t="s">
        <v>5380</v>
      </c>
      <c r="K544" s="38" t="s">
        <v>5380</v>
      </c>
      <c r="L544" s="38" t="s">
        <v>5380</v>
      </c>
      <c r="M544" s="69" t="s">
        <v>5386</v>
      </c>
      <c r="N544" s="38"/>
      <c r="O544" s="38"/>
      <c r="P544" s="31"/>
    </row>
    <row r="545" spans="2:16">
      <c r="B545" s="30" t="s">
        <v>2440</v>
      </c>
      <c r="C545" s="38" t="s">
        <v>2441</v>
      </c>
      <c r="D545" s="38" t="s">
        <v>2304</v>
      </c>
      <c r="E545" s="38" t="s">
        <v>3843</v>
      </c>
      <c r="F545" s="38" t="s">
        <v>250</v>
      </c>
      <c r="G545" s="38"/>
      <c r="H545" s="53"/>
      <c r="I545" s="54"/>
      <c r="J545" s="38"/>
      <c r="K545" s="38"/>
      <c r="L545" s="38"/>
      <c r="M545" s="69" t="s">
        <v>5380</v>
      </c>
      <c r="N545" s="38"/>
      <c r="O545" s="38"/>
      <c r="P545" s="31"/>
    </row>
    <row r="546" spans="2:16">
      <c r="B546" s="30" t="s">
        <v>2442</v>
      </c>
      <c r="C546" s="38" t="s">
        <v>2443</v>
      </c>
      <c r="D546" s="38" t="s">
        <v>2444</v>
      </c>
      <c r="E546" s="38" t="s">
        <v>3844</v>
      </c>
      <c r="F546" s="38" t="s">
        <v>250</v>
      </c>
      <c r="G546" s="38"/>
      <c r="H546" s="53"/>
      <c r="I546" s="54"/>
      <c r="J546" s="38"/>
      <c r="K546" s="38"/>
      <c r="L546" s="38"/>
      <c r="M546" s="69" t="s">
        <v>5380</v>
      </c>
      <c r="N546" s="38"/>
      <c r="O546" s="38"/>
      <c r="P546" s="31"/>
    </row>
    <row r="547" spans="2:16">
      <c r="B547" s="30" t="s">
        <v>2445</v>
      </c>
      <c r="C547" s="38" t="s">
        <v>2446</v>
      </c>
      <c r="D547" s="38" t="s">
        <v>2447</v>
      </c>
      <c r="E547" s="38" t="s">
        <v>3845</v>
      </c>
      <c r="F547" s="38" t="s">
        <v>250</v>
      </c>
      <c r="G547" s="38"/>
      <c r="H547" s="53" t="str">
        <f t="shared" si="8"/>
        <v>citation:gyorgy_korniss-01</v>
      </c>
      <c r="I547" s="54"/>
      <c r="J547" s="38" t="s">
        <v>5157</v>
      </c>
      <c r="K547" s="38">
        <v>1976</v>
      </c>
      <c r="L547" s="38">
        <v>23</v>
      </c>
      <c r="M547" s="69" t="s">
        <v>5391</v>
      </c>
      <c r="N547" s="38"/>
      <c r="O547" s="38"/>
      <c r="P547" s="31"/>
    </row>
    <row r="548" spans="2:16">
      <c r="B548" s="30" t="s">
        <v>2448</v>
      </c>
      <c r="C548" s="38" t="s">
        <v>2449</v>
      </c>
      <c r="D548" s="38" t="s">
        <v>1408</v>
      </c>
      <c r="E548" s="38" t="s">
        <v>3846</v>
      </c>
      <c r="F548" s="38" t="s">
        <v>250</v>
      </c>
      <c r="G548" s="38"/>
      <c r="H548" s="53"/>
      <c r="I548" s="54"/>
      <c r="J548" s="38"/>
      <c r="K548" s="38"/>
      <c r="L548" s="38"/>
      <c r="M548" s="69" t="s">
        <v>5380</v>
      </c>
      <c r="N548" s="38"/>
      <c r="O548" s="38"/>
      <c r="P548" s="31"/>
    </row>
    <row r="549" spans="2:16">
      <c r="B549" s="30" t="s">
        <v>2450</v>
      </c>
      <c r="C549" s="38" t="s">
        <v>1151</v>
      </c>
      <c r="D549" s="38" t="s">
        <v>2451</v>
      </c>
      <c r="E549" s="38" t="s">
        <v>3847</v>
      </c>
      <c r="F549" s="38" t="s">
        <v>250</v>
      </c>
      <c r="G549" s="38"/>
      <c r="H549" s="53" t="str">
        <f t="shared" si="8"/>
        <v>citation:james_michaelis-01</v>
      </c>
      <c r="I549" s="54"/>
      <c r="J549" s="38" t="s">
        <v>5380</v>
      </c>
      <c r="K549" s="38" t="s">
        <v>5380</v>
      </c>
      <c r="L549" s="38" t="s">
        <v>5380</v>
      </c>
      <c r="M549" s="69" t="s">
        <v>5391</v>
      </c>
      <c r="N549" s="38"/>
      <c r="O549" s="38"/>
      <c r="P549" s="31"/>
    </row>
    <row r="550" spans="2:16">
      <c r="B550" s="30" t="s">
        <v>2452</v>
      </c>
      <c r="C550" s="38" t="s">
        <v>2453</v>
      </c>
      <c r="D550" s="38" t="s">
        <v>2454</v>
      </c>
      <c r="E550" s="38" t="s">
        <v>3848</v>
      </c>
      <c r="F550" s="38" t="s">
        <v>250</v>
      </c>
      <c r="G550" s="38"/>
      <c r="H550" s="53"/>
      <c r="I550" s="54"/>
      <c r="J550" s="38"/>
      <c r="K550" s="38"/>
      <c r="L550" s="38"/>
      <c r="M550" s="69" t="s">
        <v>5380</v>
      </c>
      <c r="N550" s="38"/>
      <c r="O550" s="38"/>
      <c r="P550" s="31"/>
    </row>
    <row r="551" spans="2:16">
      <c r="B551" s="30" t="s">
        <v>2455</v>
      </c>
      <c r="C551" s="38" t="s">
        <v>2456</v>
      </c>
      <c r="D551" s="38" t="s">
        <v>2457</v>
      </c>
      <c r="E551" s="38" t="s">
        <v>3849</v>
      </c>
      <c r="F551" s="38" t="s">
        <v>250</v>
      </c>
      <c r="G551" s="38"/>
      <c r="H551" s="53" t="str">
        <f t="shared" si="8"/>
        <v>citation:jie_bao-01</v>
      </c>
      <c r="I551" s="54"/>
      <c r="J551" s="38" t="s">
        <v>5191</v>
      </c>
      <c r="K551" s="38">
        <v>1666</v>
      </c>
      <c r="L551" s="38">
        <v>22</v>
      </c>
      <c r="M551" s="69" t="s">
        <v>5385</v>
      </c>
      <c r="N551" s="38"/>
      <c r="O551" s="38"/>
      <c r="P551" s="31"/>
    </row>
    <row r="552" spans="2:16">
      <c r="B552" s="30" t="s">
        <v>2458</v>
      </c>
      <c r="C552" s="38" t="s">
        <v>2459</v>
      </c>
      <c r="D552" s="38" t="s">
        <v>2460</v>
      </c>
      <c r="E552" s="38" t="s">
        <v>3850</v>
      </c>
      <c r="F552" s="38" t="s">
        <v>250</v>
      </c>
      <c r="G552" s="38"/>
      <c r="H552" s="53" t="str">
        <f t="shared" si="8"/>
        <v>citation:jierui_xie-01</v>
      </c>
      <c r="I552" s="54"/>
      <c r="J552" s="38" t="s">
        <v>5380</v>
      </c>
      <c r="K552" s="38" t="s">
        <v>5380</v>
      </c>
      <c r="L552" s="38" t="s">
        <v>5380</v>
      </c>
      <c r="M552" s="69" t="s">
        <v>5386</v>
      </c>
      <c r="N552" s="38"/>
      <c r="O552" s="38"/>
      <c r="P552" s="31"/>
    </row>
    <row r="553" spans="2:16">
      <c r="B553" s="30" t="s">
        <v>247</v>
      </c>
      <c r="C553" s="38" t="s">
        <v>248</v>
      </c>
      <c r="D553" s="38" t="s">
        <v>249</v>
      </c>
      <c r="E553" s="38" t="s">
        <v>3851</v>
      </c>
      <c r="F553" s="38" t="s">
        <v>250</v>
      </c>
      <c r="G553" s="38"/>
      <c r="H553" s="53" t="str">
        <f t="shared" si="8"/>
        <v>citation:jim_hendler-01</v>
      </c>
      <c r="I553" s="54"/>
      <c r="J553" s="38" t="s">
        <v>5194</v>
      </c>
      <c r="K553" s="38">
        <v>47124</v>
      </c>
      <c r="L553" s="38">
        <v>80</v>
      </c>
      <c r="M553" s="69" t="s">
        <v>5385</v>
      </c>
      <c r="N553" s="38"/>
      <c r="O553" s="38"/>
      <c r="P553" s="31"/>
    </row>
    <row r="554" spans="2:16">
      <c r="B554" s="30" t="s">
        <v>2461</v>
      </c>
      <c r="C554" s="38" t="s">
        <v>2462</v>
      </c>
      <c r="D554" s="38" t="s">
        <v>2463</v>
      </c>
      <c r="E554" s="38" t="s">
        <v>3852</v>
      </c>
      <c r="F554" s="38" t="s">
        <v>250</v>
      </c>
      <c r="G554" s="38"/>
      <c r="H554" s="53" t="str">
        <f t="shared" si="8"/>
        <v>citation:jin_zheng-01</v>
      </c>
      <c r="I554" s="54"/>
      <c r="J554" s="38" t="s">
        <v>5380</v>
      </c>
      <c r="K554" s="38" t="s">
        <v>5380</v>
      </c>
      <c r="L554" s="38" t="s">
        <v>5380</v>
      </c>
      <c r="M554" s="69" t="s">
        <v>5387</v>
      </c>
      <c r="N554" s="38"/>
      <c r="O554" s="38"/>
      <c r="P554" s="31"/>
    </row>
    <row r="555" spans="2:16">
      <c r="B555" s="30" t="s">
        <v>2464</v>
      </c>
      <c r="C555" s="38" t="s">
        <v>2465</v>
      </c>
      <c r="D555" s="38" t="s">
        <v>2466</v>
      </c>
      <c r="E555" s="38" t="s">
        <v>3853</v>
      </c>
      <c r="F555" s="38" t="s">
        <v>250</v>
      </c>
      <c r="G555" s="38"/>
      <c r="H555" s="53" t="str">
        <f t="shared" si="8"/>
        <v>citation:kamil_wasilewski-01</v>
      </c>
      <c r="I555" s="54"/>
      <c r="J555" s="38" t="s">
        <v>5380</v>
      </c>
      <c r="K555" s="38" t="s">
        <v>5380</v>
      </c>
      <c r="L555" s="38" t="s">
        <v>5380</v>
      </c>
      <c r="M555" s="69" t="s">
        <v>5386</v>
      </c>
      <c r="N555" s="38"/>
      <c r="O555" s="38"/>
      <c r="P555" s="31"/>
    </row>
    <row r="556" spans="2:16">
      <c r="B556" s="30" t="s">
        <v>2467</v>
      </c>
      <c r="C556" s="38" t="s">
        <v>2468</v>
      </c>
      <c r="D556" s="38" t="s">
        <v>2304</v>
      </c>
      <c r="E556" s="38" t="s">
        <v>3854</v>
      </c>
      <c r="F556" s="38" t="s">
        <v>250</v>
      </c>
      <c r="G556" s="38"/>
      <c r="H556" s="53" t="str">
        <f t="shared" si="8"/>
        <v>citation:lei_chen-01</v>
      </c>
      <c r="I556" s="54"/>
      <c r="J556" s="38" t="s">
        <v>5380</v>
      </c>
      <c r="K556" s="38" t="s">
        <v>5380</v>
      </c>
      <c r="L556" s="38" t="s">
        <v>5380</v>
      </c>
      <c r="M556" s="69" t="s">
        <v>5387</v>
      </c>
      <c r="N556" s="38"/>
      <c r="O556" s="38"/>
      <c r="P556" s="31"/>
    </row>
    <row r="557" spans="2:16">
      <c r="B557" s="30" t="s">
        <v>2469</v>
      </c>
      <c r="C557" s="38" t="s">
        <v>1641</v>
      </c>
      <c r="D557" s="38" t="s">
        <v>2181</v>
      </c>
      <c r="E557" s="38" t="s">
        <v>3855</v>
      </c>
      <c r="F557" s="38" t="s">
        <v>250</v>
      </c>
      <c r="G557" s="38"/>
      <c r="H557" s="53" t="str">
        <f t="shared" si="8"/>
        <v>citation:li_ding-01</v>
      </c>
      <c r="I557" s="54"/>
      <c r="J557" s="38" t="s">
        <v>5226</v>
      </c>
      <c r="K557" s="38">
        <v>10049</v>
      </c>
      <c r="L557" s="38">
        <v>31</v>
      </c>
      <c r="M557" s="69" t="s">
        <v>5385</v>
      </c>
      <c r="N557" s="38"/>
      <c r="O557" s="38"/>
      <c r="P557" s="31"/>
    </row>
    <row r="558" spans="2:16">
      <c r="B558" s="30" t="s">
        <v>2470</v>
      </c>
      <c r="C558" s="38" t="s">
        <v>2471</v>
      </c>
      <c r="D558" s="38" t="s">
        <v>2472</v>
      </c>
      <c r="E558" s="38" t="s">
        <v>3856</v>
      </c>
      <c r="F558" s="38" t="s">
        <v>250</v>
      </c>
      <c r="G558" s="38"/>
      <c r="H558" s="53"/>
      <c r="I558" s="54"/>
      <c r="J558" s="38"/>
      <c r="K558" s="38"/>
      <c r="L558" s="38"/>
      <c r="M558" s="69" t="s">
        <v>5380</v>
      </c>
      <c r="N558" s="38"/>
      <c r="O558" s="38"/>
      <c r="P558" s="31"/>
    </row>
    <row r="559" spans="2:16">
      <c r="B559" s="30" t="s">
        <v>2473</v>
      </c>
      <c r="C559" s="38" t="s">
        <v>1217</v>
      </c>
      <c r="D559" s="38" t="s">
        <v>2474</v>
      </c>
      <c r="E559" s="38" t="s">
        <v>3857</v>
      </c>
      <c r="F559" s="38" t="s">
        <v>250</v>
      </c>
      <c r="G559" s="38"/>
      <c r="H559" s="53"/>
      <c r="I559" s="54"/>
      <c r="J559" s="38"/>
      <c r="K559" s="38"/>
      <c r="L559" s="38"/>
      <c r="M559" s="69" t="s">
        <v>5380</v>
      </c>
      <c r="N559" s="38"/>
      <c r="O559" s="38"/>
      <c r="P559" s="31"/>
    </row>
    <row r="560" spans="2:16">
      <c r="B560" s="30" t="s">
        <v>2475</v>
      </c>
      <c r="C560" s="38" t="s">
        <v>1217</v>
      </c>
      <c r="D560" s="38" t="s">
        <v>2476</v>
      </c>
      <c r="E560" s="38" t="s">
        <v>3858</v>
      </c>
      <c r="F560" s="38" t="s">
        <v>250</v>
      </c>
      <c r="G560" s="38"/>
      <c r="H560" s="53" t="str">
        <f t="shared" si="8"/>
        <v>citation:mark_lisee-01</v>
      </c>
      <c r="I560" s="54"/>
      <c r="J560" s="38" t="s">
        <v>5380</v>
      </c>
      <c r="K560" s="38" t="s">
        <v>5380</v>
      </c>
      <c r="L560" s="38" t="s">
        <v>5380</v>
      </c>
      <c r="M560" s="69" t="s">
        <v>5385</v>
      </c>
      <c r="N560" s="38"/>
      <c r="O560" s="38"/>
      <c r="P560" s="31"/>
    </row>
    <row r="561" spans="2:16">
      <c r="B561" s="30" t="s">
        <v>2477</v>
      </c>
      <c r="C561" s="38" t="s">
        <v>2478</v>
      </c>
      <c r="D561" s="38" t="s">
        <v>2479</v>
      </c>
      <c r="E561" s="38" t="s">
        <v>3859</v>
      </c>
      <c r="F561" s="38" t="s">
        <v>250</v>
      </c>
      <c r="G561" s="38"/>
      <c r="H561" s="53"/>
      <c r="I561" s="54"/>
      <c r="J561" s="38"/>
      <c r="K561" s="38"/>
      <c r="L561" s="38"/>
      <c r="M561" s="69" t="s">
        <v>5380</v>
      </c>
      <c r="N561" s="38"/>
      <c r="O561" s="38"/>
      <c r="P561" s="31"/>
    </row>
    <row r="562" spans="2:16">
      <c r="B562" s="30" t="s">
        <v>2480</v>
      </c>
      <c r="C562" s="38" t="s">
        <v>2481</v>
      </c>
      <c r="D562" s="38" t="s">
        <v>1919</v>
      </c>
      <c r="E562" s="38" t="s">
        <v>3860</v>
      </c>
      <c r="F562" s="38" t="s">
        <v>250</v>
      </c>
      <c r="G562" s="38"/>
      <c r="H562" s="53" t="str">
        <f t="shared" si="8"/>
        <v>citation:qiming_lu-01</v>
      </c>
      <c r="I562" s="54"/>
      <c r="J562" s="38" t="s">
        <v>5291</v>
      </c>
      <c r="K562" s="38">
        <v>324</v>
      </c>
      <c r="L562" s="38">
        <v>7</v>
      </c>
      <c r="M562" s="69" t="s">
        <v>5391</v>
      </c>
      <c r="N562" s="38"/>
      <c r="O562" s="38"/>
      <c r="P562" s="31"/>
    </row>
    <row r="563" spans="2:16">
      <c r="B563" s="30" t="s">
        <v>2482</v>
      </c>
      <c r="C563" s="38" t="s">
        <v>2152</v>
      </c>
      <c r="D563" s="38" t="s">
        <v>2483</v>
      </c>
      <c r="E563" s="38" t="s">
        <v>3861</v>
      </c>
      <c r="F563" s="38" t="s">
        <v>250</v>
      </c>
      <c r="G563" s="38"/>
      <c r="H563" s="53"/>
      <c r="I563" s="54"/>
      <c r="J563" s="38"/>
      <c r="K563" s="38"/>
      <c r="L563" s="38"/>
      <c r="M563" s="69" t="s">
        <v>5380</v>
      </c>
      <c r="N563" s="38"/>
      <c r="O563" s="38"/>
      <c r="P563" s="31"/>
    </row>
    <row r="564" spans="2:16">
      <c r="B564" s="30" t="s">
        <v>2484</v>
      </c>
      <c r="C564" s="38" t="s">
        <v>1413</v>
      </c>
      <c r="D564" s="38" t="s">
        <v>1167</v>
      </c>
      <c r="E564" s="38" t="s">
        <v>3862</v>
      </c>
      <c r="F564" s="38" t="s">
        <v>250</v>
      </c>
      <c r="G564" s="38"/>
      <c r="H564" s="53" t="str">
        <f t="shared" si="8"/>
        <v>citation:rui_huang-01</v>
      </c>
      <c r="I564" s="54"/>
      <c r="J564" s="38" t="s">
        <v>5380</v>
      </c>
      <c r="K564" s="38" t="s">
        <v>5380</v>
      </c>
      <c r="L564" s="38" t="s">
        <v>5380</v>
      </c>
      <c r="M564" s="69" t="s">
        <v>5386</v>
      </c>
      <c r="N564" s="38"/>
      <c r="O564" s="38"/>
      <c r="P564" s="31"/>
    </row>
    <row r="565" spans="2:16">
      <c r="B565" s="30" t="s">
        <v>2485</v>
      </c>
      <c r="C565" s="38" t="s">
        <v>2486</v>
      </c>
      <c r="D565" s="38" t="s">
        <v>2487</v>
      </c>
      <c r="E565" s="38" t="s">
        <v>3863</v>
      </c>
      <c r="F565" s="38" t="s">
        <v>250</v>
      </c>
      <c r="G565" s="38"/>
      <c r="H565" s="53" t="str">
        <f t="shared" si="8"/>
        <v>citation:sahin_geyik-01</v>
      </c>
      <c r="I565" s="54"/>
      <c r="J565" s="38" t="s">
        <v>5306</v>
      </c>
      <c r="K565" s="38">
        <v>157</v>
      </c>
      <c r="L565" s="38">
        <v>7</v>
      </c>
      <c r="M565" s="69" t="s">
        <v>5384</v>
      </c>
      <c r="N565" s="38"/>
      <c r="O565" s="38"/>
      <c r="P565" s="31"/>
    </row>
    <row r="566" spans="2:16">
      <c r="B566" s="30" t="s">
        <v>2488</v>
      </c>
      <c r="C566" s="38" t="s">
        <v>2489</v>
      </c>
      <c r="D566" s="38" t="s">
        <v>2490</v>
      </c>
      <c r="E566" s="38" t="s">
        <v>3864</v>
      </c>
      <c r="F566" s="38" t="s">
        <v>250</v>
      </c>
      <c r="G566" s="38"/>
      <c r="H566" s="53" t="str">
        <f t="shared" si="8"/>
        <v>citation:sanmay_das-01</v>
      </c>
      <c r="I566" s="54"/>
      <c r="J566" s="38" t="s">
        <v>5309</v>
      </c>
      <c r="K566" s="38">
        <v>814</v>
      </c>
      <c r="L566" s="38">
        <v>11</v>
      </c>
      <c r="M566" s="69" t="s">
        <v>5384</v>
      </c>
      <c r="N566" s="38"/>
      <c r="O566" s="38"/>
      <c r="P566" s="31"/>
    </row>
    <row r="567" spans="2:16">
      <c r="B567" s="30" t="s">
        <v>2491</v>
      </c>
      <c r="C567" s="38" t="s">
        <v>2492</v>
      </c>
      <c r="D567" s="38" t="s">
        <v>2493</v>
      </c>
      <c r="E567" s="38" t="s">
        <v>3865</v>
      </c>
      <c r="F567" s="38" t="s">
        <v>250</v>
      </c>
      <c r="G567" s="38"/>
      <c r="H567" s="53"/>
      <c r="I567" s="54"/>
      <c r="J567" s="38"/>
      <c r="K567" s="38"/>
      <c r="L567" s="38"/>
      <c r="M567" s="69" t="s">
        <v>5380</v>
      </c>
      <c r="N567" s="38"/>
      <c r="O567" s="38"/>
      <c r="P567" s="31"/>
    </row>
    <row r="568" spans="2:16">
      <c r="B568" s="30" t="s">
        <v>2494</v>
      </c>
      <c r="C568" s="38" t="s">
        <v>2495</v>
      </c>
      <c r="D568" s="38" t="s">
        <v>2496</v>
      </c>
      <c r="E568" s="38" t="s">
        <v>3866</v>
      </c>
      <c r="F568" s="38" t="s">
        <v>250</v>
      </c>
      <c r="G568" s="38"/>
      <c r="H568" s="53" t="str">
        <f t="shared" si="8"/>
        <v>citation:syed_yousaf_shah-01</v>
      </c>
      <c r="I568" s="54"/>
      <c r="J568" s="38" t="s">
        <v>5339</v>
      </c>
      <c r="K568" s="38">
        <v>1474</v>
      </c>
      <c r="L568" s="38">
        <v>10</v>
      </c>
      <c r="M568" s="69" t="s">
        <v>5384</v>
      </c>
      <c r="N568" s="38"/>
      <c r="O568" s="38"/>
      <c r="P568" s="31"/>
    </row>
    <row r="569" spans="2:16">
      <c r="B569" s="30" t="s">
        <v>2497</v>
      </c>
      <c r="C569" s="38" t="s">
        <v>1683</v>
      </c>
      <c r="D569" s="38" t="s">
        <v>2498</v>
      </c>
      <c r="E569" s="38" t="s">
        <v>3867</v>
      </c>
      <c r="F569" s="38" t="s">
        <v>250</v>
      </c>
      <c r="G569" s="38"/>
      <c r="H569" s="53" t="str">
        <f t="shared" si="8"/>
        <v>citation:thomas_babbitt-01</v>
      </c>
      <c r="I569" s="54"/>
      <c r="J569" s="38" t="s">
        <v>5345</v>
      </c>
      <c r="K569" s="38">
        <v>64</v>
      </c>
      <c r="L569" s="38">
        <v>4</v>
      </c>
      <c r="M569" s="69" t="s">
        <v>5384</v>
      </c>
      <c r="N569" s="38"/>
      <c r="O569" s="38"/>
      <c r="P569" s="31"/>
    </row>
    <row r="570" spans="2:16">
      <c r="B570" s="30" t="s">
        <v>2499</v>
      </c>
      <c r="C570" s="38" t="s">
        <v>1435</v>
      </c>
      <c r="D570" s="38" t="s">
        <v>2500</v>
      </c>
      <c r="E570" s="38" t="s">
        <v>3868</v>
      </c>
      <c r="F570" s="38" t="s">
        <v>250</v>
      </c>
      <c r="G570" s="38"/>
      <c r="H570" s="53"/>
      <c r="I570" s="54"/>
      <c r="J570" s="38"/>
      <c r="K570" s="38"/>
      <c r="L570" s="38"/>
      <c r="M570" s="69" t="s">
        <v>5380</v>
      </c>
      <c r="N570" s="38"/>
      <c r="O570" s="38"/>
      <c r="P570" s="31"/>
    </row>
    <row r="571" spans="2:16">
      <c r="B571" s="32" t="s">
        <v>2501</v>
      </c>
      <c r="C571" s="39" t="s">
        <v>2502</v>
      </c>
      <c r="D571" s="39" t="s">
        <v>1196</v>
      </c>
      <c r="E571" s="39" t="s">
        <v>3869</v>
      </c>
      <c r="F571" s="39" t="s">
        <v>250</v>
      </c>
      <c r="G571" s="39"/>
      <c r="H571" s="51" t="str">
        <f t="shared" si="8"/>
        <v>citation:zijian_wang-01</v>
      </c>
      <c r="I571" s="52"/>
      <c r="J571" s="38" t="s">
        <v>5380</v>
      </c>
      <c r="K571" s="38" t="s">
        <v>5380</v>
      </c>
      <c r="L571" s="38" t="s">
        <v>5380</v>
      </c>
      <c r="M571" s="69" t="s">
        <v>5385</v>
      </c>
      <c r="N571" s="39"/>
      <c r="O571" s="39"/>
      <c r="P571" s="34"/>
    </row>
    <row r="572" spans="2:16">
      <c r="B572" s="32" t="s">
        <v>2521</v>
      </c>
      <c r="C572" s="39" t="s">
        <v>2522</v>
      </c>
      <c r="D572" s="39" t="s">
        <v>2523</v>
      </c>
      <c r="E572" s="39" t="s">
        <v>3870</v>
      </c>
      <c r="F572" s="39" t="s">
        <v>5033</v>
      </c>
      <c r="G572" s="39"/>
      <c r="H572" s="51" t="str">
        <f t="shared" si="8"/>
        <v>citation:eike_kiltz-01</v>
      </c>
      <c r="I572" s="52"/>
      <c r="J572" s="38" t="s">
        <v>5123</v>
      </c>
      <c r="K572" s="38">
        <v>3929</v>
      </c>
      <c r="L572" s="38">
        <v>33</v>
      </c>
      <c r="M572" s="69" t="s">
        <v>5384</v>
      </c>
      <c r="N572" s="39"/>
      <c r="O572" s="39"/>
      <c r="P572" s="34"/>
    </row>
    <row r="573" spans="2:16">
      <c r="B573" s="44" t="s">
        <v>2524</v>
      </c>
      <c r="C573" s="45" t="s">
        <v>2525</v>
      </c>
      <c r="D573" s="45" t="s">
        <v>2526</v>
      </c>
      <c r="E573" s="45" t="s">
        <v>3871</v>
      </c>
      <c r="F573" s="45" t="s">
        <v>580</v>
      </c>
      <c r="G573" s="45"/>
      <c r="H573" s="46" t="str">
        <f t="shared" si="8"/>
        <v>citation:gautam_bhanage-01</v>
      </c>
      <c r="I573" s="47"/>
      <c r="J573" s="38" t="s">
        <v>5380</v>
      </c>
      <c r="K573" s="38" t="s">
        <v>5380</v>
      </c>
      <c r="L573" s="38" t="s">
        <v>5380</v>
      </c>
      <c r="M573" s="69" t="s">
        <v>5387</v>
      </c>
      <c r="N573" s="45"/>
      <c r="O573" s="45"/>
      <c r="P573" s="48"/>
    </row>
    <row r="574" spans="2:16">
      <c r="B574" s="32" t="s">
        <v>2540</v>
      </c>
      <c r="C574" s="39" t="s">
        <v>2541</v>
      </c>
      <c r="D574" s="39" t="s">
        <v>2542</v>
      </c>
      <c r="E574" s="39" t="s">
        <v>3872</v>
      </c>
      <c r="F574" s="39" t="s">
        <v>583</v>
      </c>
      <c r="G574" s="39"/>
      <c r="H574" s="51"/>
      <c r="I574" s="52"/>
      <c r="J574" s="38"/>
      <c r="K574" s="38"/>
      <c r="L574" s="38"/>
      <c r="M574" s="69" t="s">
        <v>5380</v>
      </c>
      <c r="N574" s="39"/>
      <c r="O574" s="39"/>
      <c r="P574" s="34"/>
    </row>
    <row r="575" spans="2:16">
      <c r="B575" s="32" t="s">
        <v>2543</v>
      </c>
      <c r="C575" s="39" t="s">
        <v>2544</v>
      </c>
      <c r="D575" s="39" t="s">
        <v>2545</v>
      </c>
      <c r="E575" s="39" t="s">
        <v>3873</v>
      </c>
      <c r="F575" s="39" t="s">
        <v>585</v>
      </c>
      <c r="G575" s="39"/>
      <c r="H575" s="51" t="str">
        <f t="shared" si="8"/>
        <v>citation:novella_bartolini-01</v>
      </c>
      <c r="I575" s="52"/>
      <c r="J575" s="38" t="s">
        <v>5271</v>
      </c>
      <c r="K575" s="38">
        <v>452</v>
      </c>
      <c r="L575" s="38">
        <v>11</v>
      </c>
      <c r="M575" s="69" t="s">
        <v>5391</v>
      </c>
      <c r="N575" s="39"/>
      <c r="O575" s="39"/>
      <c r="P575" s="34"/>
    </row>
    <row r="576" spans="2:16">
      <c r="B576" s="30" t="s">
        <v>2527</v>
      </c>
      <c r="C576" s="38" t="s">
        <v>2528</v>
      </c>
      <c r="D576" s="38" t="s">
        <v>1752</v>
      </c>
      <c r="E576" s="38" t="s">
        <v>3874</v>
      </c>
      <c r="F576" s="38" t="s">
        <v>405</v>
      </c>
      <c r="G576" s="38"/>
      <c r="H576" s="53" t="str">
        <f t="shared" si="8"/>
        <v>citation:emma_jones-01</v>
      </c>
      <c r="I576" s="54"/>
      <c r="J576" s="38" t="s">
        <v>5380</v>
      </c>
      <c r="K576" s="38" t="s">
        <v>5380</v>
      </c>
      <c r="L576" s="38" t="s">
        <v>5380</v>
      </c>
      <c r="M576" s="69" t="s">
        <v>5384</v>
      </c>
      <c r="N576" s="38"/>
      <c r="O576" s="38"/>
      <c r="P576" s="31"/>
    </row>
    <row r="577" spans="2:16">
      <c r="B577" s="30" t="s">
        <v>2529</v>
      </c>
      <c r="C577" s="38" t="s">
        <v>2530</v>
      </c>
      <c r="D577" s="38" t="s">
        <v>2531</v>
      </c>
      <c r="E577" s="38" t="s">
        <v>3875</v>
      </c>
      <c r="F577" s="38" t="s">
        <v>405</v>
      </c>
      <c r="G577" s="38"/>
      <c r="H577" s="53" t="str">
        <f t="shared" si="8"/>
        <v>citation:iris_fermin-01</v>
      </c>
      <c r="I577" s="54"/>
      <c r="J577" s="38" t="s">
        <v>5380</v>
      </c>
      <c r="K577" s="38" t="s">
        <v>5380</v>
      </c>
      <c r="L577" s="38" t="s">
        <v>5380</v>
      </c>
      <c r="M577" s="69" t="s">
        <v>5391</v>
      </c>
      <c r="N577" s="38"/>
      <c r="O577" s="38"/>
      <c r="P577" s="31"/>
    </row>
    <row r="578" spans="2:16">
      <c r="B578" s="30" t="s">
        <v>2532</v>
      </c>
      <c r="C578" s="38" t="s">
        <v>2533</v>
      </c>
      <c r="D578" s="38" t="s">
        <v>2534</v>
      </c>
      <c r="E578" s="38" t="s">
        <v>3876</v>
      </c>
      <c r="F578" s="38" t="s">
        <v>405</v>
      </c>
      <c r="G578" s="38"/>
      <c r="H578" s="53" t="str">
        <f t="shared" si="8"/>
        <v>citation:iya_whiteley-01</v>
      </c>
      <c r="I578" s="54"/>
      <c r="J578" s="38" t="s">
        <v>5380</v>
      </c>
      <c r="K578" s="38" t="s">
        <v>5380</v>
      </c>
      <c r="L578" s="38" t="s">
        <v>5380</v>
      </c>
      <c r="M578" s="69" t="s">
        <v>5386</v>
      </c>
      <c r="N578" s="38"/>
      <c r="O578" s="38"/>
      <c r="P578" s="31"/>
    </row>
    <row r="579" spans="2:16">
      <c r="B579" s="32" t="s">
        <v>2535</v>
      </c>
      <c r="C579" s="39" t="s">
        <v>1112</v>
      </c>
      <c r="D579" s="39" t="s">
        <v>2536</v>
      </c>
      <c r="E579" s="39" t="s">
        <v>3877</v>
      </c>
      <c r="F579" s="39" t="s">
        <v>405</v>
      </c>
      <c r="G579" s="39"/>
      <c r="H579" s="51" t="str">
        <f t="shared" ref="H579:H642" si="9">"citation:"&amp;B579&amp;"-01"</f>
        <v>citation:mike_jackson-01</v>
      </c>
      <c r="I579" s="52"/>
      <c r="J579" s="38" t="s">
        <v>5380</v>
      </c>
      <c r="K579" s="38" t="s">
        <v>5380</v>
      </c>
      <c r="L579" s="38" t="s">
        <v>5380</v>
      </c>
      <c r="M579" s="69" t="s">
        <v>5386</v>
      </c>
      <c r="N579" s="39"/>
      <c r="O579" s="39"/>
      <c r="P579" s="34"/>
    </row>
    <row r="580" spans="2:16">
      <c r="B580" s="32" t="s">
        <v>2546</v>
      </c>
      <c r="C580" s="39" t="s">
        <v>2547</v>
      </c>
      <c r="D580" s="39" t="s">
        <v>2548</v>
      </c>
      <c r="E580" s="39" t="s">
        <v>3878</v>
      </c>
      <c r="F580" s="39" t="s">
        <v>588</v>
      </c>
      <c r="G580" s="39"/>
      <c r="H580" s="51"/>
      <c r="I580" s="52"/>
      <c r="J580" s="38"/>
      <c r="K580" s="38"/>
      <c r="L580" s="38"/>
      <c r="M580" s="69" t="s">
        <v>5380</v>
      </c>
      <c r="N580" s="39"/>
      <c r="O580" s="39"/>
      <c r="P580" s="34"/>
    </row>
    <row r="581" spans="2:16">
      <c r="B581" s="30" t="s">
        <v>2549</v>
      </c>
      <c r="C581" s="38" t="s">
        <v>2550</v>
      </c>
      <c r="D581" s="38" t="s">
        <v>1196</v>
      </c>
      <c r="E581" s="38" t="s">
        <v>3879</v>
      </c>
      <c r="F581" s="38" t="s">
        <v>591</v>
      </c>
      <c r="G581" s="38"/>
      <c r="H581" s="53"/>
      <c r="I581" s="54"/>
      <c r="J581" s="38"/>
      <c r="K581" s="38"/>
      <c r="L581" s="38"/>
      <c r="M581" s="69" t="s">
        <v>5380</v>
      </c>
      <c r="N581" s="38"/>
      <c r="O581" s="38"/>
      <c r="P581" s="31"/>
    </row>
    <row r="582" spans="2:16">
      <c r="B582" s="32" t="s">
        <v>2551</v>
      </c>
      <c r="C582" s="39" t="s">
        <v>2463</v>
      </c>
      <c r="D582" s="39" t="s">
        <v>2114</v>
      </c>
      <c r="E582" s="39" t="s">
        <v>3880</v>
      </c>
      <c r="F582" s="39" t="s">
        <v>591</v>
      </c>
      <c r="G582" s="39"/>
      <c r="H582" s="51"/>
      <c r="I582" s="52"/>
      <c r="J582" s="38"/>
      <c r="K582" s="38"/>
      <c r="L582" s="38"/>
      <c r="M582" s="69" t="s">
        <v>5380</v>
      </c>
      <c r="N582" s="39"/>
      <c r="O582" s="39"/>
      <c r="P582" s="34"/>
    </row>
    <row r="583" spans="2:16">
      <c r="B583" s="32" t="s">
        <v>2552</v>
      </c>
      <c r="C583" s="39" t="s">
        <v>1591</v>
      </c>
      <c r="D583" s="39" t="s">
        <v>2553</v>
      </c>
      <c r="E583" s="39" t="s">
        <v>3881</v>
      </c>
      <c r="F583" s="39" t="s">
        <v>410</v>
      </c>
      <c r="G583" s="39"/>
      <c r="H583" s="51"/>
      <c r="I583" s="52"/>
      <c r="J583" s="38"/>
      <c r="K583" s="38"/>
      <c r="L583" s="38"/>
      <c r="M583" s="69" t="s">
        <v>5380</v>
      </c>
      <c r="N583" s="39"/>
      <c r="O583" s="39"/>
      <c r="P583" s="34"/>
    </row>
    <row r="584" spans="2:16">
      <c r="B584" s="32" t="s">
        <v>2537</v>
      </c>
      <c r="C584" s="39" t="s">
        <v>2538</v>
      </c>
      <c r="D584" s="39" t="s">
        <v>2539</v>
      </c>
      <c r="E584" s="39" t="s">
        <v>3882</v>
      </c>
      <c r="F584" s="39" t="s">
        <v>407</v>
      </c>
      <c r="G584" s="39"/>
      <c r="H584" s="51" t="str">
        <f t="shared" si="9"/>
        <v>citation:brent_waters-01</v>
      </c>
      <c r="I584" s="52"/>
      <c r="J584" s="38" t="s">
        <v>5076</v>
      </c>
      <c r="K584" s="38">
        <v>21794</v>
      </c>
      <c r="L584" s="38">
        <v>58</v>
      </c>
      <c r="M584" s="69" t="s">
        <v>5387</v>
      </c>
      <c r="N584" s="39"/>
      <c r="O584" s="39"/>
      <c r="P584" s="34"/>
    </row>
    <row r="585" spans="2:16">
      <c r="B585" s="30" t="s">
        <v>2554</v>
      </c>
      <c r="C585" s="38" t="s">
        <v>2555</v>
      </c>
      <c r="D585" s="38" t="s">
        <v>2556</v>
      </c>
      <c r="E585" s="38" t="s">
        <v>3883</v>
      </c>
      <c r="F585" s="38" t="s">
        <v>594</v>
      </c>
      <c r="G585" s="38"/>
      <c r="H585" s="53"/>
      <c r="I585" s="54"/>
      <c r="J585" s="38"/>
      <c r="K585" s="38"/>
      <c r="L585" s="38"/>
      <c r="M585" s="69" t="s">
        <v>5380</v>
      </c>
      <c r="N585" s="38"/>
      <c r="O585" s="38"/>
      <c r="P585" s="31"/>
    </row>
    <row r="586" spans="2:16">
      <c r="B586" s="30" t="s">
        <v>2557</v>
      </c>
      <c r="C586" s="38" t="s">
        <v>83</v>
      </c>
      <c r="D586" s="38" t="s">
        <v>2505</v>
      </c>
      <c r="E586" s="38" t="s">
        <v>3884</v>
      </c>
      <c r="F586" s="38" t="s">
        <v>594</v>
      </c>
      <c r="G586" s="38"/>
      <c r="H586" s="53"/>
      <c r="I586" s="54"/>
      <c r="J586" s="38"/>
      <c r="K586" s="38"/>
      <c r="L586" s="38"/>
      <c r="M586" s="69" t="s">
        <v>5380</v>
      </c>
      <c r="N586" s="38"/>
      <c r="O586" s="38"/>
      <c r="P586" s="31"/>
    </row>
    <row r="587" spans="2:16">
      <c r="B587" s="32" t="s">
        <v>2558</v>
      </c>
      <c r="C587" s="39" t="s">
        <v>2559</v>
      </c>
      <c r="D587" s="39" t="s">
        <v>1683</v>
      </c>
      <c r="E587" s="39" t="s">
        <v>3885</v>
      </c>
      <c r="F587" s="39" t="s">
        <v>594</v>
      </c>
      <c r="G587" s="39"/>
      <c r="H587" s="51" t="str">
        <f t="shared" si="9"/>
        <v>citation:dina_thomas-01</v>
      </c>
      <c r="I587" s="52"/>
      <c r="J587" s="38" t="s">
        <v>5380</v>
      </c>
      <c r="K587" s="38" t="s">
        <v>5380</v>
      </c>
      <c r="L587" s="38" t="s">
        <v>5380</v>
      </c>
      <c r="M587" s="69" t="s">
        <v>5386</v>
      </c>
      <c r="N587" s="39"/>
      <c r="O587" s="39"/>
      <c r="P587" s="34"/>
    </row>
    <row r="588" spans="2:16">
      <c r="B588" s="32" t="s">
        <v>2560</v>
      </c>
      <c r="C588" s="39" t="s">
        <v>2561</v>
      </c>
      <c r="D588" s="39" t="s">
        <v>2562</v>
      </c>
      <c r="E588" s="39" t="s">
        <v>3886</v>
      </c>
      <c r="F588" s="39" t="s">
        <v>597</v>
      </c>
      <c r="G588" s="39"/>
      <c r="H588" s="51" t="str">
        <f t="shared" si="9"/>
        <v>citation:antonio_nicolosi-01</v>
      </c>
      <c r="I588" s="52"/>
      <c r="J588" s="38" t="s">
        <v>5060</v>
      </c>
      <c r="K588" s="38">
        <v>554</v>
      </c>
      <c r="L588" s="38">
        <v>12</v>
      </c>
      <c r="M588" s="69" t="s">
        <v>5391</v>
      </c>
      <c r="N588" s="39"/>
      <c r="O588" s="39"/>
      <c r="P588" s="34"/>
    </row>
    <row r="589" spans="2:16">
      <c r="B589" s="32" t="s">
        <v>2563</v>
      </c>
      <c r="C589" s="39" t="s">
        <v>2564</v>
      </c>
      <c r="D589" s="39" t="s">
        <v>2565</v>
      </c>
      <c r="E589" s="39" t="s">
        <v>3887</v>
      </c>
      <c r="F589" s="39" t="s">
        <v>600</v>
      </c>
      <c r="G589" s="39"/>
      <c r="H589" s="51" t="str">
        <f t="shared" si="9"/>
        <v>citation:honggang_zhang-01</v>
      </c>
      <c r="I589" s="52"/>
      <c r="J589" s="38" t="s">
        <v>5168</v>
      </c>
      <c r="K589" s="38">
        <v>1238</v>
      </c>
      <c r="L589" s="38">
        <v>16</v>
      </c>
      <c r="M589" s="69" t="s">
        <v>5391</v>
      </c>
      <c r="N589" s="39"/>
      <c r="O589" s="39"/>
      <c r="P589" s="34"/>
    </row>
    <row r="590" spans="2:16">
      <c r="B590" s="30" t="s">
        <v>2566</v>
      </c>
      <c r="C590" s="38" t="s">
        <v>2567</v>
      </c>
      <c r="D590" s="38" t="s">
        <v>2568</v>
      </c>
      <c r="E590" s="38" t="s">
        <v>3888</v>
      </c>
      <c r="F590" s="38" t="s">
        <v>603</v>
      </c>
      <c r="G590" s="38"/>
      <c r="H590" s="53" t="str">
        <f t="shared" si="9"/>
        <v>citation:heike_schroeder-01</v>
      </c>
      <c r="I590" s="54"/>
      <c r="J590" s="38" t="s">
        <v>5160</v>
      </c>
      <c r="K590" s="38">
        <v>275</v>
      </c>
      <c r="L590" s="38">
        <v>9</v>
      </c>
      <c r="M590" s="69" t="s">
        <v>5391</v>
      </c>
      <c r="N590" s="38"/>
      <c r="O590" s="38"/>
      <c r="P590" s="31"/>
    </row>
    <row r="591" spans="2:16">
      <c r="B591" s="32" t="s">
        <v>2569</v>
      </c>
      <c r="C591" s="39" t="s">
        <v>1925</v>
      </c>
      <c r="D591" s="39" t="s">
        <v>2570</v>
      </c>
      <c r="E591" s="39" t="s">
        <v>3889</v>
      </c>
      <c r="F591" s="39" t="s">
        <v>603</v>
      </c>
      <c r="G591" s="39"/>
      <c r="H591" s="51" t="str">
        <f t="shared" si="9"/>
        <v>citation:marc_fischlin-01</v>
      </c>
      <c r="I591" s="52"/>
      <c r="J591" s="38" t="s">
        <v>5237</v>
      </c>
      <c r="K591" s="38">
        <v>2455</v>
      </c>
      <c r="L591" s="38">
        <v>28</v>
      </c>
      <c r="M591" s="69" t="s">
        <v>5391</v>
      </c>
      <c r="N591" s="39"/>
      <c r="O591" s="39"/>
      <c r="P591" s="34"/>
    </row>
    <row r="592" spans="2:16">
      <c r="B592" s="32" t="s">
        <v>2571</v>
      </c>
      <c r="C592" s="39" t="s">
        <v>2572</v>
      </c>
      <c r="D592" s="39" t="s">
        <v>2573</v>
      </c>
      <c r="E592" s="39" t="s">
        <v>3890</v>
      </c>
      <c r="F592" s="39" t="s">
        <v>412</v>
      </c>
      <c r="G592" s="39"/>
      <c r="H592" s="51"/>
      <c r="I592" s="52"/>
      <c r="J592" s="38"/>
      <c r="K592" s="38"/>
      <c r="L592" s="38"/>
      <c r="M592" s="69" t="s">
        <v>5380</v>
      </c>
      <c r="N592" s="39"/>
      <c r="O592" s="39"/>
      <c r="P592" s="34"/>
    </row>
    <row r="593" spans="2:17">
      <c r="B593" s="32" t="s">
        <v>2574</v>
      </c>
      <c r="C593" s="39" t="s">
        <v>1454</v>
      </c>
      <c r="D593" s="39" t="s">
        <v>2575</v>
      </c>
      <c r="E593" s="39" t="s">
        <v>3891</v>
      </c>
      <c r="F593" s="39" t="s">
        <v>414</v>
      </c>
      <c r="G593" s="39"/>
      <c r="H593" s="51" t="str">
        <f t="shared" si="9"/>
        <v>citation:chris_giannella-01</v>
      </c>
      <c r="I593" s="52"/>
      <c r="J593" s="38" t="s">
        <v>5380</v>
      </c>
      <c r="K593" s="38" t="s">
        <v>5380</v>
      </c>
      <c r="L593" s="38" t="s">
        <v>5380</v>
      </c>
      <c r="M593" s="69" t="s">
        <v>5396</v>
      </c>
      <c r="N593" s="39"/>
      <c r="O593" s="39"/>
      <c r="P593" s="34"/>
    </row>
    <row r="594" spans="2:17">
      <c r="B594" s="30" t="s">
        <v>2576</v>
      </c>
      <c r="C594" s="38" t="s">
        <v>2577</v>
      </c>
      <c r="D594" s="38" t="s">
        <v>1196</v>
      </c>
      <c r="E594" s="38" t="s">
        <v>3892</v>
      </c>
      <c r="F594" s="38" t="s">
        <v>606</v>
      </c>
      <c r="G594" s="38"/>
      <c r="H594" s="53" t="str">
        <f t="shared" si="9"/>
        <v>citation:jianyong_wang-01</v>
      </c>
      <c r="I594" s="54"/>
      <c r="J594" s="38" t="s">
        <v>5190</v>
      </c>
      <c r="K594" s="38">
        <v>8497</v>
      </c>
      <c r="L594" s="38">
        <v>36</v>
      </c>
      <c r="M594" s="69" t="s">
        <v>5387</v>
      </c>
      <c r="N594" s="38"/>
      <c r="O594" s="38"/>
      <c r="P594" s="31"/>
    </row>
    <row r="595" spans="2:17">
      <c r="B595" s="30" t="s">
        <v>2578</v>
      </c>
      <c r="C595" s="38" t="s">
        <v>2579</v>
      </c>
      <c r="D595" s="38" t="s">
        <v>2580</v>
      </c>
      <c r="E595" s="38" t="s">
        <v>3893</v>
      </c>
      <c r="F595" s="38" t="s">
        <v>606</v>
      </c>
      <c r="G595" s="38"/>
      <c r="H595" s="53" t="str">
        <f t="shared" si="9"/>
        <v>citation:lizhu_zhou-01</v>
      </c>
      <c r="I595" s="54"/>
      <c r="J595" s="38" t="s">
        <v>5380</v>
      </c>
      <c r="K595" s="38" t="s">
        <v>5380</v>
      </c>
      <c r="L595" s="38" t="s">
        <v>5380</v>
      </c>
      <c r="M595" s="69" t="s">
        <v>5387</v>
      </c>
      <c r="N595" s="38"/>
      <c r="O595" s="38"/>
      <c r="P595" s="31"/>
    </row>
    <row r="596" spans="2:17">
      <c r="B596" s="32" t="s">
        <v>2581</v>
      </c>
      <c r="C596" s="39" t="s">
        <v>2582</v>
      </c>
      <c r="D596" s="39" t="s">
        <v>1414</v>
      </c>
      <c r="E596" s="39" t="s">
        <v>3894</v>
      </c>
      <c r="F596" s="39" t="s">
        <v>606</v>
      </c>
      <c r="G596" s="39"/>
      <c r="H596" s="51" t="str">
        <f t="shared" si="9"/>
        <v>citation:yuzhou_zhang-01</v>
      </c>
      <c r="I596" s="52"/>
      <c r="J596" s="38" t="s">
        <v>5380</v>
      </c>
      <c r="K596" s="38" t="s">
        <v>5380</v>
      </c>
      <c r="L596" s="38" t="s">
        <v>5380</v>
      </c>
      <c r="M596" s="69" t="s">
        <v>5386</v>
      </c>
      <c r="N596" s="39"/>
      <c r="O596" s="39"/>
      <c r="P596" s="34"/>
    </row>
    <row r="597" spans="2:17">
      <c r="B597" s="32" t="s">
        <v>2583</v>
      </c>
      <c r="C597" s="39" t="s">
        <v>1471</v>
      </c>
      <c r="D597" s="39" t="s">
        <v>2584</v>
      </c>
      <c r="E597" s="39" t="s">
        <v>3895</v>
      </c>
      <c r="F597" s="39" t="s">
        <v>609</v>
      </c>
      <c r="G597" s="39"/>
      <c r="H597" s="51" t="str">
        <f t="shared" si="9"/>
        <v>citation:martin_maas-01</v>
      </c>
      <c r="I597" s="52"/>
      <c r="J597" s="38" t="s">
        <v>5245</v>
      </c>
      <c r="K597" s="38">
        <v>86</v>
      </c>
      <c r="L597" s="38">
        <v>4</v>
      </c>
      <c r="M597" s="69" t="s">
        <v>5384</v>
      </c>
      <c r="N597" s="39"/>
      <c r="O597" s="39"/>
      <c r="P597" s="34"/>
    </row>
    <row r="598" spans="2:17">
      <c r="B598" s="30" t="s">
        <v>2753</v>
      </c>
      <c r="C598" s="38" t="s">
        <v>2754</v>
      </c>
      <c r="D598" s="38" t="s">
        <v>2755</v>
      </c>
      <c r="E598" s="38" t="s">
        <v>3896</v>
      </c>
      <c r="F598" s="38" t="s">
        <v>614</v>
      </c>
      <c r="G598" s="38"/>
      <c r="H598" s="53"/>
      <c r="I598" s="54"/>
      <c r="J598" s="38"/>
      <c r="K598" s="38"/>
      <c r="L598" s="38"/>
      <c r="M598" s="69" t="s">
        <v>5380</v>
      </c>
      <c r="N598" s="38"/>
      <c r="O598" s="38"/>
      <c r="P598" s="31"/>
    </row>
    <row r="599" spans="2:17">
      <c r="B599" s="30" t="s">
        <v>2756</v>
      </c>
      <c r="C599" s="38" t="s">
        <v>2757</v>
      </c>
      <c r="D599" s="38" t="s">
        <v>2758</v>
      </c>
      <c r="E599" s="38" t="s">
        <v>3897</v>
      </c>
      <c r="F599" s="38" t="s">
        <v>614</v>
      </c>
      <c r="G599" s="38"/>
      <c r="H599" s="53"/>
      <c r="I599" s="54"/>
      <c r="J599" s="38"/>
      <c r="K599" s="38"/>
      <c r="L599" s="38"/>
      <c r="M599" s="69" t="s">
        <v>5380</v>
      </c>
      <c r="N599" s="38"/>
      <c r="O599" s="38"/>
      <c r="P599" s="31"/>
      <c r="Q599" s="74"/>
    </row>
    <row r="600" spans="2:17">
      <c r="B600" s="32" t="s">
        <v>2759</v>
      </c>
      <c r="C600" s="39" t="s">
        <v>1225</v>
      </c>
      <c r="D600" s="39" t="s">
        <v>2760</v>
      </c>
      <c r="E600" s="39" t="s">
        <v>3898</v>
      </c>
      <c r="F600" s="39" t="s">
        <v>614</v>
      </c>
      <c r="G600" s="39"/>
      <c r="H600" s="51"/>
      <c r="I600" s="52"/>
      <c r="J600" s="38"/>
      <c r="K600" s="38"/>
      <c r="L600" s="38"/>
      <c r="M600" s="69" t="s">
        <v>5380</v>
      </c>
      <c r="N600" s="39"/>
      <c r="O600" s="39"/>
      <c r="P600" s="34"/>
      <c r="Q600" s="74"/>
    </row>
    <row r="601" spans="2:17">
      <c r="B601" s="30" t="s">
        <v>2585</v>
      </c>
      <c r="C601" s="38" t="s">
        <v>2065</v>
      </c>
      <c r="D601" s="38" t="s">
        <v>1505</v>
      </c>
      <c r="E601" s="38" t="s">
        <v>3899</v>
      </c>
      <c r="F601" s="38" t="s">
        <v>612</v>
      </c>
      <c r="G601" s="38"/>
      <c r="H601" s="53" t="str">
        <f t="shared" si="9"/>
        <v>citation:alexander_chang-01</v>
      </c>
      <c r="I601" s="54"/>
      <c r="J601" s="38" t="s">
        <v>5380</v>
      </c>
      <c r="K601" s="38" t="s">
        <v>5380</v>
      </c>
      <c r="L601" s="38" t="s">
        <v>5380</v>
      </c>
      <c r="M601" s="69" t="s">
        <v>5387</v>
      </c>
      <c r="N601" s="38"/>
      <c r="O601" s="38"/>
      <c r="P601" s="31"/>
      <c r="Q601" s="74"/>
    </row>
    <row r="602" spans="2:17">
      <c r="B602" s="30" t="s">
        <v>2586</v>
      </c>
      <c r="C602" s="38" t="s">
        <v>2587</v>
      </c>
      <c r="D602" s="38" t="s">
        <v>2588</v>
      </c>
      <c r="E602" s="38" t="s">
        <v>3900</v>
      </c>
      <c r="F602" s="38" t="s">
        <v>612</v>
      </c>
      <c r="G602" s="38"/>
      <c r="H602" s="53"/>
      <c r="I602" s="54"/>
      <c r="J602" s="38"/>
      <c r="K602" s="38"/>
      <c r="L602" s="38"/>
      <c r="M602" s="69" t="s">
        <v>5380</v>
      </c>
      <c r="N602" s="38"/>
      <c r="O602" s="38"/>
      <c r="P602" s="31"/>
    </row>
    <row r="603" spans="2:17">
      <c r="B603" s="30" t="s">
        <v>2589</v>
      </c>
      <c r="C603" s="38" t="s">
        <v>1071</v>
      </c>
      <c r="D603" s="38" t="s">
        <v>2590</v>
      </c>
      <c r="E603" s="38" t="s">
        <v>3901</v>
      </c>
      <c r="F603" s="38" t="s">
        <v>612</v>
      </c>
      <c r="G603" s="38"/>
      <c r="H603" s="53"/>
      <c r="I603" s="54"/>
      <c r="J603" s="38"/>
      <c r="K603" s="38"/>
      <c r="L603" s="38"/>
      <c r="M603" s="69" t="s">
        <v>5380</v>
      </c>
      <c r="N603" s="38"/>
      <c r="O603" s="38"/>
      <c r="P603" s="31"/>
    </row>
    <row r="604" spans="2:17">
      <c r="B604" s="30" t="s">
        <v>2591</v>
      </c>
      <c r="C604" s="38" t="s">
        <v>2592</v>
      </c>
      <c r="D604" s="38" t="s">
        <v>2593</v>
      </c>
      <c r="E604" s="38" t="s">
        <v>3902</v>
      </c>
      <c r="F604" s="38" t="s">
        <v>612</v>
      </c>
      <c r="G604" s="38"/>
      <c r="H604" s="53" t="str">
        <f t="shared" si="9"/>
        <v>citation:atsushi_fujimura-01</v>
      </c>
      <c r="I604" s="54"/>
      <c r="J604" s="38" t="s">
        <v>5380</v>
      </c>
      <c r="K604" s="38" t="s">
        <v>5380</v>
      </c>
      <c r="L604" s="38" t="s">
        <v>5380</v>
      </c>
      <c r="M604" s="69" t="s">
        <v>5387</v>
      </c>
      <c r="N604" s="38"/>
      <c r="O604" s="38"/>
      <c r="P604" s="31"/>
    </row>
    <row r="605" spans="2:17">
      <c r="B605" s="30" t="s">
        <v>2594</v>
      </c>
      <c r="C605" s="38" t="s">
        <v>2595</v>
      </c>
      <c r="D605" s="38" t="s">
        <v>2596</v>
      </c>
      <c r="E605" s="38" t="s">
        <v>3903</v>
      </c>
      <c r="F605" s="38" t="s">
        <v>612</v>
      </c>
      <c r="G605" s="38"/>
      <c r="H605" s="53" t="str">
        <f t="shared" si="9"/>
        <v>citation:babak_daneshrad-01</v>
      </c>
      <c r="I605" s="54"/>
      <c r="J605" s="38" t="s">
        <v>5380</v>
      </c>
      <c r="K605" s="38" t="s">
        <v>5380</v>
      </c>
      <c r="L605" s="38" t="s">
        <v>5380</v>
      </c>
      <c r="M605" s="69" t="s">
        <v>5386</v>
      </c>
      <c r="N605" s="38"/>
      <c r="O605" s="38"/>
      <c r="P605" s="31"/>
    </row>
    <row r="606" spans="2:17">
      <c r="B606" s="30" t="s">
        <v>2597</v>
      </c>
      <c r="C606" s="38" t="s">
        <v>2598</v>
      </c>
      <c r="D606" s="38" t="s">
        <v>2580</v>
      </c>
      <c r="E606" s="38" t="s">
        <v>3904</v>
      </c>
      <c r="F606" s="38" t="s">
        <v>612</v>
      </c>
      <c r="G606" s="38"/>
      <c r="H606" s="53" t="str">
        <f t="shared" si="9"/>
        <v>citation:biao_zhou-01</v>
      </c>
      <c r="I606" s="54"/>
      <c r="J606" s="38" t="s">
        <v>5380</v>
      </c>
      <c r="K606" s="38" t="s">
        <v>5380</v>
      </c>
      <c r="L606" s="38" t="s">
        <v>5380</v>
      </c>
      <c r="M606" s="69" t="s">
        <v>5386</v>
      </c>
      <c r="N606" s="38"/>
      <c r="O606" s="38"/>
      <c r="P606" s="31"/>
    </row>
    <row r="607" spans="2:17">
      <c r="B607" s="30" t="s">
        <v>2599</v>
      </c>
      <c r="C607" s="38" t="s">
        <v>1074</v>
      </c>
      <c r="D607" s="38" t="s">
        <v>1657</v>
      </c>
      <c r="E607" s="38" t="s">
        <v>3905</v>
      </c>
      <c r="F607" s="38" t="s">
        <v>612</v>
      </c>
      <c r="G607" s="38"/>
      <c r="H607" s="53" t="str">
        <f t="shared" si="9"/>
        <v>citation:brian_choi-01</v>
      </c>
      <c r="I607" s="54"/>
      <c r="J607" s="38" t="s">
        <v>5380</v>
      </c>
      <c r="K607" s="38" t="s">
        <v>5380</v>
      </c>
      <c r="L607" s="38" t="s">
        <v>5380</v>
      </c>
      <c r="M607" s="69" t="s">
        <v>5387</v>
      </c>
      <c r="N607" s="38"/>
      <c r="O607" s="38"/>
      <c r="P607" s="31"/>
    </row>
    <row r="608" spans="2:17">
      <c r="B608" s="30" t="s">
        <v>2600</v>
      </c>
      <c r="C608" s="38" t="s">
        <v>2601</v>
      </c>
      <c r="D608" s="38" t="s">
        <v>1164</v>
      </c>
      <c r="E608" s="38" t="s">
        <v>3906</v>
      </c>
      <c r="F608" s="38" t="s">
        <v>612</v>
      </c>
      <c r="G608" s="38"/>
      <c r="H608" s="53" t="str">
        <f t="shared" si="9"/>
        <v>citation:chenguang_shen-01</v>
      </c>
      <c r="I608" s="54"/>
      <c r="J608" s="38" t="s">
        <v>5091</v>
      </c>
      <c r="K608" s="38">
        <v>27</v>
      </c>
      <c r="L608" s="38">
        <v>2</v>
      </c>
      <c r="M608" s="69" t="s">
        <v>5387</v>
      </c>
      <c r="N608" s="38"/>
      <c r="O608" s="38"/>
      <c r="P608" s="31"/>
    </row>
    <row r="609" spans="2:16">
      <c r="B609" s="30" t="s">
        <v>2602</v>
      </c>
      <c r="C609" s="38" t="s">
        <v>3907</v>
      </c>
      <c r="D609" s="38" t="s">
        <v>2603</v>
      </c>
      <c r="E609" s="38" t="s">
        <v>3908</v>
      </c>
      <c r="F609" s="38" t="s">
        <v>612</v>
      </c>
      <c r="G609" s="38"/>
      <c r="H609" s="53" t="str">
        <f t="shared" si="9"/>
        <v>citation:chieh_ning_lien-01</v>
      </c>
      <c r="I609" s="54"/>
      <c r="J609" s="38" t="s">
        <v>5380</v>
      </c>
      <c r="K609" s="38" t="s">
        <v>5380</v>
      </c>
      <c r="L609" s="38" t="s">
        <v>5380</v>
      </c>
      <c r="M609" s="69" t="s">
        <v>5387</v>
      </c>
      <c r="N609" s="38"/>
      <c r="O609" s="38"/>
      <c r="P609" s="31"/>
    </row>
    <row r="610" spans="2:16">
      <c r="B610" s="30" t="s">
        <v>2604</v>
      </c>
      <c r="C610" s="38" t="s">
        <v>3909</v>
      </c>
      <c r="D610" s="38" t="s">
        <v>2304</v>
      </c>
      <c r="E610" s="38" t="s">
        <v>3910</v>
      </c>
      <c r="F610" s="38" t="s">
        <v>612</v>
      </c>
      <c r="G610" s="38"/>
      <c r="H610" s="53" t="str">
        <f t="shared" si="9"/>
        <v>citation:chien_chia_chen-01</v>
      </c>
      <c r="I610" s="54"/>
      <c r="J610" s="38" t="s">
        <v>5380</v>
      </c>
      <c r="K610" s="38" t="s">
        <v>5380</v>
      </c>
      <c r="L610" s="38" t="s">
        <v>5380</v>
      </c>
      <c r="M610" s="69" t="s">
        <v>5385</v>
      </c>
      <c r="N610" s="38"/>
      <c r="O610" s="38"/>
      <c r="P610" s="31"/>
    </row>
    <row r="611" spans="2:16">
      <c r="B611" s="30" t="s">
        <v>2605</v>
      </c>
      <c r="C611" s="38" t="s">
        <v>2606</v>
      </c>
      <c r="D611" s="38" t="s">
        <v>2304</v>
      </c>
      <c r="E611" s="38" t="s">
        <v>3911</v>
      </c>
      <c r="F611" s="38" t="s">
        <v>612</v>
      </c>
      <c r="G611" s="38"/>
      <c r="H611" s="53"/>
      <c r="I611" s="54"/>
      <c r="J611" s="38"/>
      <c r="K611" s="38"/>
      <c r="L611" s="38"/>
      <c r="M611" s="69" t="s">
        <v>5380</v>
      </c>
      <c r="N611" s="38"/>
      <c r="O611" s="38"/>
      <c r="P611" s="31"/>
    </row>
    <row r="612" spans="2:16">
      <c r="B612" s="30" t="s">
        <v>2607</v>
      </c>
      <c r="C612" s="38" t="s">
        <v>2608</v>
      </c>
      <c r="D612" s="38" t="s">
        <v>1095</v>
      </c>
      <c r="E612" s="38" t="s">
        <v>3912</v>
      </c>
      <c r="F612" s="38" t="s">
        <v>612</v>
      </c>
      <c r="G612" s="38"/>
      <c r="H612" s="53" t="str">
        <f t="shared" si="9"/>
        <v>citation:dae-ki_cho-01</v>
      </c>
      <c r="I612" s="54"/>
      <c r="J612" s="38" t="s">
        <v>5101</v>
      </c>
      <c r="K612" s="38">
        <v>1270</v>
      </c>
      <c r="L612" s="38">
        <v>8</v>
      </c>
      <c r="M612" s="69" t="s">
        <v>5387</v>
      </c>
      <c r="N612" s="38"/>
      <c r="O612" s="38"/>
      <c r="P612" s="31"/>
    </row>
    <row r="613" spans="2:16">
      <c r="B613" s="30" t="s">
        <v>2609</v>
      </c>
      <c r="C613" s="38" t="s">
        <v>2610</v>
      </c>
      <c r="D613" s="38" t="s">
        <v>2611</v>
      </c>
      <c r="E613" s="38" t="s">
        <v>3913</v>
      </c>
      <c r="F613" s="38" t="s">
        <v>612</v>
      </c>
      <c r="G613" s="38"/>
      <c r="H613" s="53" t="str">
        <f t="shared" si="9"/>
        <v>citation:daniela_tulone-01</v>
      </c>
      <c r="I613" s="54"/>
      <c r="J613" s="38" t="s">
        <v>5380</v>
      </c>
      <c r="K613" s="38" t="s">
        <v>5380</v>
      </c>
      <c r="L613" s="38" t="s">
        <v>5380</v>
      </c>
      <c r="M613" s="69" t="s">
        <v>5391</v>
      </c>
      <c r="N613" s="38"/>
      <c r="O613" s="38"/>
      <c r="P613" s="31"/>
    </row>
    <row r="614" spans="2:16">
      <c r="B614" s="30" t="s">
        <v>2612</v>
      </c>
      <c r="C614" s="38" t="s">
        <v>2613</v>
      </c>
      <c r="D614" s="38" t="s">
        <v>2614</v>
      </c>
      <c r="E614" s="38" t="s">
        <v>3914</v>
      </c>
      <c r="F614" s="38" t="s">
        <v>612</v>
      </c>
      <c r="G614" s="38"/>
      <c r="H614" s="53" t="str">
        <f t="shared" si="9"/>
        <v>citation:davide_lau-01</v>
      </c>
      <c r="I614" s="54"/>
      <c r="J614" s="38" t="s">
        <v>5380</v>
      </c>
      <c r="K614" s="38" t="s">
        <v>5380</v>
      </c>
      <c r="L614" s="38" t="s">
        <v>5380</v>
      </c>
      <c r="M614" s="69" t="s">
        <v>5384</v>
      </c>
      <c r="N614" s="38"/>
      <c r="O614" s="38"/>
      <c r="P614" s="31"/>
    </row>
    <row r="615" spans="2:16">
      <c r="B615" s="30" t="s">
        <v>2615</v>
      </c>
      <c r="C615" s="38" t="s">
        <v>2616</v>
      </c>
      <c r="D615" s="38" t="s">
        <v>1212</v>
      </c>
      <c r="E615" s="38" t="s">
        <v>3915</v>
      </c>
      <c r="F615" s="38" t="s">
        <v>612</v>
      </c>
      <c r="G615" s="38"/>
      <c r="H615" s="53"/>
      <c r="I615" s="54"/>
      <c r="J615" s="38"/>
      <c r="K615" s="38"/>
      <c r="L615" s="38"/>
      <c r="M615" s="69" t="s">
        <v>5380</v>
      </c>
      <c r="N615" s="38"/>
      <c r="O615" s="38"/>
      <c r="P615" s="31"/>
    </row>
    <row r="616" spans="2:16">
      <c r="B616" s="30" t="s">
        <v>2617</v>
      </c>
      <c r="C616" s="38" t="s">
        <v>2618</v>
      </c>
      <c r="D616" s="38" t="s">
        <v>1268</v>
      </c>
      <c r="E616" s="38" t="s">
        <v>3916</v>
      </c>
      <c r="F616" s="38" t="s">
        <v>612</v>
      </c>
      <c r="G616" s="38"/>
      <c r="H616" s="53" t="str">
        <f t="shared" si="9"/>
        <v>citation:eun-kyu_lee-01</v>
      </c>
      <c r="I616" s="54"/>
      <c r="J616" s="38" t="s">
        <v>5380</v>
      </c>
      <c r="K616" s="38" t="s">
        <v>5380</v>
      </c>
      <c r="L616" s="38" t="s">
        <v>5380</v>
      </c>
      <c r="M616" s="69" t="s">
        <v>5387</v>
      </c>
      <c r="N616" s="38"/>
      <c r="O616" s="38"/>
      <c r="P616" s="31"/>
    </row>
    <row r="617" spans="2:16">
      <c r="B617" s="30" t="s">
        <v>2619</v>
      </c>
      <c r="C617" s="38" t="s">
        <v>2362</v>
      </c>
      <c r="D617" s="38" t="s">
        <v>1505</v>
      </c>
      <c r="E617" s="38" t="s">
        <v>3917</v>
      </c>
      <c r="F617" s="38" t="s">
        <v>612</v>
      </c>
      <c r="G617" s="38"/>
      <c r="H617" s="53"/>
      <c r="I617" s="54"/>
      <c r="J617" s="38"/>
      <c r="K617" s="38"/>
      <c r="L617" s="38"/>
      <c r="M617" s="69" t="s">
        <v>5380</v>
      </c>
      <c r="N617" s="38"/>
      <c r="O617" s="38"/>
      <c r="P617" s="31"/>
    </row>
    <row r="618" spans="2:16">
      <c r="B618" s="30" t="s">
        <v>2620</v>
      </c>
      <c r="C618" s="38" t="s">
        <v>2621</v>
      </c>
      <c r="D618" s="38" t="s">
        <v>1590</v>
      </c>
      <c r="E618" s="38" t="s">
        <v>3918</v>
      </c>
      <c r="F618" s="38" t="s">
        <v>612</v>
      </c>
      <c r="G618" s="38"/>
      <c r="H618" s="53"/>
      <c r="I618" s="54"/>
      <c r="J618" s="38"/>
      <c r="K618" s="38"/>
      <c r="L618" s="38"/>
      <c r="M618" s="69" t="s">
        <v>5380</v>
      </c>
      <c r="N618" s="38"/>
      <c r="O618" s="38"/>
      <c r="P618" s="31"/>
    </row>
    <row r="619" spans="2:16">
      <c r="B619" s="30" t="s">
        <v>2622</v>
      </c>
      <c r="C619" s="38" t="s">
        <v>2623</v>
      </c>
      <c r="D619" s="38" t="s">
        <v>2624</v>
      </c>
      <c r="E619" s="38" t="s">
        <v>3919</v>
      </c>
      <c r="F619" s="38" t="s">
        <v>612</v>
      </c>
      <c r="G619" s="38"/>
      <c r="H619" s="53" t="str">
        <f t="shared" si="9"/>
        <v>citation:giovanni_pau-01</v>
      </c>
      <c r="I619" s="54"/>
      <c r="J619" s="38" t="s">
        <v>5151</v>
      </c>
      <c r="K619" s="38">
        <v>2289</v>
      </c>
      <c r="L619" s="38">
        <v>24</v>
      </c>
      <c r="M619" s="69" t="s">
        <v>5384</v>
      </c>
      <c r="N619" s="38"/>
      <c r="O619" s="38"/>
      <c r="P619" s="31"/>
    </row>
    <row r="620" spans="2:16">
      <c r="B620" s="30" t="s">
        <v>2625</v>
      </c>
      <c r="C620" s="38" t="s">
        <v>2626</v>
      </c>
      <c r="D620" s="38" t="s">
        <v>2627</v>
      </c>
      <c r="E620" s="38" t="s">
        <v>3920</v>
      </c>
      <c r="F620" s="38" t="s">
        <v>612</v>
      </c>
      <c r="G620" s="38"/>
      <c r="H620" s="53" t="str">
        <f t="shared" si="9"/>
        <v>citation:guan-hua_tu-01</v>
      </c>
      <c r="I620" s="54"/>
      <c r="J620" s="38" t="s">
        <v>5154</v>
      </c>
      <c r="K620" s="38">
        <v>168</v>
      </c>
      <c r="L620" s="38">
        <v>8</v>
      </c>
      <c r="M620" s="69" t="s">
        <v>5386</v>
      </c>
      <c r="N620" s="38"/>
      <c r="O620" s="38"/>
      <c r="P620" s="31"/>
    </row>
    <row r="621" spans="2:16">
      <c r="B621" s="30" t="s">
        <v>2628</v>
      </c>
      <c r="C621" s="38" t="s">
        <v>2629</v>
      </c>
      <c r="D621" s="38" t="s">
        <v>2039</v>
      </c>
      <c r="E621" s="38" t="s">
        <v>3921</v>
      </c>
      <c r="F621" s="38" t="s">
        <v>612</v>
      </c>
      <c r="G621" s="38"/>
      <c r="H621" s="53" t="str">
        <f t="shared" si="9"/>
        <v>citation:guang_yang-01</v>
      </c>
      <c r="I621" s="54"/>
      <c r="J621" s="38" t="s">
        <v>5380</v>
      </c>
      <c r="K621" s="38" t="s">
        <v>5380</v>
      </c>
      <c r="L621" s="38" t="s">
        <v>5380</v>
      </c>
      <c r="M621" s="69" t="s">
        <v>5386</v>
      </c>
      <c r="N621" s="38"/>
      <c r="O621" s="38"/>
      <c r="P621" s="31"/>
    </row>
    <row r="622" spans="2:16">
      <c r="B622" s="30" t="s">
        <v>2630</v>
      </c>
      <c r="C622" s="38" t="s">
        <v>2631</v>
      </c>
      <c r="D622" s="38" t="s">
        <v>2632</v>
      </c>
      <c r="E622" s="38" t="s">
        <v>3922</v>
      </c>
      <c r="F622" s="38" t="s">
        <v>612</v>
      </c>
      <c r="G622" s="38"/>
      <c r="H622" s="53" t="str">
        <f t="shared" si="9"/>
        <v>citation:gustavo_marfia-01</v>
      </c>
      <c r="I622" s="54"/>
      <c r="J622" s="38" t="s">
        <v>5156</v>
      </c>
      <c r="K622" s="38">
        <v>1044</v>
      </c>
      <c r="L622" s="38">
        <v>17</v>
      </c>
      <c r="M622" s="69" t="s">
        <v>5387</v>
      </c>
      <c r="N622" s="38"/>
      <c r="O622" s="38"/>
      <c r="P622" s="31"/>
    </row>
    <row r="623" spans="2:16">
      <c r="B623" s="30" t="s">
        <v>2633</v>
      </c>
      <c r="C623" s="38" t="s">
        <v>2634</v>
      </c>
      <c r="D623" s="38" t="s">
        <v>1657</v>
      </c>
      <c r="E623" s="38" t="s">
        <v>3923</v>
      </c>
      <c r="F623" s="38" t="s">
        <v>612</v>
      </c>
      <c r="G623" s="38"/>
      <c r="H623" s="53" t="str">
        <f t="shared" si="9"/>
        <v>citation:haksoo_choi-01</v>
      </c>
      <c r="I623" s="54"/>
      <c r="J623" s="38" t="s">
        <v>5158</v>
      </c>
      <c r="K623" s="38">
        <v>220</v>
      </c>
      <c r="L623" s="38">
        <v>8</v>
      </c>
      <c r="M623" s="69" t="s">
        <v>5384</v>
      </c>
      <c r="N623" s="38"/>
      <c r="O623" s="38"/>
      <c r="P623" s="31"/>
    </row>
    <row r="624" spans="2:16">
      <c r="B624" s="30" t="s">
        <v>2635</v>
      </c>
      <c r="C624" s="38" t="s">
        <v>1537</v>
      </c>
      <c r="D624" s="38" t="s">
        <v>2636</v>
      </c>
      <c r="E624" s="38" t="s">
        <v>3924</v>
      </c>
      <c r="F624" s="38" t="s">
        <v>612</v>
      </c>
      <c r="G624" s="38"/>
      <c r="H624" s="53" t="str">
        <f t="shared" si="9"/>
        <v>citation:ian_ku-01</v>
      </c>
      <c r="I624" s="54"/>
      <c r="J624" s="38" t="s">
        <v>5380</v>
      </c>
      <c r="K624" s="38" t="s">
        <v>5380</v>
      </c>
      <c r="L624" s="38" t="s">
        <v>5380</v>
      </c>
      <c r="M624" s="69" t="s">
        <v>5387</v>
      </c>
      <c r="N624" s="38"/>
      <c r="O624" s="38"/>
      <c r="P624" s="31"/>
    </row>
    <row r="625" spans="2:16">
      <c r="B625" s="30" t="s">
        <v>2637</v>
      </c>
      <c r="C625" s="38" t="s">
        <v>1615</v>
      </c>
      <c r="D625" s="38" t="s">
        <v>2638</v>
      </c>
      <c r="E625" s="38" t="s">
        <v>3925</v>
      </c>
      <c r="F625" s="38" t="s">
        <v>612</v>
      </c>
      <c r="G625" s="38"/>
      <c r="H625" s="53"/>
      <c r="I625" s="54"/>
      <c r="J625" s="38"/>
      <c r="K625" s="38"/>
      <c r="L625" s="38"/>
      <c r="M625" s="69" t="s">
        <v>5380</v>
      </c>
      <c r="N625" s="38"/>
      <c r="O625" s="38"/>
      <c r="P625" s="31"/>
    </row>
    <row r="626" spans="2:16">
      <c r="B626" s="30" t="s">
        <v>2639</v>
      </c>
      <c r="C626" s="38" t="s">
        <v>2392</v>
      </c>
      <c r="D626" s="38" t="s">
        <v>2081</v>
      </c>
      <c r="E626" s="38" t="s">
        <v>3926</v>
      </c>
      <c r="F626" s="38" t="s">
        <v>612</v>
      </c>
      <c r="G626" s="38"/>
      <c r="H626" s="53"/>
      <c r="I626" s="54"/>
      <c r="J626" s="38"/>
      <c r="K626" s="38"/>
      <c r="L626" s="38"/>
      <c r="M626" s="69" t="s">
        <v>5380</v>
      </c>
      <c r="N626" s="38"/>
      <c r="O626" s="38"/>
      <c r="P626" s="31"/>
    </row>
    <row r="627" spans="2:16">
      <c r="B627" s="30" t="s">
        <v>2640</v>
      </c>
      <c r="C627" s="38" t="s">
        <v>2641</v>
      </c>
      <c r="D627" s="38" t="s">
        <v>2642</v>
      </c>
      <c r="E627" s="38" t="s">
        <v>3927</v>
      </c>
      <c r="F627" s="38" t="s">
        <v>612</v>
      </c>
      <c r="G627" s="38"/>
      <c r="H627" s="53" t="str">
        <f t="shared" si="9"/>
        <v>citation:jerrid_matthews-01</v>
      </c>
      <c r="I627" s="54"/>
      <c r="J627" s="38" t="s">
        <v>5380</v>
      </c>
      <c r="K627" s="38" t="s">
        <v>5380</v>
      </c>
      <c r="L627" s="38" t="s">
        <v>5380</v>
      </c>
      <c r="M627" s="69" t="s">
        <v>5384</v>
      </c>
      <c r="N627" s="38"/>
      <c r="O627" s="38"/>
      <c r="P627" s="31"/>
    </row>
    <row r="628" spans="2:16">
      <c r="B628" s="30" t="s">
        <v>2643</v>
      </c>
      <c r="C628" s="38" t="s">
        <v>2644</v>
      </c>
      <c r="D628" s="38" t="s">
        <v>2645</v>
      </c>
      <c r="E628" s="38" t="s">
        <v>3928</v>
      </c>
      <c r="F628" s="38" t="s">
        <v>612</v>
      </c>
      <c r="G628" s="38"/>
      <c r="H628" s="53" t="str">
        <f t="shared" si="9"/>
        <v>citation:jiejun_kong-01</v>
      </c>
      <c r="I628" s="54"/>
      <c r="J628" s="38" t="s">
        <v>5193</v>
      </c>
      <c r="K628" s="38">
        <v>4271</v>
      </c>
      <c r="L628" s="38">
        <v>23</v>
      </c>
      <c r="M628" s="69" t="s">
        <v>5387</v>
      </c>
      <c r="N628" s="38"/>
      <c r="O628" s="38"/>
      <c r="P628" s="31"/>
    </row>
    <row r="629" spans="2:16">
      <c r="B629" s="30" t="s">
        <v>2646</v>
      </c>
      <c r="C629" s="38" t="s">
        <v>2647</v>
      </c>
      <c r="D629" s="38" t="s">
        <v>2648</v>
      </c>
      <c r="E629" s="38" t="s">
        <v>3929</v>
      </c>
      <c r="F629" s="38" t="s">
        <v>612</v>
      </c>
      <c r="G629" s="38"/>
      <c r="H629" s="53" t="str">
        <f t="shared" si="9"/>
        <v>citation:jonathan_friedman-01</v>
      </c>
      <c r="I629" s="54"/>
      <c r="J629" s="38" t="s">
        <v>5380</v>
      </c>
      <c r="K629" s="38" t="s">
        <v>5380</v>
      </c>
      <c r="L629" s="38" t="s">
        <v>5380</v>
      </c>
      <c r="M629" s="69" t="s">
        <v>5388</v>
      </c>
      <c r="N629" s="38"/>
      <c r="O629" s="38"/>
      <c r="P629" s="31"/>
    </row>
    <row r="630" spans="2:16">
      <c r="B630" s="30" t="s">
        <v>2649</v>
      </c>
      <c r="C630" s="38" t="s">
        <v>1287</v>
      </c>
      <c r="D630" s="38" t="s">
        <v>2650</v>
      </c>
      <c r="E630" s="38" t="s">
        <v>3930</v>
      </c>
      <c r="F630" s="38" t="s">
        <v>612</v>
      </c>
      <c r="G630" s="38"/>
      <c r="H630" s="53" t="str">
        <f t="shared" si="9"/>
        <v>citation:joseph_yeh-01</v>
      </c>
      <c r="I630" s="54"/>
      <c r="J630" s="38" t="s">
        <v>5380</v>
      </c>
      <c r="K630" s="38" t="s">
        <v>5380</v>
      </c>
      <c r="L630" s="38" t="s">
        <v>5380</v>
      </c>
      <c r="M630" s="69" t="s">
        <v>5391</v>
      </c>
      <c r="N630" s="38"/>
      <c r="O630" s="38"/>
      <c r="P630" s="31"/>
    </row>
    <row r="631" spans="2:16">
      <c r="B631" s="30" t="s">
        <v>2651</v>
      </c>
      <c r="C631" s="38" t="s">
        <v>2652</v>
      </c>
      <c r="D631" s="38" t="s">
        <v>2653</v>
      </c>
      <c r="E631" s="38" t="s">
        <v>3931</v>
      </c>
      <c r="F631" s="38" t="s">
        <v>612</v>
      </c>
      <c r="G631" s="38"/>
      <c r="H631" s="53" t="str">
        <f t="shared" si="9"/>
        <v>citation:kasturi_raghavan-01</v>
      </c>
      <c r="I631" s="54"/>
      <c r="J631" s="38" t="s">
        <v>5380</v>
      </c>
      <c r="K631" s="38" t="s">
        <v>5380</v>
      </c>
      <c r="L631" s="38" t="s">
        <v>5380</v>
      </c>
      <c r="M631" s="69" t="s">
        <v>5385</v>
      </c>
      <c r="N631" s="38"/>
      <c r="O631" s="38"/>
      <c r="P631" s="31"/>
    </row>
    <row r="632" spans="2:16">
      <c r="B632" s="30" t="s">
        <v>2654</v>
      </c>
      <c r="C632" s="38" t="s">
        <v>1106</v>
      </c>
      <c r="D632" s="38" t="s">
        <v>1268</v>
      </c>
      <c r="E632" s="38" t="s">
        <v>3932</v>
      </c>
      <c r="F632" s="38" t="s">
        <v>612</v>
      </c>
      <c r="G632" s="38"/>
      <c r="H632" s="53" t="str">
        <f t="shared" si="9"/>
        <v>citation:kevin_lee-01</v>
      </c>
      <c r="I632" s="54"/>
      <c r="J632" s="38" t="s">
        <v>5380</v>
      </c>
      <c r="K632" s="38" t="s">
        <v>5380</v>
      </c>
      <c r="L632" s="38" t="s">
        <v>5380</v>
      </c>
      <c r="M632" s="69" t="s">
        <v>5386</v>
      </c>
      <c r="N632" s="38"/>
      <c r="O632" s="38"/>
      <c r="P632" s="31"/>
    </row>
    <row r="633" spans="2:16">
      <c r="B633" s="30" t="s">
        <v>2655</v>
      </c>
      <c r="C633" s="38" t="s">
        <v>2656</v>
      </c>
      <c r="D633" s="38" t="s">
        <v>2657</v>
      </c>
      <c r="E633" s="38" t="s">
        <v>3933</v>
      </c>
      <c r="F633" s="38" t="s">
        <v>612</v>
      </c>
      <c r="G633" s="38"/>
      <c r="H633" s="53" t="str">
        <f t="shared" si="9"/>
        <v>citation:lara_dolecek-01</v>
      </c>
      <c r="I633" s="54"/>
      <c r="J633" s="38" t="s">
        <v>5380</v>
      </c>
      <c r="K633" s="38" t="s">
        <v>5380</v>
      </c>
      <c r="L633" s="38" t="s">
        <v>5380</v>
      </c>
      <c r="M633" s="69" t="s">
        <v>5386</v>
      </c>
      <c r="N633" s="38"/>
      <c r="O633" s="38"/>
      <c r="P633" s="31"/>
    </row>
    <row r="634" spans="2:16">
      <c r="B634" s="30" t="s">
        <v>2658</v>
      </c>
      <c r="C634" s="38" t="s">
        <v>2659</v>
      </c>
      <c r="D634" s="38" t="s">
        <v>2304</v>
      </c>
      <c r="E634" s="38" t="s">
        <v>3934</v>
      </c>
      <c r="F634" s="38" t="s">
        <v>612</v>
      </c>
      <c r="G634" s="38"/>
      <c r="H634" s="53" t="str">
        <f t="shared" si="9"/>
        <v>citation:ling-jyh_chen-01</v>
      </c>
      <c r="I634" s="54"/>
      <c r="J634" s="38" t="s">
        <v>5229</v>
      </c>
      <c r="K634" s="38">
        <v>2355</v>
      </c>
      <c r="L634" s="38">
        <v>25</v>
      </c>
      <c r="M634" s="69" t="s">
        <v>5387</v>
      </c>
      <c r="N634" s="38"/>
      <c r="O634" s="38"/>
      <c r="P634" s="31"/>
    </row>
    <row r="635" spans="2:16">
      <c r="B635" s="30" t="s">
        <v>2660</v>
      </c>
      <c r="C635" s="38" t="s">
        <v>2661</v>
      </c>
      <c r="D635" s="38" t="s">
        <v>1414</v>
      </c>
      <c r="E635" s="38" t="s">
        <v>3935</v>
      </c>
      <c r="F635" s="38" t="s">
        <v>612</v>
      </c>
      <c r="G635" s="38"/>
      <c r="H635" s="53" t="str">
        <f t="shared" si="9"/>
        <v>citation:lixia_zhang-01</v>
      </c>
      <c r="I635" s="54"/>
      <c r="J635" s="38" t="s">
        <v>5230</v>
      </c>
      <c r="K635" s="38">
        <v>48547</v>
      </c>
      <c r="L635" s="38">
        <v>84</v>
      </c>
      <c r="M635" s="69" t="s">
        <v>5384</v>
      </c>
      <c r="N635" s="38"/>
      <c r="O635" s="38"/>
      <c r="P635" s="31"/>
    </row>
    <row r="636" spans="2:16">
      <c r="B636" s="30" t="s">
        <v>2662</v>
      </c>
      <c r="C636" s="38" t="s">
        <v>2663</v>
      </c>
      <c r="D636" s="38" t="s">
        <v>3936</v>
      </c>
      <c r="E636" s="38" t="s">
        <v>3937</v>
      </c>
      <c r="F636" s="38" t="s">
        <v>612</v>
      </c>
      <c r="G636" s="38"/>
      <c r="H636" s="53" t="str">
        <f t="shared" si="9"/>
        <v>citation:luiz_filipe_vieira-01</v>
      </c>
      <c r="I636" s="54"/>
      <c r="J636" s="38" t="s">
        <v>5235</v>
      </c>
      <c r="K636" s="38">
        <v>1135</v>
      </c>
      <c r="L636" s="38">
        <v>16</v>
      </c>
      <c r="M636" s="69" t="s">
        <v>5387</v>
      </c>
      <c r="N636" s="38"/>
      <c r="O636" s="38"/>
      <c r="P636" s="31"/>
    </row>
    <row r="637" spans="2:16">
      <c r="B637" s="30" t="s">
        <v>2664</v>
      </c>
      <c r="C637" s="38" t="s">
        <v>2665</v>
      </c>
      <c r="D637" s="38" t="s">
        <v>2666</v>
      </c>
      <c r="E637" s="38" t="s">
        <v>3938</v>
      </c>
      <c r="F637" s="38" t="s">
        <v>612</v>
      </c>
      <c r="G637" s="38"/>
      <c r="H637" s="53" t="str">
        <f t="shared" si="9"/>
        <v>citation:mani_srivastava-01</v>
      </c>
      <c r="I637" s="54"/>
      <c r="J637" s="38" t="s">
        <v>5236</v>
      </c>
      <c r="K637" s="38">
        <v>40167</v>
      </c>
      <c r="L637" s="38">
        <v>87</v>
      </c>
      <c r="M637" s="69" t="s">
        <v>5384</v>
      </c>
      <c r="N637" s="38"/>
      <c r="O637" s="38"/>
      <c r="P637" s="31"/>
    </row>
    <row r="638" spans="2:16">
      <c r="B638" s="30" t="s">
        <v>2667</v>
      </c>
      <c r="C638" s="38" t="s">
        <v>2668</v>
      </c>
      <c r="D638" s="38" t="s">
        <v>2669</v>
      </c>
      <c r="E638" s="38" t="s">
        <v>3939</v>
      </c>
      <c r="F638" s="38" t="s">
        <v>612</v>
      </c>
      <c r="G638" s="38"/>
      <c r="H638" s="53" t="str">
        <f t="shared" si="9"/>
        <v>citation:mario_gerla-01</v>
      </c>
      <c r="I638" s="54"/>
      <c r="J638" s="38" t="s">
        <v>5380</v>
      </c>
      <c r="K638" s="38" t="s">
        <v>5380</v>
      </c>
      <c r="L638" s="38" t="s">
        <v>5380</v>
      </c>
      <c r="M638" s="69" t="s">
        <v>5386</v>
      </c>
      <c r="N638" s="38"/>
      <c r="O638" s="38"/>
      <c r="P638" s="31"/>
    </row>
    <row r="639" spans="2:16">
      <c r="B639" s="30" t="s">
        <v>2670</v>
      </c>
      <c r="C639" s="38" t="s">
        <v>2671</v>
      </c>
      <c r="D639" s="38" t="s">
        <v>2672</v>
      </c>
      <c r="E639" s="38" t="s">
        <v>3940</v>
      </c>
      <c r="F639" s="38" t="s">
        <v>612</v>
      </c>
      <c r="G639" s="38"/>
      <c r="H639" s="53" t="str">
        <f t="shared" si="9"/>
        <v>citation:matt_millar-01</v>
      </c>
      <c r="I639" s="54"/>
      <c r="J639" s="38" t="s">
        <v>5380</v>
      </c>
      <c r="K639" s="38" t="s">
        <v>5380</v>
      </c>
      <c r="L639" s="38" t="s">
        <v>5380</v>
      </c>
      <c r="M639" s="69" t="s">
        <v>5387</v>
      </c>
      <c r="N639" s="38"/>
      <c r="O639" s="38"/>
      <c r="P639" s="31"/>
    </row>
    <row r="640" spans="2:16">
      <c r="B640" s="30" t="s">
        <v>2673</v>
      </c>
      <c r="C640" s="38" t="s">
        <v>2674</v>
      </c>
      <c r="D640" s="38" t="s">
        <v>2675</v>
      </c>
      <c r="E640" s="38" t="s">
        <v>3941</v>
      </c>
      <c r="F640" s="38" t="s">
        <v>612</v>
      </c>
      <c r="G640" s="38"/>
      <c r="H640" s="53"/>
      <c r="I640" s="54"/>
      <c r="J640" s="38"/>
      <c r="K640" s="38"/>
      <c r="L640" s="38"/>
      <c r="M640" s="69" t="s">
        <v>5380</v>
      </c>
      <c r="N640" s="38"/>
      <c r="O640" s="38"/>
      <c r="P640" s="31"/>
    </row>
    <row r="641" spans="2:16">
      <c r="B641" s="30" t="s">
        <v>2676</v>
      </c>
      <c r="C641" s="38" t="s">
        <v>1501</v>
      </c>
      <c r="D641" s="38" t="s">
        <v>2677</v>
      </c>
      <c r="E641" s="38" t="s">
        <v>3942</v>
      </c>
      <c r="F641" s="38" t="s">
        <v>612</v>
      </c>
      <c r="G641" s="38"/>
      <c r="H641" s="53" t="str">
        <f t="shared" si="9"/>
        <v>citation:michael_meisel-01</v>
      </c>
      <c r="I641" s="54"/>
      <c r="J641" s="38" t="s">
        <v>5380</v>
      </c>
      <c r="K641" s="38" t="s">
        <v>5380</v>
      </c>
      <c r="L641" s="38" t="s">
        <v>5380</v>
      </c>
      <c r="M641" s="69" t="s">
        <v>5387</v>
      </c>
      <c r="N641" s="38"/>
      <c r="O641" s="38"/>
      <c r="P641" s="31"/>
    </row>
    <row r="642" spans="2:16">
      <c r="B642" s="30" t="s">
        <v>2678</v>
      </c>
      <c r="C642" s="38" t="s">
        <v>2679</v>
      </c>
      <c r="D642" s="38" t="s">
        <v>2304</v>
      </c>
      <c r="E642" s="38" t="s">
        <v>3943</v>
      </c>
      <c r="F642" s="38" t="s">
        <v>612</v>
      </c>
      <c r="G642" s="38"/>
      <c r="H642" s="53" t="str">
        <f t="shared" si="9"/>
        <v>citation:nanxi_chen-01</v>
      </c>
      <c r="I642" s="54"/>
      <c r="J642" s="38" t="s">
        <v>5380</v>
      </c>
      <c r="K642" s="38" t="s">
        <v>5380</v>
      </c>
      <c r="L642" s="38" t="s">
        <v>5380</v>
      </c>
      <c r="M642" s="69" t="s">
        <v>5388</v>
      </c>
      <c r="N642" s="38"/>
      <c r="O642" s="38"/>
      <c r="P642" s="31"/>
    </row>
    <row r="643" spans="2:16">
      <c r="B643" s="30" t="s">
        <v>2680</v>
      </c>
      <c r="C643" s="38" t="s">
        <v>2681</v>
      </c>
      <c r="D643" s="38" t="s">
        <v>2682</v>
      </c>
      <c r="E643" s="38" t="s">
        <v>3944</v>
      </c>
      <c r="F643" s="38" t="s">
        <v>612</v>
      </c>
      <c r="G643" s="38"/>
      <c r="H643" s="53" t="str">
        <f t="shared" ref="H643:H705" si="10">"citation:"&amp;B643&amp;"-01"</f>
        <v>citation:nicolas_bitouze-01</v>
      </c>
      <c r="I643" s="54"/>
      <c r="J643" s="38" t="s">
        <v>5380</v>
      </c>
      <c r="K643" s="38" t="s">
        <v>5380</v>
      </c>
      <c r="L643" s="38" t="s">
        <v>5380</v>
      </c>
      <c r="M643" s="69" t="s">
        <v>5386</v>
      </c>
      <c r="N643" s="38"/>
      <c r="O643" s="38"/>
      <c r="P643" s="31"/>
    </row>
    <row r="644" spans="2:16">
      <c r="B644" s="30" t="s">
        <v>2683</v>
      </c>
      <c r="C644" s="38" t="s">
        <v>2684</v>
      </c>
      <c r="D644" s="38" t="s">
        <v>2685</v>
      </c>
      <c r="E644" s="38" t="s">
        <v>3945</v>
      </c>
      <c r="F644" s="38" t="s">
        <v>612</v>
      </c>
      <c r="G644" s="38"/>
      <c r="H644" s="53" t="str">
        <f t="shared" si="10"/>
        <v>citation:nishanth_alapati-01</v>
      </c>
      <c r="I644" s="54"/>
      <c r="J644" s="38" t="s">
        <v>5380</v>
      </c>
      <c r="K644" s="38" t="s">
        <v>5380</v>
      </c>
      <c r="L644" s="38" t="s">
        <v>5380</v>
      </c>
      <c r="M644" s="69" t="s">
        <v>5384</v>
      </c>
      <c r="N644" s="38"/>
      <c r="O644" s="38"/>
      <c r="P644" s="31"/>
    </row>
    <row r="645" spans="2:16">
      <c r="B645" s="30" t="s">
        <v>2686</v>
      </c>
      <c r="C645" s="38" t="s">
        <v>1120</v>
      </c>
      <c r="D645" s="38" t="s">
        <v>1471</v>
      </c>
      <c r="E645" s="38" t="s">
        <v>3946</v>
      </c>
      <c r="F645" s="38" t="s">
        <v>612</v>
      </c>
      <c r="G645" s="38"/>
      <c r="H645" s="53" t="str">
        <f t="shared" si="10"/>
        <v>citation:paul_martin-01</v>
      </c>
      <c r="I645" s="54"/>
      <c r="J645" s="38" t="s">
        <v>5380</v>
      </c>
      <c r="K645" s="38" t="s">
        <v>5380</v>
      </c>
      <c r="L645" s="38" t="s">
        <v>5380</v>
      </c>
      <c r="M645" s="69" t="s">
        <v>5386</v>
      </c>
      <c r="N645" s="38"/>
      <c r="O645" s="38"/>
      <c r="P645" s="31"/>
    </row>
    <row r="646" spans="2:16">
      <c r="B646" s="30" t="s">
        <v>2687</v>
      </c>
      <c r="C646" s="38" t="s">
        <v>2688</v>
      </c>
      <c r="D646" s="38" t="s">
        <v>1964</v>
      </c>
      <c r="E646" s="38" t="s">
        <v>3947</v>
      </c>
      <c r="F646" s="38" t="s">
        <v>612</v>
      </c>
      <c r="G646" s="38"/>
      <c r="H646" s="53"/>
      <c r="I646" s="54"/>
      <c r="J646" s="38"/>
      <c r="K646" s="38"/>
      <c r="L646" s="38"/>
      <c r="M646" s="69" t="s">
        <v>5380</v>
      </c>
      <c r="N646" s="38"/>
      <c r="O646" s="38"/>
      <c r="P646" s="31"/>
    </row>
    <row r="647" spans="2:16">
      <c r="B647" s="30" t="s">
        <v>2689</v>
      </c>
      <c r="C647" s="38" t="s">
        <v>2690</v>
      </c>
      <c r="D647" s="38" t="s">
        <v>1493</v>
      </c>
      <c r="E647" s="38" t="s">
        <v>3948</v>
      </c>
      <c r="F647" s="38" t="s">
        <v>612</v>
      </c>
      <c r="G647" s="38"/>
      <c r="H647" s="53" t="str">
        <f t="shared" si="10"/>
        <v>citation:pengkai_zhao-01</v>
      </c>
      <c r="I647" s="54"/>
      <c r="J647" s="38" t="s">
        <v>5282</v>
      </c>
      <c r="K647" s="38">
        <v>62</v>
      </c>
      <c r="L647" s="38">
        <v>5</v>
      </c>
      <c r="M647" s="69" t="s">
        <v>5385</v>
      </c>
      <c r="N647" s="38"/>
      <c r="O647" s="38"/>
      <c r="P647" s="31"/>
    </row>
    <row r="648" spans="2:16">
      <c r="B648" s="30" t="s">
        <v>2691</v>
      </c>
      <c r="C648" s="38" t="s">
        <v>2692</v>
      </c>
      <c r="D648" s="38" t="s">
        <v>2693</v>
      </c>
      <c r="E648" s="38" t="s">
        <v>3949</v>
      </c>
      <c r="F648" s="38" t="s">
        <v>612</v>
      </c>
      <c r="G648" s="38"/>
      <c r="H648" s="53"/>
      <c r="I648" s="54"/>
      <c r="J648" s="38"/>
      <c r="K648" s="38"/>
      <c r="L648" s="38"/>
      <c r="M648" s="69" t="s">
        <v>5380</v>
      </c>
      <c r="N648" s="38"/>
      <c r="O648" s="38"/>
      <c r="P648" s="31"/>
    </row>
    <row r="649" spans="2:16">
      <c r="B649" s="30" t="s">
        <v>2694</v>
      </c>
      <c r="C649" s="38" t="s">
        <v>1809</v>
      </c>
      <c r="D649" s="38" t="s">
        <v>2695</v>
      </c>
      <c r="E649" s="38" t="s">
        <v>3950</v>
      </c>
      <c r="F649" s="38" t="s">
        <v>612</v>
      </c>
      <c r="G649" s="38"/>
      <c r="H649" s="53" t="str">
        <f t="shared" si="10"/>
        <v>citation:roy_shea-01</v>
      </c>
      <c r="I649" s="54"/>
      <c r="J649" s="38" t="s">
        <v>5380</v>
      </c>
      <c r="K649" s="38" t="s">
        <v>5380</v>
      </c>
      <c r="L649" s="38" t="s">
        <v>5380</v>
      </c>
      <c r="M649" s="69" t="s">
        <v>5387</v>
      </c>
      <c r="N649" s="38"/>
      <c r="O649" s="38"/>
      <c r="P649" s="31"/>
    </row>
    <row r="650" spans="2:16">
      <c r="B650" s="30" t="s">
        <v>2696</v>
      </c>
      <c r="C650" s="38" t="s">
        <v>1134</v>
      </c>
      <c r="D650" s="38" t="s">
        <v>2697</v>
      </c>
      <c r="E650" s="38" t="s">
        <v>3951</v>
      </c>
      <c r="F650" s="38" t="s">
        <v>612</v>
      </c>
      <c r="G650" s="38"/>
      <c r="H650" s="53" t="str">
        <f t="shared" si="10"/>
        <v>citation:ryan_cheung-01</v>
      </c>
      <c r="I650" s="54"/>
      <c r="J650" s="38" t="s">
        <v>5380</v>
      </c>
      <c r="K650" s="38" t="s">
        <v>5380</v>
      </c>
      <c r="L650" s="38" t="s">
        <v>5380</v>
      </c>
      <c r="M650" s="69" t="s">
        <v>5391</v>
      </c>
      <c r="N650" s="38"/>
      <c r="O650" s="38"/>
      <c r="P650" s="31"/>
    </row>
    <row r="651" spans="2:16">
      <c r="B651" s="30" t="s">
        <v>2698</v>
      </c>
      <c r="C651" s="38" t="s">
        <v>2699</v>
      </c>
      <c r="D651" s="38" t="s">
        <v>2700</v>
      </c>
      <c r="E651" s="38" t="s">
        <v>3952</v>
      </c>
      <c r="F651" s="38" t="s">
        <v>612</v>
      </c>
      <c r="G651" s="38"/>
      <c r="H651" s="53" t="str">
        <f t="shared" si="10"/>
        <v>citation:sadaf_zahedi-01</v>
      </c>
      <c r="I651" s="54"/>
      <c r="J651" s="38" t="s">
        <v>5380</v>
      </c>
      <c r="K651" s="38" t="s">
        <v>5380</v>
      </c>
      <c r="L651" s="38" t="s">
        <v>5380</v>
      </c>
      <c r="M651" s="69" t="s">
        <v>5386</v>
      </c>
      <c r="N651" s="38"/>
      <c r="O651" s="38"/>
      <c r="P651" s="31"/>
    </row>
    <row r="652" spans="2:16">
      <c r="B652" s="30" t="s">
        <v>2701</v>
      </c>
      <c r="C652" s="38" t="s">
        <v>2702</v>
      </c>
      <c r="D652" s="38" t="s">
        <v>2703</v>
      </c>
      <c r="E652" s="38" t="s">
        <v>3953</v>
      </c>
      <c r="F652" s="38" t="s">
        <v>612</v>
      </c>
      <c r="G652" s="38"/>
      <c r="H652" s="53"/>
      <c r="I652" s="54"/>
      <c r="J652" s="38"/>
      <c r="K652" s="38"/>
      <c r="L652" s="38"/>
      <c r="M652" s="69" t="s">
        <v>5380</v>
      </c>
      <c r="N652" s="38"/>
      <c r="O652" s="38"/>
      <c r="P652" s="31"/>
    </row>
    <row r="653" spans="2:16">
      <c r="B653" s="30" t="s">
        <v>2704</v>
      </c>
      <c r="C653" s="38" t="s">
        <v>2705</v>
      </c>
      <c r="D653" s="38" t="s">
        <v>2706</v>
      </c>
      <c r="E653" s="38" t="s">
        <v>3954</v>
      </c>
      <c r="F653" s="38" t="s">
        <v>612</v>
      </c>
      <c r="G653" s="38"/>
      <c r="H653" s="53"/>
      <c r="I653" s="54"/>
      <c r="J653" s="38"/>
      <c r="K653" s="38"/>
      <c r="L653" s="38"/>
      <c r="M653" s="69" t="s">
        <v>5380</v>
      </c>
      <c r="N653" s="38"/>
      <c r="O653" s="38"/>
      <c r="P653" s="31"/>
    </row>
    <row r="654" spans="2:16">
      <c r="B654" s="30" t="s">
        <v>2707</v>
      </c>
      <c r="C654" s="38" t="s">
        <v>2708</v>
      </c>
      <c r="D654" s="38" t="s">
        <v>2709</v>
      </c>
      <c r="E654" s="38" t="s">
        <v>3955</v>
      </c>
      <c r="F654" s="38" t="s">
        <v>612</v>
      </c>
      <c r="G654" s="38"/>
      <c r="H654" s="53"/>
      <c r="I654" s="54"/>
      <c r="J654" s="38"/>
      <c r="K654" s="38"/>
      <c r="L654" s="38"/>
      <c r="M654" s="69" t="s">
        <v>5380</v>
      </c>
      <c r="N654" s="38"/>
      <c r="O654" s="38"/>
      <c r="P654" s="31"/>
    </row>
    <row r="655" spans="2:16">
      <c r="B655" s="30" t="s">
        <v>2710</v>
      </c>
      <c r="C655" s="38" t="s">
        <v>2711</v>
      </c>
      <c r="D655" s="38" t="s">
        <v>1268</v>
      </c>
      <c r="E655" s="38" t="s">
        <v>3956</v>
      </c>
      <c r="F655" s="38" t="s">
        <v>612</v>
      </c>
      <c r="G655" s="38"/>
      <c r="H655" s="53" t="str">
        <f t="shared" si="10"/>
        <v>citation:seung-hoon_lee-01</v>
      </c>
      <c r="I655" s="54"/>
      <c r="J655" s="38" t="s">
        <v>5315</v>
      </c>
      <c r="K655" s="38">
        <v>8376</v>
      </c>
      <c r="L655" s="38">
        <v>45</v>
      </c>
      <c r="M655" s="69" t="s">
        <v>5387</v>
      </c>
      <c r="N655" s="38"/>
      <c r="O655" s="38"/>
      <c r="P655" s="31"/>
    </row>
    <row r="656" spans="2:16">
      <c r="B656" s="30" t="s">
        <v>2712</v>
      </c>
      <c r="C656" s="38" t="s">
        <v>2713</v>
      </c>
      <c r="D656" s="38" t="s">
        <v>2714</v>
      </c>
      <c r="E656" s="38" t="s">
        <v>3957</v>
      </c>
      <c r="F656" s="38" t="s">
        <v>612</v>
      </c>
      <c r="G656" s="38"/>
      <c r="H656" s="53" t="str">
        <f t="shared" si="10"/>
        <v>citation:sewook_jung-01</v>
      </c>
      <c r="I656" s="54"/>
      <c r="J656" s="38" t="s">
        <v>5317</v>
      </c>
      <c r="K656" s="38">
        <v>863</v>
      </c>
      <c r="L656" s="38">
        <v>14</v>
      </c>
      <c r="M656" s="69" t="s">
        <v>5387</v>
      </c>
      <c r="N656" s="38"/>
      <c r="O656" s="38"/>
      <c r="P656" s="31"/>
    </row>
    <row r="657" spans="2:16">
      <c r="B657" s="30" t="s">
        <v>2715</v>
      </c>
      <c r="C657" s="38" t="s">
        <v>2716</v>
      </c>
      <c r="D657" s="38" t="s">
        <v>1919</v>
      </c>
      <c r="E657" s="38" t="s">
        <v>3958</v>
      </c>
      <c r="F657" s="38" t="s">
        <v>612</v>
      </c>
      <c r="G657" s="38"/>
      <c r="H657" s="53" t="str">
        <f t="shared" si="10"/>
        <v>citation:songwu_lu-01</v>
      </c>
      <c r="I657" s="54"/>
      <c r="J657" s="38" t="s">
        <v>5329</v>
      </c>
      <c r="K657" s="38">
        <v>23551</v>
      </c>
      <c r="L657" s="38">
        <v>61</v>
      </c>
      <c r="M657" s="69" t="s">
        <v>5385</v>
      </c>
      <c r="N657" s="38"/>
      <c r="O657" s="38"/>
      <c r="P657" s="31"/>
    </row>
    <row r="658" spans="2:16">
      <c r="B658" s="30" t="s">
        <v>2717</v>
      </c>
      <c r="C658" s="38" t="s">
        <v>3959</v>
      </c>
      <c r="D658" s="38" t="s">
        <v>1285</v>
      </c>
      <c r="E658" s="38" t="s">
        <v>3960</v>
      </c>
      <c r="F658" s="38" t="s">
        <v>612</v>
      </c>
      <c r="G658" s="38"/>
      <c r="H658" s="53" t="str">
        <f t="shared" si="10"/>
        <v>citation:soon_young_oh-01</v>
      </c>
      <c r="I658" s="54"/>
      <c r="J658" s="38" t="s">
        <v>5380</v>
      </c>
      <c r="K658" s="38" t="s">
        <v>5380</v>
      </c>
      <c r="L658" s="38" t="s">
        <v>5380</v>
      </c>
      <c r="M658" s="69" t="s">
        <v>5385</v>
      </c>
      <c r="N658" s="38"/>
      <c r="O658" s="38"/>
      <c r="P658" s="31"/>
    </row>
    <row r="659" spans="2:16">
      <c r="B659" s="30" t="s">
        <v>2718</v>
      </c>
      <c r="C659" s="38" t="s">
        <v>2719</v>
      </c>
      <c r="D659" s="38" t="s">
        <v>1268</v>
      </c>
      <c r="E659" s="38" t="s">
        <v>3961</v>
      </c>
      <c r="F659" s="38" t="s">
        <v>612</v>
      </c>
      <c r="G659" s="38"/>
      <c r="H659" s="53"/>
      <c r="I659" s="54"/>
      <c r="J659" s="38"/>
      <c r="K659" s="38"/>
      <c r="L659" s="38"/>
      <c r="M659" s="69" t="s">
        <v>5380</v>
      </c>
      <c r="N659" s="38"/>
      <c r="O659" s="38"/>
      <c r="P659" s="31"/>
    </row>
    <row r="660" spans="2:16">
      <c r="B660" s="30" t="s">
        <v>2720</v>
      </c>
      <c r="C660" s="38" t="s">
        <v>2721</v>
      </c>
      <c r="D660" s="38" t="s">
        <v>1295</v>
      </c>
      <c r="E660" s="38" t="s">
        <v>3962</v>
      </c>
      <c r="F660" s="38" t="s">
        <v>612</v>
      </c>
      <c r="G660" s="38"/>
      <c r="H660" s="53" t="str">
        <f t="shared" si="10"/>
        <v>citation:supriyo_chakraborty-01</v>
      </c>
      <c r="I660" s="54"/>
      <c r="J660" s="38" t="s">
        <v>5336</v>
      </c>
      <c r="K660" s="38">
        <v>293</v>
      </c>
      <c r="L660" s="38">
        <v>9</v>
      </c>
      <c r="M660" s="69" t="s">
        <v>5388</v>
      </c>
      <c r="N660" s="38"/>
      <c r="O660" s="38"/>
      <c r="P660" s="31"/>
    </row>
    <row r="661" spans="2:16">
      <c r="B661" s="30" t="s">
        <v>2722</v>
      </c>
      <c r="C661" s="38" t="s">
        <v>1683</v>
      </c>
      <c r="D661" s="38" t="s">
        <v>2723</v>
      </c>
      <c r="E661" s="38" t="s">
        <v>3963</v>
      </c>
      <c r="F661" s="38" t="s">
        <v>612</v>
      </c>
      <c r="G661" s="38"/>
      <c r="H661" s="53" t="str">
        <f t="shared" si="10"/>
        <v>citation:thomas_schmid-01</v>
      </c>
      <c r="I661" s="54"/>
      <c r="J661" s="38" t="s">
        <v>5347</v>
      </c>
      <c r="K661" s="38">
        <v>1344</v>
      </c>
      <c r="L661" s="38">
        <v>19</v>
      </c>
      <c r="M661" s="69" t="s">
        <v>5388</v>
      </c>
      <c r="N661" s="38"/>
      <c r="O661" s="38"/>
      <c r="P661" s="31"/>
    </row>
    <row r="662" spans="2:16">
      <c r="B662" s="30" t="s">
        <v>2724</v>
      </c>
      <c r="C662" s="38" t="s">
        <v>2725</v>
      </c>
      <c r="D662" s="38" t="s">
        <v>2726</v>
      </c>
      <c r="E662" s="38" t="s">
        <v>3964</v>
      </c>
      <c r="F662" s="38" t="s">
        <v>612</v>
      </c>
      <c r="G662" s="38"/>
      <c r="H662" s="53" t="str">
        <f t="shared" si="10"/>
        <v>citation:tony_sun-01</v>
      </c>
      <c r="I662" s="54"/>
      <c r="J662" s="38" t="s">
        <v>5380</v>
      </c>
      <c r="K662" s="38" t="s">
        <v>5380</v>
      </c>
      <c r="L662" s="38" t="s">
        <v>5380</v>
      </c>
      <c r="M662" s="69" t="s">
        <v>5386</v>
      </c>
      <c r="N662" s="38"/>
      <c r="O662" s="38"/>
      <c r="P662" s="31"/>
    </row>
    <row r="663" spans="2:16">
      <c r="B663" s="30" t="s">
        <v>2727</v>
      </c>
      <c r="C663" s="38" t="s">
        <v>2728</v>
      </c>
      <c r="D663" s="38" t="s">
        <v>1879</v>
      </c>
      <c r="E663" s="38" t="s">
        <v>3965</v>
      </c>
      <c r="F663" s="38" t="s">
        <v>612</v>
      </c>
      <c r="G663" s="38"/>
      <c r="H663" s="53" t="str">
        <f t="shared" si="10"/>
        <v>citation:triet_le-01</v>
      </c>
      <c r="I663" s="54"/>
      <c r="J663" s="38" t="s">
        <v>5380</v>
      </c>
      <c r="K663" s="38" t="s">
        <v>5380</v>
      </c>
      <c r="L663" s="38" t="s">
        <v>5380</v>
      </c>
      <c r="M663" s="69" t="s">
        <v>5391</v>
      </c>
      <c r="N663" s="38"/>
      <c r="O663" s="38"/>
      <c r="P663" s="31"/>
    </row>
    <row r="664" spans="2:16">
      <c r="B664" s="30" t="s">
        <v>2729</v>
      </c>
      <c r="C664" s="38" t="s">
        <v>2730</v>
      </c>
      <c r="D664" s="38" t="s">
        <v>1268</v>
      </c>
      <c r="E664" s="38" t="s">
        <v>3966</v>
      </c>
      <c r="F664" s="38" t="s">
        <v>612</v>
      </c>
      <c r="G664" s="38"/>
      <c r="H664" s="53" t="str">
        <f t="shared" si="10"/>
        <v>citation:uichin_lee-01</v>
      </c>
      <c r="I664" s="54"/>
      <c r="J664" s="38" t="s">
        <v>5352</v>
      </c>
      <c r="K664" s="38">
        <v>3673</v>
      </c>
      <c r="L664" s="38">
        <v>31</v>
      </c>
      <c r="M664" s="69" t="s">
        <v>5387</v>
      </c>
      <c r="N664" s="38"/>
      <c r="O664" s="38"/>
      <c r="P664" s="31"/>
    </row>
    <row r="665" spans="2:16">
      <c r="B665" s="30" t="s">
        <v>2731</v>
      </c>
      <c r="C665" s="38" t="s">
        <v>1452</v>
      </c>
      <c r="D665" s="38" t="s">
        <v>2732</v>
      </c>
      <c r="E665" s="38" t="s">
        <v>3967</v>
      </c>
      <c r="F665" s="38" t="s">
        <v>612</v>
      </c>
      <c r="G665" s="38"/>
      <c r="H665" s="53" t="str">
        <f t="shared" si="10"/>
        <v>citation:wentao_ouyang-01</v>
      </c>
      <c r="I665" s="54"/>
      <c r="J665" s="38" t="s">
        <v>5361</v>
      </c>
      <c r="K665" s="38">
        <v>243</v>
      </c>
      <c r="L665" s="38">
        <v>8</v>
      </c>
      <c r="M665" s="69" t="s">
        <v>5384</v>
      </c>
      <c r="N665" s="38"/>
      <c r="O665" s="38"/>
      <c r="P665" s="31"/>
    </row>
    <row r="666" spans="2:16">
      <c r="B666" s="30" t="s">
        <v>2733</v>
      </c>
      <c r="C666" s="38" t="s">
        <v>2734</v>
      </c>
      <c r="D666" s="38" t="s">
        <v>1212</v>
      </c>
      <c r="E666" s="38" t="s">
        <v>3968</v>
      </c>
      <c r="F666" s="38" t="s">
        <v>612</v>
      </c>
      <c r="G666" s="38"/>
      <c r="H666" s="53" t="str">
        <f t="shared" si="10"/>
        <v>citation:wooseong_kim-01</v>
      </c>
      <c r="I666" s="54"/>
      <c r="J666" s="38" t="s">
        <v>5380</v>
      </c>
      <c r="K666" s="38" t="s">
        <v>5380</v>
      </c>
      <c r="L666" s="38" t="s">
        <v>5380</v>
      </c>
      <c r="M666" s="69" t="s">
        <v>5386</v>
      </c>
      <c r="N666" s="38"/>
      <c r="O666" s="38"/>
      <c r="P666" s="31"/>
    </row>
    <row r="667" spans="2:16">
      <c r="B667" s="30" t="s">
        <v>2735</v>
      </c>
      <c r="C667" s="38" t="s">
        <v>2736</v>
      </c>
      <c r="D667" s="38" t="s">
        <v>2737</v>
      </c>
      <c r="E667" s="38" t="s">
        <v>3969</v>
      </c>
      <c r="F667" s="38" t="s">
        <v>612</v>
      </c>
      <c r="G667" s="38"/>
      <c r="H667" s="53" t="str">
        <f t="shared" si="10"/>
        <v>citation:yasser_shoukry-01</v>
      </c>
      <c r="I667" s="54"/>
      <c r="J667" s="38" t="s">
        <v>5367</v>
      </c>
      <c r="K667" s="38">
        <v>120</v>
      </c>
      <c r="L667" s="38">
        <v>7</v>
      </c>
      <c r="M667" s="69" t="s">
        <v>5388</v>
      </c>
      <c r="N667" s="38"/>
      <c r="O667" s="38"/>
      <c r="P667" s="31"/>
    </row>
    <row r="668" spans="2:16">
      <c r="B668" s="30" t="s">
        <v>2738</v>
      </c>
      <c r="C668" s="38" t="s">
        <v>2739</v>
      </c>
      <c r="D668" s="38" t="s">
        <v>1268</v>
      </c>
      <c r="E668" s="38" t="s">
        <v>3970</v>
      </c>
      <c r="F668" s="38" t="s">
        <v>612</v>
      </c>
      <c r="G668" s="38"/>
      <c r="H668" s="53" t="str">
        <f t="shared" si="10"/>
        <v>citation:yeng_zhong_lee-01</v>
      </c>
      <c r="I668" s="54"/>
      <c r="J668" s="38" t="s">
        <v>5380</v>
      </c>
      <c r="K668" s="38" t="s">
        <v>5380</v>
      </c>
      <c r="L668" s="38" t="s">
        <v>5380</v>
      </c>
      <c r="M668" s="69" t="s">
        <v>5387</v>
      </c>
      <c r="N668" s="38"/>
      <c r="O668" s="38"/>
      <c r="P668" s="31"/>
    </row>
    <row r="669" spans="2:16">
      <c r="B669" s="30" t="s">
        <v>2740</v>
      </c>
      <c r="C669" s="38" t="s">
        <v>2741</v>
      </c>
      <c r="D669" s="38" t="s">
        <v>1919</v>
      </c>
      <c r="E669" s="38" t="s">
        <v>3971</v>
      </c>
      <c r="F669" s="38" t="s">
        <v>612</v>
      </c>
      <c r="G669" s="38"/>
      <c r="H669" s="53" t="str">
        <f t="shared" si="10"/>
        <v>citation:you_lu-01</v>
      </c>
      <c r="I669" s="54"/>
      <c r="J669" s="38" t="s">
        <v>5380</v>
      </c>
      <c r="K669" s="38" t="s">
        <v>5380</v>
      </c>
      <c r="L669" s="38" t="s">
        <v>5380</v>
      </c>
      <c r="M669" s="69" t="s">
        <v>5385</v>
      </c>
      <c r="N669" s="38"/>
      <c r="O669" s="38"/>
      <c r="P669" s="31"/>
    </row>
    <row r="670" spans="2:16">
      <c r="B670" s="30" t="s">
        <v>2742</v>
      </c>
      <c r="C670" s="38" t="s">
        <v>2743</v>
      </c>
      <c r="D670" s="38" t="s">
        <v>1212</v>
      </c>
      <c r="E670" s="38" t="s">
        <v>3972</v>
      </c>
      <c r="F670" s="38" t="s">
        <v>612</v>
      </c>
      <c r="G670" s="38"/>
      <c r="H670" s="53" t="str">
        <f t="shared" si="10"/>
        <v>citation:younghun_kim-01</v>
      </c>
      <c r="I670" s="54"/>
      <c r="J670" s="38" t="s">
        <v>5380</v>
      </c>
      <c r="K670" s="38" t="s">
        <v>5380</v>
      </c>
      <c r="L670" s="38" t="s">
        <v>5380</v>
      </c>
      <c r="M670" s="69" t="s">
        <v>5387</v>
      </c>
      <c r="N670" s="38"/>
      <c r="O670" s="38"/>
      <c r="P670" s="31"/>
    </row>
    <row r="671" spans="2:16">
      <c r="B671" s="30" t="s">
        <v>2744</v>
      </c>
      <c r="C671" s="38" t="s">
        <v>2745</v>
      </c>
      <c r="D671" s="38" t="s">
        <v>1123</v>
      </c>
      <c r="E671" s="38" t="s">
        <v>3973</v>
      </c>
      <c r="F671" s="38" t="s">
        <v>612</v>
      </c>
      <c r="G671" s="38"/>
      <c r="H671" s="53"/>
      <c r="I671" s="54"/>
      <c r="J671" s="38"/>
      <c r="K671" s="38"/>
      <c r="L671" s="38"/>
      <c r="M671" s="69" t="s">
        <v>5380</v>
      </c>
      <c r="N671" s="38"/>
      <c r="O671" s="38"/>
      <c r="P671" s="31"/>
    </row>
    <row r="672" spans="2:16">
      <c r="B672" s="30" t="s">
        <v>2746</v>
      </c>
      <c r="C672" s="38" t="s">
        <v>2747</v>
      </c>
      <c r="D672" s="38" t="s">
        <v>2748</v>
      </c>
      <c r="E672" s="38" t="s">
        <v>3974</v>
      </c>
      <c r="F672" s="38" t="s">
        <v>612</v>
      </c>
      <c r="G672" s="38"/>
      <c r="H672" s="53"/>
      <c r="I672" s="54"/>
      <c r="J672" s="38"/>
      <c r="K672" s="38"/>
      <c r="L672" s="38"/>
      <c r="M672" s="69" t="s">
        <v>5380</v>
      </c>
      <c r="N672" s="38"/>
      <c r="O672" s="38"/>
      <c r="P672" s="31"/>
    </row>
    <row r="673" spans="2:16">
      <c r="B673" s="30" t="s">
        <v>2749</v>
      </c>
      <c r="C673" s="38" t="s">
        <v>2750</v>
      </c>
      <c r="D673" s="38" t="s">
        <v>2751</v>
      </c>
      <c r="E673" s="38" t="s">
        <v>3975</v>
      </c>
      <c r="F673" s="38" t="s">
        <v>612</v>
      </c>
      <c r="G673" s="38"/>
      <c r="H673" s="53" t="str">
        <f t="shared" si="10"/>
        <v>citation:zainul_charbiwala-01</v>
      </c>
      <c r="I673" s="54"/>
      <c r="J673" s="38" t="s">
        <v>5377</v>
      </c>
      <c r="K673" s="38">
        <v>759</v>
      </c>
      <c r="L673" s="38">
        <v>15</v>
      </c>
      <c r="M673" s="69" t="s">
        <v>5388</v>
      </c>
      <c r="N673" s="38"/>
      <c r="O673" s="38"/>
      <c r="P673" s="31"/>
    </row>
    <row r="674" spans="2:16">
      <c r="B674" s="32" t="s">
        <v>2752</v>
      </c>
      <c r="C674" s="39" t="s">
        <v>2041</v>
      </c>
      <c r="D674" s="39" t="s">
        <v>2307</v>
      </c>
      <c r="E674" s="39" t="s">
        <v>3976</v>
      </c>
      <c r="F674" s="39" t="s">
        <v>612</v>
      </c>
      <c r="G674" s="39"/>
      <c r="H674" s="51" t="str">
        <f t="shared" si="10"/>
        <v>citation:zhen_cao-01</v>
      </c>
      <c r="I674" s="52"/>
      <c r="J674" s="38" t="s">
        <v>5380</v>
      </c>
      <c r="K674" s="38" t="s">
        <v>5380</v>
      </c>
      <c r="L674" s="38" t="s">
        <v>5380</v>
      </c>
      <c r="M674" s="69" t="s">
        <v>5384</v>
      </c>
      <c r="N674" s="39"/>
      <c r="O674" s="39"/>
      <c r="P674" s="34"/>
    </row>
    <row r="675" spans="2:16">
      <c r="B675" s="30" t="s">
        <v>2761</v>
      </c>
      <c r="C675" s="38" t="s">
        <v>2762</v>
      </c>
      <c r="D675" s="38" t="s">
        <v>1604</v>
      </c>
      <c r="E675" s="38" t="s">
        <v>3977</v>
      </c>
      <c r="F675" s="38" t="s">
        <v>616</v>
      </c>
      <c r="G675" s="38"/>
      <c r="H675" s="53"/>
      <c r="I675" s="54"/>
      <c r="J675" s="38"/>
      <c r="K675" s="38"/>
      <c r="L675" s="38"/>
      <c r="M675" s="69" t="s">
        <v>5380</v>
      </c>
      <c r="N675" s="38"/>
      <c r="O675" s="38"/>
      <c r="P675" s="31"/>
    </row>
    <row r="676" spans="2:16">
      <c r="B676" s="32" t="s">
        <v>2763</v>
      </c>
      <c r="C676" s="39" t="s">
        <v>2764</v>
      </c>
      <c r="D676" s="39" t="s">
        <v>2765</v>
      </c>
      <c r="E676" s="39" t="s">
        <v>3978</v>
      </c>
      <c r="F676" s="39" t="s">
        <v>616</v>
      </c>
      <c r="G676" s="39"/>
      <c r="H676" s="51"/>
      <c r="I676" s="52"/>
      <c r="J676" s="38"/>
      <c r="K676" s="38"/>
      <c r="L676" s="38"/>
      <c r="M676" s="69" t="s">
        <v>5380</v>
      </c>
      <c r="N676" s="39"/>
      <c r="O676" s="39"/>
      <c r="P676" s="34"/>
    </row>
    <row r="677" spans="2:16">
      <c r="B677" s="28" t="s">
        <v>2825</v>
      </c>
      <c r="C677" s="37" t="s">
        <v>2826</v>
      </c>
      <c r="D677" s="37" t="s">
        <v>2827</v>
      </c>
      <c r="E677" s="37" t="s">
        <v>3979</v>
      </c>
      <c r="F677" s="37" t="s">
        <v>620</v>
      </c>
      <c r="G677" s="37"/>
      <c r="H677" s="49" t="str">
        <f t="shared" si="10"/>
        <v>citation:anand_seetharam-01</v>
      </c>
      <c r="I677" s="50"/>
      <c r="J677" s="38" t="s">
        <v>5380</v>
      </c>
      <c r="K677" s="38" t="s">
        <v>5380</v>
      </c>
      <c r="L677" s="38" t="s">
        <v>5380</v>
      </c>
      <c r="M677" s="69" t="s">
        <v>5384</v>
      </c>
      <c r="N677" s="37"/>
      <c r="O677" s="37"/>
      <c r="P677" s="29"/>
    </row>
    <row r="678" spans="2:16">
      <c r="B678" s="30" t="s">
        <v>2828</v>
      </c>
      <c r="C678" s="38" t="s">
        <v>2829</v>
      </c>
      <c r="D678" s="38" t="s">
        <v>2830</v>
      </c>
      <c r="E678" s="38" t="s">
        <v>3980</v>
      </c>
      <c r="F678" s="38" t="s">
        <v>620</v>
      </c>
      <c r="G678" s="38"/>
      <c r="H678" s="53" t="str">
        <f t="shared" si="10"/>
        <v>citation:azadeh_sheikholeslami-01</v>
      </c>
      <c r="I678" s="54"/>
      <c r="J678" s="38" t="s">
        <v>5068</v>
      </c>
      <c r="K678" s="38">
        <v>51</v>
      </c>
      <c r="L678" s="38">
        <v>4</v>
      </c>
      <c r="M678" s="69" t="s">
        <v>5387</v>
      </c>
      <c r="N678" s="38"/>
      <c r="O678" s="38"/>
      <c r="P678" s="31"/>
    </row>
    <row r="679" spans="2:16">
      <c r="B679" s="30" t="s">
        <v>2831</v>
      </c>
      <c r="C679" s="38" t="s">
        <v>2832</v>
      </c>
      <c r="D679" s="38" t="s">
        <v>1406</v>
      </c>
      <c r="E679" s="38" t="s">
        <v>3981</v>
      </c>
      <c r="F679" s="38" t="s">
        <v>620</v>
      </c>
      <c r="G679" s="38"/>
      <c r="H679" s="53" t="str">
        <f t="shared" si="10"/>
        <v>citation:benyuan_liu-01</v>
      </c>
      <c r="I679" s="54"/>
      <c r="J679" s="38" t="s">
        <v>5070</v>
      </c>
      <c r="K679" s="38">
        <v>4010</v>
      </c>
      <c r="L679" s="38">
        <v>26</v>
      </c>
      <c r="M679" s="69" t="s">
        <v>5387</v>
      </c>
      <c r="N679" s="38"/>
      <c r="O679" s="38"/>
      <c r="P679" s="31"/>
    </row>
    <row r="680" spans="2:16">
      <c r="B680" s="30" t="s">
        <v>2833</v>
      </c>
      <c r="C680" s="38" t="s">
        <v>2834</v>
      </c>
      <c r="D680" s="38" t="s">
        <v>2835</v>
      </c>
      <c r="E680" s="38" t="s">
        <v>3982</v>
      </c>
      <c r="F680" s="38" t="s">
        <v>620</v>
      </c>
      <c r="G680" s="38"/>
      <c r="H680" s="53" t="str">
        <f t="shared" si="10"/>
        <v>citation:bo_jiang-01</v>
      </c>
      <c r="I680" s="54"/>
      <c r="J680" s="38" t="s">
        <v>5072</v>
      </c>
      <c r="K680" s="38">
        <v>270</v>
      </c>
      <c r="L680" s="38">
        <v>5</v>
      </c>
      <c r="M680" s="69" t="s">
        <v>5388</v>
      </c>
      <c r="N680" s="38"/>
      <c r="O680" s="38"/>
      <c r="P680" s="31"/>
    </row>
    <row r="681" spans="2:16">
      <c r="B681" s="30" t="s">
        <v>2836</v>
      </c>
      <c r="C681" s="38" t="s">
        <v>2837</v>
      </c>
      <c r="D681" s="38" t="s">
        <v>2838</v>
      </c>
      <c r="E681" s="38" t="s">
        <v>3983</v>
      </c>
      <c r="F681" s="38" t="s">
        <v>620</v>
      </c>
      <c r="G681" s="38"/>
      <c r="H681" s="53" t="str">
        <f t="shared" si="10"/>
        <v>citation:boulat_bash-01</v>
      </c>
      <c r="I681" s="54"/>
      <c r="J681" s="38" t="s">
        <v>5075</v>
      </c>
      <c r="K681" s="38">
        <v>170</v>
      </c>
      <c r="L681" s="38">
        <v>6</v>
      </c>
      <c r="M681" s="69" t="s">
        <v>5391</v>
      </c>
      <c r="N681" s="38"/>
      <c r="O681" s="38"/>
      <c r="P681" s="31"/>
    </row>
    <row r="682" spans="2:16">
      <c r="B682" s="30" t="s">
        <v>2839</v>
      </c>
      <c r="C682" s="38" t="s">
        <v>1074</v>
      </c>
      <c r="D682" s="38" t="s">
        <v>2840</v>
      </c>
      <c r="E682" s="38" t="s">
        <v>3984</v>
      </c>
      <c r="F682" s="38" t="s">
        <v>620</v>
      </c>
      <c r="G682" s="38"/>
      <c r="H682" s="53" t="str">
        <f t="shared" si="10"/>
        <v>citation:brian_levine-01</v>
      </c>
      <c r="I682" s="54"/>
      <c r="J682" s="38" t="s">
        <v>5077</v>
      </c>
      <c r="K682" s="38">
        <v>13660</v>
      </c>
      <c r="L682" s="38">
        <v>46</v>
      </c>
      <c r="M682" s="69" t="s">
        <v>5388</v>
      </c>
      <c r="N682" s="38"/>
      <c r="O682" s="38"/>
      <c r="P682" s="31"/>
    </row>
    <row r="683" spans="2:16">
      <c r="B683" s="30" t="s">
        <v>2841</v>
      </c>
      <c r="C683" s="38" t="s">
        <v>1230</v>
      </c>
      <c r="D683" s="38" t="s">
        <v>2842</v>
      </c>
      <c r="E683" s="38" t="s">
        <v>3985</v>
      </c>
      <c r="F683" s="38" t="s">
        <v>620</v>
      </c>
      <c r="G683" s="38"/>
      <c r="H683" s="53" t="str">
        <f t="shared" si="10"/>
        <v>citation:bruno_ribeiro-01</v>
      </c>
      <c r="I683" s="54"/>
      <c r="J683" s="38" t="s">
        <v>5080</v>
      </c>
      <c r="K683" s="38">
        <v>612</v>
      </c>
      <c r="L683" s="38">
        <v>12</v>
      </c>
      <c r="M683" s="69" t="s">
        <v>5397</v>
      </c>
      <c r="N683" s="38"/>
      <c r="O683" s="38"/>
      <c r="P683" s="31"/>
    </row>
    <row r="684" spans="2:16">
      <c r="B684" s="30" t="s">
        <v>2843</v>
      </c>
      <c r="C684" s="38" t="s">
        <v>2844</v>
      </c>
      <c r="D684" s="38" t="s">
        <v>2845</v>
      </c>
      <c r="E684" s="38" t="s">
        <v>3986</v>
      </c>
      <c r="F684" s="38" t="s">
        <v>620</v>
      </c>
      <c r="G684" s="38"/>
      <c r="H684" s="53" t="str">
        <f t="shared" si="10"/>
        <v>citation:cagatay_capar-01</v>
      </c>
      <c r="I684" s="54"/>
      <c r="J684" s="38" t="s">
        <v>5380</v>
      </c>
      <c r="K684" s="38" t="s">
        <v>5380</v>
      </c>
      <c r="L684" s="38" t="s">
        <v>5380</v>
      </c>
      <c r="M684" s="69" t="s">
        <v>5384</v>
      </c>
      <c r="N684" s="38"/>
      <c r="O684" s="38"/>
      <c r="P684" s="31"/>
    </row>
    <row r="685" spans="2:16">
      <c r="B685" s="30" t="s">
        <v>2846</v>
      </c>
      <c r="C685" s="38" t="s">
        <v>1505</v>
      </c>
      <c r="D685" s="38" t="s">
        <v>1406</v>
      </c>
      <c r="E685" s="38" t="s">
        <v>3987</v>
      </c>
      <c r="F685" s="38" t="s">
        <v>620</v>
      </c>
      <c r="G685" s="38"/>
      <c r="H685" s="53" t="str">
        <f t="shared" si="10"/>
        <v>citation:chang_liu-01</v>
      </c>
      <c r="I685" s="54"/>
      <c r="J685" s="38" t="s">
        <v>5380</v>
      </c>
      <c r="K685" s="38" t="s">
        <v>5380</v>
      </c>
      <c r="L685" s="38" t="s">
        <v>5380</v>
      </c>
      <c r="M685" s="69" t="s">
        <v>5388</v>
      </c>
      <c r="N685" s="38"/>
      <c r="O685" s="38"/>
      <c r="P685" s="31"/>
    </row>
    <row r="686" spans="2:16">
      <c r="B686" s="30" t="s">
        <v>2847</v>
      </c>
      <c r="C686" s="38" t="s">
        <v>2208</v>
      </c>
      <c r="D686" s="38" t="s">
        <v>2848</v>
      </c>
      <c r="E686" s="38" t="s">
        <v>3988</v>
      </c>
      <c r="F686" s="38" t="s">
        <v>620</v>
      </c>
      <c r="G686" s="38"/>
      <c r="H686" s="53" t="str">
        <f t="shared" si="10"/>
        <v>citation:dennis_goeckel-01</v>
      </c>
      <c r="I686" s="54"/>
      <c r="J686" s="38" t="s">
        <v>5380</v>
      </c>
      <c r="K686" s="38" t="s">
        <v>5380</v>
      </c>
      <c r="L686" s="38" t="s">
        <v>5380</v>
      </c>
      <c r="M686" s="69" t="s">
        <v>5387</v>
      </c>
      <c r="N686" s="38"/>
      <c r="O686" s="38"/>
      <c r="P686" s="31"/>
    </row>
    <row r="687" spans="2:16">
      <c r="B687" s="30" t="s">
        <v>2849</v>
      </c>
      <c r="C687" s="38" t="s">
        <v>1273</v>
      </c>
      <c r="D687" s="38" t="s">
        <v>2850</v>
      </c>
      <c r="E687" s="38" t="s">
        <v>3989</v>
      </c>
      <c r="F687" s="38" t="s">
        <v>620</v>
      </c>
      <c r="G687" s="38" t="s">
        <v>3291</v>
      </c>
      <c r="H687" s="53" t="str">
        <f t="shared" si="10"/>
        <v>citation:don_towsley-01</v>
      </c>
      <c r="I687" s="54"/>
      <c r="J687" s="38" t="s">
        <v>5119</v>
      </c>
      <c r="K687" s="38">
        <v>52775</v>
      </c>
      <c r="L687" s="38">
        <v>117</v>
      </c>
      <c r="M687" s="69" t="s">
        <v>5396</v>
      </c>
      <c r="N687" s="38"/>
      <c r="O687" s="38"/>
      <c r="P687" s="31"/>
    </row>
    <row r="688" spans="2:16">
      <c r="B688" s="30" t="s">
        <v>2851</v>
      </c>
      <c r="C688" s="38" t="s">
        <v>2852</v>
      </c>
      <c r="D688" s="38" t="s">
        <v>2853</v>
      </c>
      <c r="E688" s="38" t="s">
        <v>3990</v>
      </c>
      <c r="F688" s="38" t="s">
        <v>620</v>
      </c>
      <c r="G688" s="38"/>
      <c r="H688" s="53" t="str">
        <f t="shared" si="10"/>
        <v>citation:elisha_rosensweig-01</v>
      </c>
      <c r="I688" s="54"/>
      <c r="J688" s="38" t="s">
        <v>5380</v>
      </c>
      <c r="K688" s="38" t="s">
        <v>5380</v>
      </c>
      <c r="L688" s="38" t="s">
        <v>5380</v>
      </c>
      <c r="M688" s="69" t="s">
        <v>5391</v>
      </c>
      <c r="N688" s="38"/>
      <c r="O688" s="38"/>
      <c r="P688" s="31"/>
    </row>
    <row r="689" spans="2:16">
      <c r="B689" s="30" t="s">
        <v>2854</v>
      </c>
      <c r="C689" s="38" t="s">
        <v>2855</v>
      </c>
      <c r="D689" s="38" t="s">
        <v>2856</v>
      </c>
      <c r="E689" s="38" t="s">
        <v>3991</v>
      </c>
      <c r="F689" s="38" t="s">
        <v>620</v>
      </c>
      <c r="G689" s="38"/>
      <c r="H689" s="53"/>
      <c r="I689" s="54"/>
      <c r="J689" s="38"/>
      <c r="K689" s="38"/>
      <c r="L689" s="38"/>
      <c r="M689" s="69" t="s">
        <v>5380</v>
      </c>
      <c r="N689" s="38"/>
      <c r="O689" s="38"/>
      <c r="P689" s="31"/>
    </row>
    <row r="690" spans="2:16">
      <c r="B690" s="30" t="s">
        <v>2857</v>
      </c>
      <c r="C690" s="38" t="s">
        <v>2858</v>
      </c>
      <c r="D690" s="38" t="s">
        <v>2859</v>
      </c>
      <c r="E690" s="38" t="s">
        <v>3992</v>
      </c>
      <c r="F690" s="38" t="s">
        <v>620</v>
      </c>
      <c r="G690" s="38"/>
      <c r="H690" s="53" t="str">
        <f t="shared" si="10"/>
        <v>citation:hossein_pishro-nik-01</v>
      </c>
      <c r="I690" s="54"/>
      <c r="J690" s="38" t="s">
        <v>5170</v>
      </c>
      <c r="K690" s="38">
        <v>1023</v>
      </c>
      <c r="L690" s="38">
        <v>19</v>
      </c>
      <c r="M690" s="69" t="s">
        <v>5384</v>
      </c>
      <c r="N690" s="38"/>
      <c r="O690" s="38"/>
      <c r="P690" s="31"/>
    </row>
    <row r="691" spans="2:16">
      <c r="B691" s="30" t="s">
        <v>2860</v>
      </c>
      <c r="C691" s="38" t="s">
        <v>248</v>
      </c>
      <c r="D691" s="38" t="s">
        <v>2861</v>
      </c>
      <c r="E691" s="38" t="s">
        <v>3993</v>
      </c>
      <c r="F691" s="38" t="s">
        <v>620</v>
      </c>
      <c r="G691" s="38"/>
      <c r="H691" s="53" t="str">
        <f t="shared" si="10"/>
        <v>citation:jim_kurose-01</v>
      </c>
      <c r="I691" s="54"/>
      <c r="J691" s="38" t="s">
        <v>5195</v>
      </c>
      <c r="K691" s="38">
        <v>34461</v>
      </c>
      <c r="L691" s="38">
        <v>86</v>
      </c>
      <c r="M691" s="69" t="s">
        <v>5384</v>
      </c>
      <c r="N691" s="38"/>
      <c r="O691" s="38"/>
      <c r="P691" s="31"/>
    </row>
    <row r="692" spans="2:16">
      <c r="B692" s="30" t="s">
        <v>2862</v>
      </c>
      <c r="C692" s="38" t="s">
        <v>2863</v>
      </c>
      <c r="D692" s="38" t="s">
        <v>1406</v>
      </c>
      <c r="E692" s="38" t="s">
        <v>3994</v>
      </c>
      <c r="F692" s="38" t="s">
        <v>620</v>
      </c>
      <c r="G692" s="38"/>
      <c r="H692" s="53" t="str">
        <f t="shared" si="10"/>
        <v>citation:junning_liu-01</v>
      </c>
      <c r="I692" s="54"/>
      <c r="J692" s="38" t="s">
        <v>5380</v>
      </c>
      <c r="K692" s="38" t="s">
        <v>5380</v>
      </c>
      <c r="L692" s="38" t="s">
        <v>5380</v>
      </c>
      <c r="M692" s="69" t="s">
        <v>5387</v>
      </c>
      <c r="N692" s="38"/>
      <c r="O692" s="38"/>
      <c r="P692" s="31"/>
    </row>
    <row r="693" spans="2:16">
      <c r="B693" s="30" t="s">
        <v>2864</v>
      </c>
      <c r="C693" s="38" t="s">
        <v>2865</v>
      </c>
      <c r="D693" s="38" t="s">
        <v>2866</v>
      </c>
      <c r="E693" s="38" t="s">
        <v>3995</v>
      </c>
      <c r="F693" s="38" t="s">
        <v>620</v>
      </c>
      <c r="G693" s="38"/>
      <c r="H693" s="53" t="str">
        <f t="shared" si="10"/>
        <v>citation:kery_hardwick-01</v>
      </c>
      <c r="I693" s="54"/>
      <c r="J693" s="38" t="s">
        <v>5380</v>
      </c>
      <c r="K693" s="38" t="s">
        <v>5380</v>
      </c>
      <c r="L693" s="38" t="s">
        <v>5380</v>
      </c>
      <c r="M693" s="69" t="s">
        <v>5386</v>
      </c>
      <c r="N693" s="38"/>
      <c r="O693" s="38"/>
      <c r="P693" s="31"/>
    </row>
    <row r="694" spans="2:16">
      <c r="B694" s="30" t="s">
        <v>2867</v>
      </c>
      <c r="C694" s="38" t="s">
        <v>2868</v>
      </c>
      <c r="D694" s="38" t="s">
        <v>1196</v>
      </c>
      <c r="E694" s="38" t="s">
        <v>3996</v>
      </c>
      <c r="F694" s="38" t="s">
        <v>620</v>
      </c>
      <c r="G694" s="38"/>
      <c r="H694" s="53" t="str">
        <f t="shared" si="10"/>
        <v>citation:liaoruo_wang-01</v>
      </c>
      <c r="I694" s="54"/>
      <c r="J694" s="38" t="s">
        <v>5380</v>
      </c>
      <c r="K694" s="38" t="s">
        <v>5380</v>
      </c>
      <c r="L694" s="38" t="s">
        <v>5380</v>
      </c>
      <c r="M694" s="69" t="s">
        <v>5387</v>
      </c>
      <c r="N694" s="38"/>
      <c r="O694" s="38"/>
      <c r="P694" s="31"/>
    </row>
    <row r="695" spans="2:16">
      <c r="B695" s="30" t="s">
        <v>2869</v>
      </c>
      <c r="C695" s="38" t="s">
        <v>2870</v>
      </c>
      <c r="D695" s="38" t="s">
        <v>2871</v>
      </c>
      <c r="E695" s="38" t="s">
        <v>3997</v>
      </c>
      <c r="F695" s="38" t="s">
        <v>620</v>
      </c>
      <c r="G695" s="38"/>
      <c r="H695" s="53"/>
      <c r="I695" s="54"/>
      <c r="J695" s="38"/>
      <c r="K695" s="38"/>
      <c r="L695" s="38"/>
      <c r="M695" s="69" t="s">
        <v>5380</v>
      </c>
      <c r="N695" s="38"/>
      <c r="O695" s="38"/>
      <c r="P695" s="31"/>
    </row>
    <row r="696" spans="2:16">
      <c r="B696" s="30" t="s">
        <v>2872</v>
      </c>
      <c r="C696" s="38" t="s">
        <v>1217</v>
      </c>
      <c r="D696" s="38" t="s">
        <v>2873</v>
      </c>
      <c r="E696" s="38" t="s">
        <v>3998</v>
      </c>
      <c r="F696" s="38" t="s">
        <v>620</v>
      </c>
      <c r="G696" s="38"/>
      <c r="H696" s="53" t="str">
        <f t="shared" si="10"/>
        <v>citation:mark_corner-01</v>
      </c>
      <c r="I696" s="54"/>
      <c r="J696" s="38" t="s">
        <v>5380</v>
      </c>
      <c r="K696" s="38" t="s">
        <v>5380</v>
      </c>
      <c r="L696" s="38" t="s">
        <v>5380</v>
      </c>
      <c r="M696" s="69" t="s">
        <v>5388</v>
      </c>
      <c r="N696" s="38"/>
      <c r="O696" s="38"/>
      <c r="P696" s="31"/>
    </row>
    <row r="697" spans="2:16">
      <c r="B697" s="30" t="s">
        <v>2874</v>
      </c>
      <c r="C697" s="38" t="s">
        <v>2875</v>
      </c>
      <c r="D697" s="38" t="s">
        <v>2876</v>
      </c>
      <c r="E697" s="38" t="s">
        <v>3999</v>
      </c>
      <c r="F697" s="38" t="s">
        <v>620</v>
      </c>
      <c r="G697" s="38"/>
      <c r="H697" s="53" t="str">
        <f t="shared" si="10"/>
        <v>citation:mostafa_dehghan-01</v>
      </c>
      <c r="I697" s="54"/>
      <c r="J697" s="38" t="s">
        <v>5257</v>
      </c>
      <c r="K697" s="38">
        <v>93</v>
      </c>
      <c r="L697" s="38">
        <v>5</v>
      </c>
      <c r="M697" s="69" t="s">
        <v>5385</v>
      </c>
      <c r="N697" s="38"/>
      <c r="O697" s="38"/>
      <c r="P697" s="31"/>
    </row>
    <row r="698" spans="2:16">
      <c r="B698" s="30" t="s">
        <v>2877</v>
      </c>
      <c r="C698" s="38" t="s">
        <v>1294</v>
      </c>
      <c r="D698" s="38" t="s">
        <v>1704</v>
      </c>
      <c r="E698" s="38" t="s">
        <v>4000</v>
      </c>
      <c r="F698" s="38" t="s">
        <v>620</v>
      </c>
      <c r="G698" s="38"/>
      <c r="H698" s="53" t="str">
        <f t="shared" si="10"/>
        <v>citation:nilanjan_banerjee-01</v>
      </c>
      <c r="I698" s="54"/>
      <c r="J698" s="38" t="s">
        <v>5267</v>
      </c>
      <c r="K698" s="38">
        <v>1292</v>
      </c>
      <c r="L698" s="38">
        <v>17</v>
      </c>
      <c r="M698" s="69" t="s">
        <v>5388</v>
      </c>
      <c r="N698" s="38"/>
      <c r="O698" s="38"/>
      <c r="P698" s="31"/>
    </row>
    <row r="699" spans="2:16">
      <c r="B699" s="30" t="s">
        <v>2878</v>
      </c>
      <c r="C699" s="38" t="s">
        <v>2879</v>
      </c>
      <c r="D699" s="38" t="s">
        <v>2880</v>
      </c>
      <c r="E699" s="38" t="s">
        <v>4001</v>
      </c>
      <c r="F699" s="38" t="s">
        <v>620</v>
      </c>
      <c r="G699" s="38"/>
      <c r="H699" s="53"/>
      <c r="I699" s="54"/>
      <c r="J699" s="38"/>
      <c r="K699" s="38"/>
      <c r="L699" s="38"/>
      <c r="M699" s="69" t="s">
        <v>5380</v>
      </c>
      <c r="N699" s="38"/>
      <c r="O699" s="38"/>
      <c r="P699" s="31"/>
    </row>
    <row r="700" spans="2:16">
      <c r="B700" s="30" t="s">
        <v>2881</v>
      </c>
      <c r="C700" s="38" t="s">
        <v>2882</v>
      </c>
      <c r="D700" s="38" t="s">
        <v>2883</v>
      </c>
      <c r="E700" s="38" t="s">
        <v>4002</v>
      </c>
      <c r="F700" s="38" t="s">
        <v>620</v>
      </c>
      <c r="G700" s="38"/>
      <c r="H700" s="53" t="str">
        <f t="shared" si="10"/>
        <v>citation:ramesh_sitaraman-01</v>
      </c>
      <c r="I700" s="54"/>
      <c r="J700" s="38" t="s">
        <v>5380</v>
      </c>
      <c r="K700" s="38" t="s">
        <v>5380</v>
      </c>
      <c r="L700" s="38" t="s">
        <v>5380</v>
      </c>
      <c r="M700" s="69" t="s">
        <v>5386</v>
      </c>
      <c r="N700" s="38"/>
      <c r="O700" s="38"/>
      <c r="P700" s="31"/>
    </row>
    <row r="701" spans="2:16">
      <c r="B701" s="30" t="s">
        <v>2884</v>
      </c>
      <c r="C701" s="38" t="s">
        <v>2885</v>
      </c>
      <c r="D701" s="38" t="s">
        <v>2886</v>
      </c>
      <c r="E701" s="38" t="s">
        <v>4003</v>
      </c>
      <c r="F701" s="38" t="s">
        <v>620</v>
      </c>
      <c r="G701" s="38"/>
      <c r="H701" s="53" t="str">
        <f t="shared" si="10"/>
        <v>citation:ramin_khalili-01</v>
      </c>
      <c r="I701" s="54"/>
      <c r="J701" s="38" t="s">
        <v>5296</v>
      </c>
      <c r="K701" s="38">
        <v>695</v>
      </c>
      <c r="L701" s="38">
        <v>12</v>
      </c>
      <c r="M701" s="69" t="s">
        <v>5388</v>
      </c>
      <c r="N701" s="38"/>
      <c r="O701" s="38"/>
      <c r="P701" s="31"/>
    </row>
    <row r="702" spans="2:16">
      <c r="B702" s="30" t="s">
        <v>2887</v>
      </c>
      <c r="C702" s="38" t="s">
        <v>2223</v>
      </c>
      <c r="D702" s="38" t="s">
        <v>2888</v>
      </c>
      <c r="E702" s="38" t="s">
        <v>4004</v>
      </c>
      <c r="F702" s="38" t="s">
        <v>620</v>
      </c>
      <c r="G702" s="38"/>
      <c r="H702" s="53" t="str">
        <f t="shared" si="10"/>
        <v>citation:stephan_adams-01</v>
      </c>
      <c r="I702" s="54"/>
      <c r="J702" s="38" t="s">
        <v>5380</v>
      </c>
      <c r="K702" s="38" t="s">
        <v>5380</v>
      </c>
      <c r="L702" s="38" t="s">
        <v>5380</v>
      </c>
      <c r="M702" s="69" t="s">
        <v>5386</v>
      </c>
      <c r="N702" s="38"/>
      <c r="O702" s="38"/>
      <c r="P702" s="31"/>
    </row>
    <row r="703" spans="2:16">
      <c r="B703" s="30" t="s">
        <v>2889</v>
      </c>
      <c r="C703" s="38" t="s">
        <v>2890</v>
      </c>
      <c r="D703" s="38" t="s">
        <v>2891</v>
      </c>
      <c r="E703" s="38" t="s">
        <v>4005</v>
      </c>
      <c r="F703" s="38" t="s">
        <v>620</v>
      </c>
      <c r="G703" s="38"/>
      <c r="H703" s="53" t="str">
        <f t="shared" si="10"/>
        <v>citation:sudarshan_vasudevan-01</v>
      </c>
      <c r="I703" s="54"/>
      <c r="J703" s="38" t="s">
        <v>5335</v>
      </c>
      <c r="K703" s="38">
        <v>1287</v>
      </c>
      <c r="L703" s="38">
        <v>13</v>
      </c>
      <c r="M703" s="69" t="s">
        <v>5391</v>
      </c>
      <c r="N703" s="38"/>
      <c r="O703" s="38"/>
      <c r="P703" s="31"/>
    </row>
    <row r="704" spans="2:16">
      <c r="B704" s="30" t="s">
        <v>2892</v>
      </c>
      <c r="C704" s="38" t="s">
        <v>2893</v>
      </c>
      <c r="D704" s="38" t="s">
        <v>2894</v>
      </c>
      <c r="E704" s="38" t="s">
        <v>4006</v>
      </c>
      <c r="F704" s="38" t="s">
        <v>620</v>
      </c>
      <c r="G704" s="38"/>
      <c r="H704" s="53" t="str">
        <f t="shared" si="10"/>
        <v>citation:victoria_manfredi-01</v>
      </c>
      <c r="I704" s="54"/>
      <c r="J704" s="38" t="s">
        <v>5380</v>
      </c>
      <c r="K704" s="38" t="s">
        <v>5380</v>
      </c>
      <c r="L704" s="38" t="s">
        <v>5380</v>
      </c>
      <c r="M704" s="69" t="s">
        <v>5386</v>
      </c>
      <c r="N704" s="38"/>
      <c r="O704" s="38"/>
      <c r="P704" s="31"/>
    </row>
    <row r="705" spans="2:16">
      <c r="B705" s="30" t="s">
        <v>2895</v>
      </c>
      <c r="C705" s="38" t="s">
        <v>1627</v>
      </c>
      <c r="D705" s="38" t="s">
        <v>1627</v>
      </c>
      <c r="E705" s="38" t="s">
        <v>4007</v>
      </c>
      <c r="F705" s="38" t="s">
        <v>620</v>
      </c>
      <c r="G705" s="38"/>
      <c r="H705" s="53" t="str">
        <f t="shared" si="10"/>
        <v>citation:wei_wei-01</v>
      </c>
      <c r="I705" s="54"/>
      <c r="J705" s="38" t="s">
        <v>5380</v>
      </c>
      <c r="K705" s="38" t="s">
        <v>5380</v>
      </c>
      <c r="L705" s="38" t="s">
        <v>5380</v>
      </c>
      <c r="M705" s="69" t="s">
        <v>5386</v>
      </c>
      <c r="N705" s="38"/>
      <c r="O705" s="38"/>
      <c r="P705" s="31"/>
    </row>
    <row r="706" spans="2:16">
      <c r="B706" s="30" t="s">
        <v>2896</v>
      </c>
      <c r="C706" s="38" t="s">
        <v>2897</v>
      </c>
      <c r="D706" s="38" t="s">
        <v>2898</v>
      </c>
      <c r="E706" s="38" t="s">
        <v>4008</v>
      </c>
      <c r="F706" s="38" t="s">
        <v>620</v>
      </c>
      <c r="G706" s="38"/>
      <c r="H706" s="53"/>
      <c r="I706" s="54"/>
      <c r="J706" s="38"/>
      <c r="K706" s="38"/>
      <c r="L706" s="38"/>
      <c r="M706" s="69" t="s">
        <v>5380</v>
      </c>
      <c r="N706" s="38"/>
      <c r="O706" s="38"/>
      <c r="P706" s="31"/>
    </row>
    <row r="707" spans="2:16">
      <c r="B707" s="30" t="s">
        <v>2899</v>
      </c>
      <c r="C707" s="38" t="s">
        <v>1435</v>
      </c>
      <c r="D707" s="38" t="s">
        <v>2900</v>
      </c>
      <c r="E707" s="38" t="s">
        <v>4009</v>
      </c>
      <c r="F707" s="38" t="s">
        <v>620</v>
      </c>
      <c r="G707" s="38"/>
      <c r="H707" s="53" t="str">
        <f t="shared" ref="H707:H770" si="11">"citation:"&amp;B707&amp;"-01"</f>
        <v>citation:william_gauvin-01</v>
      </c>
      <c r="I707" s="54"/>
      <c r="J707" s="38" t="s">
        <v>5380</v>
      </c>
      <c r="K707" s="38" t="s">
        <v>5380</v>
      </c>
      <c r="L707" s="38" t="s">
        <v>5380</v>
      </c>
      <c r="M707" s="69" t="s">
        <v>5391</v>
      </c>
      <c r="N707" s="38"/>
      <c r="O707" s="38"/>
      <c r="P707" s="31"/>
    </row>
    <row r="708" spans="2:16">
      <c r="B708" s="30" t="s">
        <v>2901</v>
      </c>
      <c r="C708" s="38" t="s">
        <v>2902</v>
      </c>
      <c r="D708" s="38" t="s">
        <v>1414</v>
      </c>
      <c r="E708" s="38" t="s">
        <v>4010</v>
      </c>
      <c r="F708" s="38" t="s">
        <v>620</v>
      </c>
      <c r="G708" s="38"/>
      <c r="H708" s="53" t="str">
        <f t="shared" si="11"/>
        <v>citation:xiaolan_zhang-01</v>
      </c>
      <c r="I708" s="54"/>
      <c r="J708" s="38" t="s">
        <v>5365</v>
      </c>
      <c r="K708" s="38">
        <v>36979</v>
      </c>
      <c r="L708" s="38">
        <v>76</v>
      </c>
      <c r="M708" s="69" t="s">
        <v>5391</v>
      </c>
      <c r="N708" s="38"/>
      <c r="O708" s="38"/>
      <c r="P708" s="31"/>
    </row>
    <row r="709" spans="2:16">
      <c r="B709" s="30" t="s">
        <v>2903</v>
      </c>
      <c r="C709" s="38" t="s">
        <v>2904</v>
      </c>
      <c r="D709" s="38" t="s">
        <v>2905</v>
      </c>
      <c r="E709" s="38" t="s">
        <v>4011</v>
      </c>
      <c r="F709" s="38" t="s">
        <v>620</v>
      </c>
      <c r="G709" s="38"/>
      <c r="H709" s="53" t="str">
        <f t="shared" si="11"/>
        <v>citation:yeonsup_lim-01</v>
      </c>
      <c r="I709" s="54"/>
      <c r="J709" s="38" t="s">
        <v>5369</v>
      </c>
      <c r="K709" s="38">
        <v>415</v>
      </c>
      <c r="L709" s="38">
        <v>8</v>
      </c>
      <c r="M709" s="69" t="s">
        <v>5385</v>
      </c>
      <c r="N709" s="38"/>
      <c r="O709" s="38"/>
      <c r="P709" s="31"/>
    </row>
    <row r="710" spans="2:16">
      <c r="B710" s="30" t="s">
        <v>2906</v>
      </c>
      <c r="C710" s="38" t="s">
        <v>2907</v>
      </c>
      <c r="D710" s="38" t="s">
        <v>1167</v>
      </c>
      <c r="E710" s="38" t="s">
        <v>4012</v>
      </c>
      <c r="F710" s="38" t="s">
        <v>620</v>
      </c>
      <c r="G710" s="38"/>
      <c r="H710" s="53"/>
      <c r="I710" s="54"/>
      <c r="J710" s="38"/>
      <c r="K710" s="38"/>
      <c r="L710" s="38"/>
      <c r="M710" s="69" t="s">
        <v>5380</v>
      </c>
      <c r="N710" s="38"/>
      <c r="O710" s="38"/>
      <c r="P710" s="31"/>
    </row>
    <row r="711" spans="2:16">
      <c r="B711" s="30" t="s">
        <v>2908</v>
      </c>
      <c r="C711" s="38" t="s">
        <v>2909</v>
      </c>
      <c r="D711" s="38" t="s">
        <v>2910</v>
      </c>
      <c r="E711" s="38" t="s">
        <v>4013</v>
      </c>
      <c r="F711" s="38" t="s">
        <v>620</v>
      </c>
      <c r="G711" s="38"/>
      <c r="H711" s="53" t="str">
        <f t="shared" si="11"/>
        <v>citation:yonggang_hao-01</v>
      </c>
      <c r="I711" s="54"/>
      <c r="J711" s="38" t="s">
        <v>5380</v>
      </c>
      <c r="K711" s="38" t="s">
        <v>5380</v>
      </c>
      <c r="L711" s="38" t="s">
        <v>5380</v>
      </c>
      <c r="M711" s="69" t="s">
        <v>5386</v>
      </c>
      <c r="N711" s="38"/>
      <c r="O711" s="38"/>
      <c r="P711" s="31"/>
    </row>
    <row r="712" spans="2:16">
      <c r="B712" s="32" t="s">
        <v>2911</v>
      </c>
      <c r="C712" s="39" t="s">
        <v>2912</v>
      </c>
      <c r="D712" s="39" t="s">
        <v>2304</v>
      </c>
      <c r="E712" s="39" t="s">
        <v>4014</v>
      </c>
      <c r="F712" s="39" t="s">
        <v>620</v>
      </c>
      <c r="G712" s="39"/>
      <c r="H712" s="51" t="str">
        <f t="shared" si="11"/>
        <v>citation:yung-chih_chen-01</v>
      </c>
      <c r="I712" s="52"/>
      <c r="J712" s="38" t="s">
        <v>5374</v>
      </c>
      <c r="K712" s="38">
        <v>365</v>
      </c>
      <c r="L712" s="38">
        <v>9</v>
      </c>
      <c r="M712" s="69" t="s">
        <v>5385</v>
      </c>
      <c r="N712" s="39"/>
      <c r="O712" s="39"/>
      <c r="P712" s="34"/>
    </row>
    <row r="713" spans="2:16">
      <c r="B713" s="28" t="s">
        <v>2766</v>
      </c>
      <c r="C713" s="37" t="s">
        <v>2767</v>
      </c>
      <c r="D713" s="37" t="s">
        <v>2768</v>
      </c>
      <c r="E713" s="37" t="s">
        <v>4015</v>
      </c>
      <c r="F713" s="37" t="s">
        <v>618</v>
      </c>
      <c r="G713" s="37"/>
      <c r="H713" s="49" t="str">
        <f t="shared" si="11"/>
        <v>citation:aishwarya_thiruvengadam-01</v>
      </c>
      <c r="I713" s="50"/>
      <c r="J713" s="38" t="s">
        <v>5380</v>
      </c>
      <c r="K713" s="38" t="s">
        <v>5380</v>
      </c>
      <c r="L713" s="38" t="s">
        <v>5380</v>
      </c>
      <c r="M713" s="69" t="s">
        <v>5385</v>
      </c>
      <c r="N713" s="37"/>
      <c r="O713" s="37"/>
      <c r="P713" s="29"/>
    </row>
    <row r="714" spans="2:16">
      <c r="B714" s="30" t="s">
        <v>2769</v>
      </c>
      <c r="C714" s="38" t="s">
        <v>1071</v>
      </c>
      <c r="D714" s="38" t="s">
        <v>2770</v>
      </c>
      <c r="E714" s="38" t="s">
        <v>4016</v>
      </c>
      <c r="F714" s="38" t="s">
        <v>618</v>
      </c>
      <c r="G714" s="38"/>
      <c r="H714" s="53" t="str">
        <f t="shared" si="11"/>
        <v>citation:andrew_miller-01</v>
      </c>
      <c r="I714" s="54"/>
      <c r="J714" s="38" t="s">
        <v>5380</v>
      </c>
      <c r="K714" s="38" t="s">
        <v>5380</v>
      </c>
      <c r="L714" s="38" t="s">
        <v>5380</v>
      </c>
      <c r="M714" s="69" t="s">
        <v>5384</v>
      </c>
      <c r="N714" s="38"/>
      <c r="O714" s="38"/>
      <c r="P714" s="31"/>
    </row>
    <row r="715" spans="2:16">
      <c r="B715" s="30" t="s">
        <v>2771</v>
      </c>
      <c r="C715" s="38" t="s">
        <v>2754</v>
      </c>
      <c r="D715" s="38" t="s">
        <v>2772</v>
      </c>
      <c r="E715" s="38" t="s">
        <v>4017</v>
      </c>
      <c r="F715" s="38" t="s">
        <v>618</v>
      </c>
      <c r="G715" s="38"/>
      <c r="H715" s="53" t="str">
        <f t="shared" si="11"/>
        <v>citation:anthony_ephremides-01</v>
      </c>
      <c r="I715" s="54"/>
      <c r="J715" s="38" t="s">
        <v>5380</v>
      </c>
      <c r="K715" s="38" t="s">
        <v>5380</v>
      </c>
      <c r="L715" s="38" t="s">
        <v>5380</v>
      </c>
      <c r="M715" s="69" t="s">
        <v>5391</v>
      </c>
      <c r="N715" s="38"/>
      <c r="O715" s="38"/>
      <c r="P715" s="31"/>
    </row>
    <row r="716" spans="2:16">
      <c r="B716" s="30" t="s">
        <v>2773</v>
      </c>
      <c r="C716" s="38" t="s">
        <v>2774</v>
      </c>
      <c r="D716" s="38" t="s">
        <v>2775</v>
      </c>
      <c r="E716" s="38" t="s">
        <v>4018</v>
      </c>
      <c r="F716" s="38" t="s">
        <v>618</v>
      </c>
      <c r="G716" s="38"/>
      <c r="H716" s="53"/>
      <c r="I716" s="54"/>
      <c r="J716" s="38"/>
      <c r="K716" s="38"/>
      <c r="L716" s="38"/>
      <c r="M716" s="69" t="s">
        <v>5380</v>
      </c>
      <c r="N716" s="38"/>
      <c r="O716" s="38"/>
      <c r="P716" s="31"/>
    </row>
    <row r="717" spans="2:16">
      <c r="B717" s="30" t="s">
        <v>2776</v>
      </c>
      <c r="C717" s="38" t="s">
        <v>2777</v>
      </c>
      <c r="D717" s="38" t="s">
        <v>2778</v>
      </c>
      <c r="E717" s="38" t="s">
        <v>4019</v>
      </c>
      <c r="F717" s="38" t="s">
        <v>618</v>
      </c>
      <c r="G717" s="38"/>
      <c r="H717" s="53" t="str">
        <f t="shared" si="11"/>
        <v>citation:aseem_rastogi-01</v>
      </c>
      <c r="I717" s="54"/>
      <c r="J717" s="38" t="s">
        <v>5065</v>
      </c>
      <c r="K717" s="38">
        <v>95</v>
      </c>
      <c r="L717" s="38">
        <v>5</v>
      </c>
      <c r="M717" s="69" t="s">
        <v>5386</v>
      </c>
      <c r="N717" s="38"/>
      <c r="O717" s="38"/>
      <c r="P717" s="31"/>
    </row>
    <row r="718" spans="2:16">
      <c r="B718" s="30" t="s">
        <v>2779</v>
      </c>
      <c r="C718" s="38" t="s">
        <v>2780</v>
      </c>
      <c r="D718" s="38" t="s">
        <v>2781</v>
      </c>
      <c r="E718" s="38" t="s">
        <v>4020</v>
      </c>
      <c r="F718" s="38" t="s">
        <v>618</v>
      </c>
      <c r="G718" s="38"/>
      <c r="H718" s="53" t="str">
        <f t="shared" si="11"/>
        <v>citation:charalampos_papamanthou-01</v>
      </c>
      <c r="I718" s="54"/>
      <c r="J718" s="38" t="s">
        <v>5086</v>
      </c>
      <c r="K718" s="38">
        <v>1553</v>
      </c>
      <c r="L718" s="38">
        <v>17</v>
      </c>
      <c r="M718" s="69" t="s">
        <v>5391</v>
      </c>
      <c r="N718" s="38"/>
      <c r="O718" s="38"/>
      <c r="P718" s="31"/>
    </row>
    <row r="719" spans="2:16">
      <c r="B719" s="30" t="s">
        <v>2782</v>
      </c>
      <c r="C719" s="38" t="s">
        <v>1662</v>
      </c>
      <c r="D719" s="38" t="s">
        <v>2783</v>
      </c>
      <c r="E719" s="38" t="s">
        <v>4021</v>
      </c>
      <c r="F719" s="38" t="s">
        <v>618</v>
      </c>
      <c r="G719" s="38"/>
      <c r="H719" s="53" t="str">
        <f t="shared" si="11"/>
        <v>citation:daniel_apon-01</v>
      </c>
      <c r="I719" s="54"/>
      <c r="J719" s="38" t="s">
        <v>5104</v>
      </c>
      <c r="K719" s="38">
        <v>25</v>
      </c>
      <c r="L719" s="38">
        <v>2</v>
      </c>
      <c r="M719" s="69" t="s">
        <v>5388</v>
      </c>
      <c r="N719" s="38"/>
      <c r="O719" s="38"/>
      <c r="P719" s="31"/>
    </row>
    <row r="720" spans="2:16">
      <c r="B720" s="30" t="s">
        <v>2784</v>
      </c>
      <c r="C720" s="38" t="s">
        <v>2785</v>
      </c>
      <c r="D720" s="38" t="s">
        <v>2786</v>
      </c>
      <c r="E720" s="38" t="s">
        <v>4022</v>
      </c>
      <c r="F720" s="38" t="s">
        <v>618</v>
      </c>
      <c r="G720" s="38"/>
      <c r="H720" s="53" t="str">
        <f t="shared" si="11"/>
        <v>citation:dominique_schroder-01</v>
      </c>
      <c r="I720" s="54"/>
      <c r="J720" s="38" t="s">
        <v>5118</v>
      </c>
      <c r="K720" s="38">
        <v>500</v>
      </c>
      <c r="L720" s="38">
        <v>13</v>
      </c>
      <c r="M720" s="69" t="s">
        <v>5384</v>
      </c>
      <c r="N720" s="38"/>
      <c r="O720" s="38"/>
      <c r="P720" s="31"/>
    </row>
    <row r="721" spans="2:17">
      <c r="B721" s="30" t="s">
        <v>2787</v>
      </c>
      <c r="C721" s="38" t="s">
        <v>2788</v>
      </c>
      <c r="D721" s="38" t="s">
        <v>2789</v>
      </c>
      <c r="E721" s="38" t="s">
        <v>4023</v>
      </c>
      <c r="F721" s="38" t="s">
        <v>618</v>
      </c>
      <c r="G721" s="38"/>
      <c r="H721" s="53" t="str">
        <f t="shared" si="11"/>
        <v>citation:elaine_shi-01</v>
      </c>
      <c r="I721" s="54"/>
      <c r="J721" s="38" t="s">
        <v>5125</v>
      </c>
      <c r="K721" s="38">
        <v>6838</v>
      </c>
      <c r="L721" s="38">
        <v>34</v>
      </c>
      <c r="M721" s="69" t="s">
        <v>5388</v>
      </c>
      <c r="N721" s="38"/>
      <c r="O721" s="38"/>
      <c r="P721" s="31"/>
    </row>
    <row r="722" spans="2:17">
      <c r="B722" s="30" t="s">
        <v>2790</v>
      </c>
      <c r="C722" s="38" t="s">
        <v>2791</v>
      </c>
      <c r="D722" s="38" t="s">
        <v>1406</v>
      </c>
      <c r="E722" s="38" t="s">
        <v>4024</v>
      </c>
      <c r="F722" s="38" t="s">
        <v>618</v>
      </c>
      <c r="G722" s="38"/>
      <c r="H722" s="53" t="str">
        <f t="shared" si="11"/>
        <v>citation:feng-hao_liu-01</v>
      </c>
      <c r="I722" s="54"/>
      <c r="J722" s="38" t="s">
        <v>5139</v>
      </c>
      <c r="K722" s="38">
        <v>333</v>
      </c>
      <c r="L722" s="38">
        <v>9</v>
      </c>
      <c r="M722" s="69" t="s">
        <v>5387</v>
      </c>
      <c r="N722" s="38"/>
      <c r="O722" s="38"/>
      <c r="P722" s="31"/>
    </row>
    <row r="723" spans="2:17">
      <c r="B723" s="30" t="s">
        <v>2792</v>
      </c>
      <c r="C723" s="38" t="s">
        <v>2793</v>
      </c>
      <c r="D723" s="38" t="s">
        <v>2794</v>
      </c>
      <c r="E723" s="38" t="s">
        <v>4025</v>
      </c>
      <c r="F723" s="38" t="s">
        <v>618</v>
      </c>
      <c r="G723" s="38"/>
      <c r="H723" s="53"/>
      <c r="I723" s="54"/>
      <c r="J723" s="38"/>
      <c r="K723" s="38"/>
      <c r="L723" s="38"/>
      <c r="M723" s="69" t="s">
        <v>5380</v>
      </c>
      <c r="N723" s="38"/>
      <c r="O723" s="38"/>
      <c r="P723" s="31"/>
    </row>
    <row r="724" spans="2:17">
      <c r="B724" s="30" t="s">
        <v>2795</v>
      </c>
      <c r="C724" s="38" t="s">
        <v>2796</v>
      </c>
      <c r="D724" s="38" t="s">
        <v>2797</v>
      </c>
      <c r="E724" s="38" t="s">
        <v>4026</v>
      </c>
      <c r="F724" s="38" t="s">
        <v>618</v>
      </c>
      <c r="G724" s="38"/>
      <c r="H724" s="53" t="str">
        <f t="shared" si="11"/>
        <v>citation:hillol_kargupta-01</v>
      </c>
      <c r="I724" s="54"/>
      <c r="J724" s="38" t="s">
        <v>5163</v>
      </c>
      <c r="K724" s="38">
        <v>7065</v>
      </c>
      <c r="L724" s="38">
        <v>41</v>
      </c>
      <c r="M724" s="69" t="s">
        <v>5386</v>
      </c>
      <c r="N724" s="38"/>
      <c r="O724" s="38"/>
      <c r="P724" s="31"/>
    </row>
    <row r="725" spans="2:17">
      <c r="B725" s="30" t="s">
        <v>2798</v>
      </c>
      <c r="C725" s="38" t="s">
        <v>4027</v>
      </c>
      <c r="D725" s="38" t="s">
        <v>2315</v>
      </c>
      <c r="E725" s="38" t="s">
        <v>4028</v>
      </c>
      <c r="F725" s="38" t="s">
        <v>618</v>
      </c>
      <c r="G725" s="38"/>
      <c r="H725" s="53" t="str">
        <f t="shared" si="11"/>
        <v>citation:ji_sun_shin-01</v>
      </c>
      <c r="I725" s="54"/>
      <c r="J725" s="38" t="s">
        <v>5380</v>
      </c>
      <c r="K725" s="38" t="s">
        <v>5380</v>
      </c>
      <c r="L725" s="38" t="s">
        <v>5380</v>
      </c>
      <c r="M725" s="69" t="s">
        <v>5387</v>
      </c>
      <c r="N725" s="38"/>
      <c r="O725" s="38"/>
      <c r="P725" s="31"/>
      <c r="Q725" s="59"/>
    </row>
    <row r="726" spans="2:17">
      <c r="B726" s="30" t="s">
        <v>2799</v>
      </c>
      <c r="C726" s="38" t="s">
        <v>2647</v>
      </c>
      <c r="D726" s="38" t="s">
        <v>2800</v>
      </c>
      <c r="E726" s="38" t="s">
        <v>4029</v>
      </c>
      <c r="F726" s="38" t="s">
        <v>618</v>
      </c>
      <c r="G726" s="38"/>
      <c r="H726" s="53" t="str">
        <f t="shared" si="11"/>
        <v>citation:jon_katz-01</v>
      </c>
      <c r="I726" s="54"/>
      <c r="J726" s="38" t="s">
        <v>5208</v>
      </c>
      <c r="K726" s="38">
        <v>14142</v>
      </c>
      <c r="L726" s="38">
        <v>55</v>
      </c>
      <c r="M726" s="69" t="s">
        <v>5385</v>
      </c>
      <c r="N726" s="38"/>
      <c r="O726" s="38"/>
      <c r="P726" s="31"/>
    </row>
    <row r="727" spans="2:17">
      <c r="B727" s="30" t="s">
        <v>2801</v>
      </c>
      <c r="C727" s="38" t="s">
        <v>2802</v>
      </c>
      <c r="D727" s="38" t="s">
        <v>1123</v>
      </c>
      <c r="E727" s="38" t="s">
        <v>4030</v>
      </c>
      <c r="F727" s="38" t="s">
        <v>618</v>
      </c>
      <c r="G727" s="38"/>
      <c r="H727" s="53" t="str">
        <f t="shared" si="11"/>
        <v>citation:leeger_yu-01</v>
      </c>
      <c r="I727" s="54"/>
      <c r="J727" s="38" t="s">
        <v>5380</v>
      </c>
      <c r="K727" s="38" t="s">
        <v>5380</v>
      </c>
      <c r="L727" s="38" t="s">
        <v>5380</v>
      </c>
      <c r="M727" s="69" t="s">
        <v>5391</v>
      </c>
      <c r="N727" s="38"/>
      <c r="O727" s="38"/>
      <c r="P727" s="31"/>
    </row>
    <row r="728" spans="2:17">
      <c r="B728" s="30" t="s">
        <v>2803</v>
      </c>
      <c r="C728" s="38" t="s">
        <v>1396</v>
      </c>
      <c r="D728" s="38" t="s">
        <v>2804</v>
      </c>
      <c r="E728" s="38" t="s">
        <v>4031</v>
      </c>
      <c r="F728" s="38" t="s">
        <v>618</v>
      </c>
      <c r="G728" s="38"/>
      <c r="H728" s="53" t="str">
        <f t="shared" si="11"/>
        <v>citation:matthew_hammer-01</v>
      </c>
      <c r="I728" s="54"/>
      <c r="J728" s="38" t="s">
        <v>5246</v>
      </c>
      <c r="K728" s="38">
        <v>211</v>
      </c>
      <c r="L728" s="38">
        <v>8</v>
      </c>
      <c r="M728" s="69" t="s">
        <v>5386</v>
      </c>
      <c r="N728" s="38"/>
      <c r="O728" s="38"/>
      <c r="P728" s="31"/>
    </row>
    <row r="729" spans="2:17">
      <c r="B729" s="30" t="s">
        <v>2805</v>
      </c>
      <c r="C729" s="38" t="s">
        <v>1112</v>
      </c>
      <c r="D729" s="38" t="s">
        <v>2806</v>
      </c>
      <c r="E729" s="38" t="s">
        <v>4032</v>
      </c>
      <c r="F729" s="38" t="s">
        <v>618</v>
      </c>
      <c r="G729" s="38"/>
      <c r="H729" s="53" t="str">
        <f t="shared" si="11"/>
        <v>citation:mike_hicks-01</v>
      </c>
      <c r="I729" s="54"/>
      <c r="J729" s="38" t="s">
        <v>5252</v>
      </c>
      <c r="K729" s="38">
        <v>6515</v>
      </c>
      <c r="L729" s="38">
        <v>36</v>
      </c>
      <c r="M729" s="69" t="s">
        <v>5384</v>
      </c>
      <c r="N729" s="38"/>
      <c r="O729" s="38"/>
      <c r="P729" s="31"/>
    </row>
    <row r="730" spans="2:17">
      <c r="B730" s="30" t="s">
        <v>2807</v>
      </c>
      <c r="C730" s="38" t="s">
        <v>2808</v>
      </c>
      <c r="D730" s="38" t="s">
        <v>2809</v>
      </c>
      <c r="E730" s="38" t="s">
        <v>4033</v>
      </c>
      <c r="F730" s="38" t="s">
        <v>618</v>
      </c>
      <c r="G730" s="38"/>
      <c r="H730" s="53"/>
      <c r="I730" s="54"/>
      <c r="J730" s="38"/>
      <c r="K730" s="38"/>
      <c r="L730" s="38"/>
      <c r="M730" s="69" t="s">
        <v>5380</v>
      </c>
      <c r="N730" s="38"/>
      <c r="O730" s="38"/>
      <c r="P730" s="31"/>
    </row>
    <row r="731" spans="2:17">
      <c r="B731" s="30" t="s">
        <v>2810</v>
      </c>
      <c r="C731" s="38" t="s">
        <v>1157</v>
      </c>
      <c r="D731" s="38" t="s">
        <v>2811</v>
      </c>
      <c r="E731" s="38" t="s">
        <v>4034</v>
      </c>
      <c r="F731" s="38" t="s">
        <v>618</v>
      </c>
      <c r="G731" s="38"/>
      <c r="H731" s="53" t="str">
        <f t="shared" si="11"/>
        <v>citation:piotr_mardziel-01</v>
      </c>
      <c r="I731" s="54"/>
      <c r="J731" s="38" t="s">
        <v>5288</v>
      </c>
      <c r="K731" s="38">
        <v>72</v>
      </c>
      <c r="L731" s="38">
        <v>5</v>
      </c>
      <c r="M731" s="69" t="s">
        <v>5387</v>
      </c>
      <c r="N731" s="38"/>
      <c r="O731" s="38"/>
      <c r="P731" s="31"/>
    </row>
    <row r="732" spans="2:17">
      <c r="B732" s="30" t="s">
        <v>2812</v>
      </c>
      <c r="C732" s="38" t="s">
        <v>2813</v>
      </c>
      <c r="D732" s="38" t="s">
        <v>2814</v>
      </c>
      <c r="E732" s="38" t="s">
        <v>4035</v>
      </c>
      <c r="F732" s="38" t="s">
        <v>618</v>
      </c>
      <c r="G732" s="38"/>
      <c r="H732" s="53" t="str">
        <f t="shared" si="11"/>
        <v>citation:ranjit_kumaresan-01</v>
      </c>
      <c r="I732" s="54"/>
      <c r="J732" s="38" t="s">
        <v>5300</v>
      </c>
      <c r="K732" s="38">
        <v>269</v>
      </c>
      <c r="L732" s="38">
        <v>11</v>
      </c>
      <c r="M732" s="69" t="s">
        <v>5387</v>
      </c>
      <c r="N732" s="38"/>
      <c r="O732" s="38"/>
      <c r="P732" s="31"/>
    </row>
    <row r="733" spans="2:17">
      <c r="B733" s="30" t="s">
        <v>2815</v>
      </c>
      <c r="C733" s="38" t="s">
        <v>2816</v>
      </c>
      <c r="D733" s="38" t="s">
        <v>3296</v>
      </c>
      <c r="E733" s="38" t="s">
        <v>4036</v>
      </c>
      <c r="F733" s="38" t="s">
        <v>618</v>
      </c>
      <c r="G733" s="38"/>
      <c r="H733" s="53" t="str">
        <f t="shared" si="11"/>
        <v>citation:samuel_dov_gordon-01</v>
      </c>
      <c r="I733" s="54"/>
      <c r="J733" s="38" t="s">
        <v>5380</v>
      </c>
      <c r="K733" s="38" t="s">
        <v>5380</v>
      </c>
      <c r="L733" s="38" t="s">
        <v>5380</v>
      </c>
      <c r="M733" s="69" t="s">
        <v>5391</v>
      </c>
      <c r="N733" s="38"/>
      <c r="O733" s="38"/>
      <c r="P733" s="31"/>
    </row>
    <row r="734" spans="2:17">
      <c r="B734" s="30" t="s">
        <v>2817</v>
      </c>
      <c r="C734" s="38" t="s">
        <v>2818</v>
      </c>
      <c r="D734" s="38" t="s">
        <v>1657</v>
      </c>
      <c r="E734" s="38" t="s">
        <v>4037</v>
      </c>
      <c r="F734" s="38" t="s">
        <v>618</v>
      </c>
      <c r="G734" s="38"/>
      <c r="H734" s="53" t="str">
        <f t="shared" si="11"/>
        <v>citation:seung_choi-01</v>
      </c>
      <c r="I734" s="54"/>
      <c r="J734" s="38" t="s">
        <v>5380</v>
      </c>
      <c r="K734" s="38" t="s">
        <v>5380</v>
      </c>
      <c r="L734" s="38" t="s">
        <v>5380</v>
      </c>
      <c r="M734" s="69" t="s">
        <v>5386</v>
      </c>
      <c r="N734" s="38"/>
      <c r="O734" s="38"/>
      <c r="P734" s="31"/>
    </row>
    <row r="735" spans="2:17">
      <c r="B735" s="30" t="s">
        <v>2819</v>
      </c>
      <c r="C735" s="38" t="s">
        <v>4038</v>
      </c>
      <c r="D735" s="38" t="s">
        <v>1657</v>
      </c>
      <c r="E735" s="38" t="s">
        <v>4039</v>
      </c>
      <c r="F735" s="38" t="s">
        <v>618</v>
      </c>
      <c r="G735" s="38"/>
      <c r="H735" s="53" t="str">
        <f t="shared" si="11"/>
        <v>citation:seung_geol_choi-01</v>
      </c>
      <c r="I735" s="54"/>
      <c r="J735" s="38" t="s">
        <v>5314</v>
      </c>
      <c r="K735" s="38">
        <v>475</v>
      </c>
      <c r="L735" s="38">
        <v>14</v>
      </c>
      <c r="M735" s="69" t="s">
        <v>5386</v>
      </c>
      <c r="N735" s="38"/>
      <c r="O735" s="38"/>
      <c r="P735" s="31"/>
    </row>
    <row r="736" spans="2:17">
      <c r="B736" s="30" t="s">
        <v>2820</v>
      </c>
      <c r="C736" s="38" t="s">
        <v>1225</v>
      </c>
      <c r="D736" s="38" t="s">
        <v>2821</v>
      </c>
      <c r="E736" s="38" t="s">
        <v>4040</v>
      </c>
      <c r="F736" s="38" t="s">
        <v>618</v>
      </c>
      <c r="G736" s="38"/>
      <c r="H736" s="53" t="str">
        <f t="shared" si="11"/>
        <v>citation:stephen_magill-01</v>
      </c>
      <c r="I736" s="54"/>
      <c r="J736" s="38" t="s">
        <v>5380</v>
      </c>
      <c r="K736" s="38" t="s">
        <v>5380</v>
      </c>
      <c r="L736" s="38" t="s">
        <v>5380</v>
      </c>
      <c r="M736" s="69" t="s">
        <v>5386</v>
      </c>
      <c r="N736" s="38"/>
      <c r="O736" s="38"/>
      <c r="P736" s="31"/>
    </row>
    <row r="737" spans="2:16">
      <c r="B737" s="30" t="s">
        <v>2822</v>
      </c>
      <c r="C737" s="38" t="s">
        <v>100</v>
      </c>
      <c r="D737" s="38" t="s">
        <v>1167</v>
      </c>
      <c r="E737" s="38" t="s">
        <v>4041</v>
      </c>
      <c r="F737" s="38" t="s">
        <v>618</v>
      </c>
      <c r="G737" s="38"/>
      <c r="H737" s="53" t="str">
        <f t="shared" si="11"/>
        <v>citation:yan_huang-01</v>
      </c>
      <c r="I737" s="54"/>
      <c r="J737" s="38" t="s">
        <v>5380</v>
      </c>
      <c r="K737" s="38" t="s">
        <v>5380</v>
      </c>
      <c r="L737" s="38" t="s">
        <v>5380</v>
      </c>
      <c r="M737" s="69" t="s">
        <v>5385</v>
      </c>
      <c r="N737" s="38"/>
      <c r="O737" s="38"/>
      <c r="P737" s="31"/>
    </row>
    <row r="738" spans="2:16">
      <c r="B738" s="32" t="s">
        <v>2823</v>
      </c>
      <c r="C738" s="39" t="s">
        <v>2824</v>
      </c>
      <c r="D738" s="39" t="s">
        <v>1414</v>
      </c>
      <c r="E738" s="39" t="s">
        <v>4042</v>
      </c>
      <c r="F738" s="39" t="s">
        <v>618</v>
      </c>
      <c r="G738" s="39"/>
      <c r="H738" s="51" t="str">
        <f t="shared" si="11"/>
        <v>citation:yupeng_zhang-01</v>
      </c>
      <c r="I738" s="52"/>
      <c r="J738" s="38" t="s">
        <v>5375</v>
      </c>
      <c r="K738" s="38">
        <v>12</v>
      </c>
      <c r="L738" s="38">
        <v>2</v>
      </c>
      <c r="M738" s="69" t="s">
        <v>5383</v>
      </c>
      <c r="N738" s="39"/>
      <c r="O738" s="39"/>
      <c r="P738" s="34"/>
    </row>
    <row r="739" spans="2:16">
      <c r="B739" s="30" t="s">
        <v>2915</v>
      </c>
      <c r="C739" s="38" t="s">
        <v>2916</v>
      </c>
      <c r="D739" s="38" t="s">
        <v>2917</v>
      </c>
      <c r="E739" s="38" t="s">
        <v>4043</v>
      </c>
      <c r="F739" s="38" t="s">
        <v>622</v>
      </c>
      <c r="G739" s="38"/>
      <c r="H739" s="53" t="str">
        <f t="shared" si="11"/>
        <v>citation:alice_toniolo-01</v>
      </c>
      <c r="I739" s="54"/>
      <c r="J739" s="38" t="s">
        <v>5047</v>
      </c>
      <c r="K739" s="38">
        <v>85</v>
      </c>
      <c r="L739" s="38">
        <v>6</v>
      </c>
      <c r="M739" s="69" t="s">
        <v>5385</v>
      </c>
      <c r="N739" s="38"/>
      <c r="O739" s="38"/>
      <c r="P739" s="31"/>
    </row>
    <row r="740" spans="2:16">
      <c r="B740" s="30" t="s">
        <v>2918</v>
      </c>
      <c r="C740" s="38" t="s">
        <v>2754</v>
      </c>
      <c r="D740" s="38" t="s">
        <v>2919</v>
      </c>
      <c r="E740" s="38" t="s">
        <v>4044</v>
      </c>
      <c r="F740" s="38" t="s">
        <v>622</v>
      </c>
      <c r="G740" s="38"/>
      <c r="H740" s="53" t="str">
        <f t="shared" si="11"/>
        <v>citation:anthony_etuk-01</v>
      </c>
      <c r="I740" s="54"/>
      <c r="J740" s="38" t="s">
        <v>5058</v>
      </c>
      <c r="K740" s="38">
        <v>22</v>
      </c>
      <c r="L740" s="38">
        <v>3</v>
      </c>
      <c r="M740" s="69" t="s">
        <v>5384</v>
      </c>
      <c r="N740" s="38"/>
      <c r="O740" s="38"/>
      <c r="P740" s="31"/>
    </row>
    <row r="741" spans="2:16">
      <c r="B741" s="30" t="s">
        <v>2920</v>
      </c>
      <c r="C741" s="38" t="s">
        <v>2921</v>
      </c>
      <c r="D741" s="38" t="s">
        <v>2922</v>
      </c>
      <c r="E741" s="38" t="s">
        <v>4045</v>
      </c>
      <c r="F741" s="38" t="s">
        <v>622</v>
      </c>
      <c r="G741" s="38"/>
      <c r="H741" s="53" t="str">
        <f t="shared" si="11"/>
        <v>citation:artemis_parvizi-01</v>
      </c>
      <c r="I741" s="54"/>
      <c r="J741" s="38" t="s">
        <v>5064</v>
      </c>
      <c r="K741" s="38">
        <v>26</v>
      </c>
      <c r="L741" s="38">
        <v>3</v>
      </c>
      <c r="M741" s="69" t="s">
        <v>5387</v>
      </c>
      <c r="N741" s="38"/>
      <c r="O741" s="38"/>
      <c r="P741" s="31"/>
    </row>
    <row r="742" spans="2:16">
      <c r="B742" s="30" t="s">
        <v>2923</v>
      </c>
      <c r="C742" s="38" t="s">
        <v>2924</v>
      </c>
      <c r="D742" s="38" t="s">
        <v>2925</v>
      </c>
      <c r="E742" s="38" t="s">
        <v>4046</v>
      </c>
      <c r="F742" s="38" t="s">
        <v>622</v>
      </c>
      <c r="G742" s="38"/>
      <c r="H742" s="53"/>
      <c r="I742" s="54"/>
      <c r="J742" s="38"/>
      <c r="K742" s="38"/>
      <c r="L742" s="38"/>
      <c r="M742" s="69" t="s">
        <v>5380</v>
      </c>
      <c r="N742" s="38"/>
      <c r="O742" s="38"/>
      <c r="P742" s="31"/>
    </row>
    <row r="743" spans="2:16">
      <c r="B743" s="30" t="s">
        <v>2926</v>
      </c>
      <c r="C743" s="38" t="s">
        <v>1454</v>
      </c>
      <c r="D743" s="38" t="s">
        <v>2927</v>
      </c>
      <c r="E743" s="38" t="s">
        <v>4047</v>
      </c>
      <c r="F743" s="38" t="s">
        <v>622</v>
      </c>
      <c r="G743" s="38"/>
      <c r="H743" s="53" t="str">
        <f t="shared" si="11"/>
        <v>citation:chris_burnett-01</v>
      </c>
      <c r="I743" s="54"/>
      <c r="J743" s="38" t="s">
        <v>5093</v>
      </c>
      <c r="K743" s="38">
        <v>301</v>
      </c>
      <c r="L743" s="38">
        <v>8</v>
      </c>
      <c r="M743" s="69" t="s">
        <v>5385</v>
      </c>
      <c r="N743" s="38"/>
      <c r="O743" s="38"/>
      <c r="P743" s="31"/>
    </row>
    <row r="744" spans="2:16">
      <c r="B744" s="30" t="s">
        <v>2928</v>
      </c>
      <c r="C744" s="38" t="s">
        <v>1842</v>
      </c>
      <c r="D744" s="38" t="s">
        <v>2929</v>
      </c>
      <c r="E744" s="38" t="s">
        <v>4048</v>
      </c>
      <c r="F744" s="38" t="s">
        <v>622</v>
      </c>
      <c r="G744" s="38"/>
      <c r="H744" s="53" t="str">
        <f t="shared" si="11"/>
        <v>citation:craig_mckenzie-01</v>
      </c>
      <c r="I744" s="54"/>
      <c r="J744" s="38" t="s">
        <v>5380</v>
      </c>
      <c r="K744" s="38" t="s">
        <v>5380</v>
      </c>
      <c r="L744" s="38" t="s">
        <v>5380</v>
      </c>
      <c r="M744" s="69" t="s">
        <v>5391</v>
      </c>
      <c r="N744" s="38"/>
      <c r="O744" s="38"/>
      <c r="P744" s="31"/>
    </row>
    <row r="745" spans="2:16">
      <c r="B745" s="30" t="s">
        <v>2930</v>
      </c>
      <c r="C745" s="38" t="s">
        <v>2931</v>
      </c>
      <c r="D745" s="38" t="s">
        <v>2932</v>
      </c>
      <c r="E745" s="38" t="s">
        <v>4049</v>
      </c>
      <c r="F745" s="38" t="s">
        <v>622</v>
      </c>
      <c r="G745" s="38"/>
      <c r="H745" s="53" t="str">
        <f t="shared" si="11"/>
        <v>citation:daniele_masato-01</v>
      </c>
      <c r="I745" s="54"/>
      <c r="J745" s="38" t="s">
        <v>5380</v>
      </c>
      <c r="K745" s="38" t="s">
        <v>5380</v>
      </c>
      <c r="L745" s="38" t="s">
        <v>5380</v>
      </c>
      <c r="M745" s="69" t="s">
        <v>5386</v>
      </c>
      <c r="N745" s="38"/>
      <c r="O745" s="38"/>
      <c r="P745" s="31"/>
    </row>
    <row r="746" spans="2:16">
      <c r="B746" s="30" t="s">
        <v>2933</v>
      </c>
      <c r="C746" s="38" t="s">
        <v>2934</v>
      </c>
      <c r="D746" s="38" t="s">
        <v>2935</v>
      </c>
      <c r="E746" s="38" t="s">
        <v>4050</v>
      </c>
      <c r="F746" s="38" t="s">
        <v>622</v>
      </c>
      <c r="G746" s="38"/>
      <c r="H746" s="53" t="str">
        <f t="shared" si="11"/>
        <v>citation:david_emele-01</v>
      </c>
      <c r="I746" s="54"/>
      <c r="J746" s="38" t="s">
        <v>5380</v>
      </c>
      <c r="K746" s="38" t="s">
        <v>5380</v>
      </c>
      <c r="L746" s="38" t="s">
        <v>5380</v>
      </c>
      <c r="M746" s="69" t="s">
        <v>5386</v>
      </c>
      <c r="N746" s="38"/>
      <c r="O746" s="38"/>
      <c r="P746" s="31"/>
    </row>
    <row r="747" spans="2:16">
      <c r="B747" s="30" t="s">
        <v>2936</v>
      </c>
      <c r="C747" s="38" t="s">
        <v>2937</v>
      </c>
      <c r="D747" s="38" t="s">
        <v>2938</v>
      </c>
      <c r="E747" s="38" t="s">
        <v>4051</v>
      </c>
      <c r="F747" s="38" t="s">
        <v>622</v>
      </c>
      <c r="G747" s="38"/>
      <c r="H747" s="53" t="str">
        <f t="shared" si="11"/>
        <v>citation:derek_sleeman-01</v>
      </c>
      <c r="I747" s="54"/>
      <c r="J747" s="38" t="s">
        <v>5380</v>
      </c>
      <c r="K747" s="38" t="s">
        <v>5380</v>
      </c>
      <c r="L747" s="38" t="s">
        <v>5380</v>
      </c>
      <c r="M747" s="69" t="s">
        <v>5385</v>
      </c>
      <c r="N747" s="38"/>
      <c r="O747" s="38"/>
      <c r="P747" s="31"/>
    </row>
    <row r="748" spans="2:16">
      <c r="B748" s="30" t="s">
        <v>1461</v>
      </c>
      <c r="C748" s="38" t="s">
        <v>1462</v>
      </c>
      <c r="D748" s="38" t="s">
        <v>1463</v>
      </c>
      <c r="E748" s="38" t="s">
        <v>3368</v>
      </c>
      <c r="F748" s="38" t="s">
        <v>622</v>
      </c>
      <c r="G748" s="38"/>
      <c r="H748" s="53" t="str">
        <f t="shared" si="11"/>
        <v>citation:federico_cerutti-01</v>
      </c>
      <c r="I748" s="54"/>
      <c r="J748" s="38" t="s">
        <v>5137</v>
      </c>
      <c r="K748" s="38">
        <v>257</v>
      </c>
      <c r="L748" s="38">
        <v>8</v>
      </c>
      <c r="M748" s="69" t="s">
        <v>5385</v>
      </c>
      <c r="N748" s="38"/>
      <c r="O748" s="38"/>
      <c r="P748" s="31"/>
    </row>
    <row r="749" spans="2:16">
      <c r="B749" s="30" t="s">
        <v>2939</v>
      </c>
      <c r="C749" s="38" t="s">
        <v>2362</v>
      </c>
      <c r="D749" s="38" t="s">
        <v>2940</v>
      </c>
      <c r="E749" s="38" t="s">
        <v>4052</v>
      </c>
      <c r="F749" s="38" t="s">
        <v>622</v>
      </c>
      <c r="G749" s="38"/>
      <c r="H749" s="53" t="str">
        <f t="shared" si="11"/>
        <v>citation:frank_guerin-01</v>
      </c>
      <c r="I749" s="54"/>
      <c r="J749" s="38" t="s">
        <v>5145</v>
      </c>
      <c r="K749" s="38">
        <v>445</v>
      </c>
      <c r="L749" s="38">
        <v>12</v>
      </c>
      <c r="M749" s="69" t="s">
        <v>5384</v>
      </c>
      <c r="N749" s="38"/>
      <c r="O749" s="38"/>
      <c r="P749" s="31"/>
    </row>
    <row r="750" spans="2:16">
      <c r="B750" s="30" t="s">
        <v>2941</v>
      </c>
      <c r="C750" s="38" t="s">
        <v>2942</v>
      </c>
      <c r="D750" s="38" t="s">
        <v>1641</v>
      </c>
      <c r="E750" s="38" t="s">
        <v>4053</v>
      </c>
      <c r="F750" s="38" t="s">
        <v>622</v>
      </c>
      <c r="G750" s="38"/>
      <c r="H750" s="53" t="str">
        <f t="shared" si="11"/>
        <v>citation:hengfei_li-01</v>
      </c>
      <c r="I750" s="54"/>
      <c r="J750" s="38" t="s">
        <v>5161</v>
      </c>
      <c r="K750" s="38">
        <v>82</v>
      </c>
      <c r="L750" s="38">
        <v>3</v>
      </c>
      <c r="M750" s="69" t="s">
        <v>5386</v>
      </c>
      <c r="N750" s="38"/>
      <c r="O750" s="38"/>
      <c r="P750" s="31"/>
    </row>
    <row r="751" spans="2:16">
      <c r="B751" s="30" t="s">
        <v>2943</v>
      </c>
      <c r="C751" s="38" t="s">
        <v>2110</v>
      </c>
      <c r="D751" s="38" t="s">
        <v>1590</v>
      </c>
      <c r="E751" s="38" t="s">
        <v>4054</v>
      </c>
      <c r="F751" s="38" t="s">
        <v>622</v>
      </c>
      <c r="G751" s="38"/>
      <c r="H751" s="53" t="str">
        <f t="shared" si="11"/>
        <v>citation:jeff_pan-01</v>
      </c>
      <c r="I751" s="54"/>
      <c r="J751" s="38" t="s">
        <v>5187</v>
      </c>
      <c r="K751" s="38">
        <v>4833</v>
      </c>
      <c r="L751" s="38">
        <v>37</v>
      </c>
      <c r="M751" s="69" t="s">
        <v>5384</v>
      </c>
      <c r="N751" s="38"/>
      <c r="O751" s="38"/>
      <c r="P751" s="31"/>
    </row>
    <row r="752" spans="2:16">
      <c r="B752" s="30" t="s">
        <v>2944</v>
      </c>
      <c r="C752" s="38" t="s">
        <v>2945</v>
      </c>
      <c r="D752" s="38" t="s">
        <v>2946</v>
      </c>
      <c r="E752" s="38" t="s">
        <v>4055</v>
      </c>
      <c r="F752" s="38" t="s">
        <v>622</v>
      </c>
      <c r="G752" s="38"/>
      <c r="H752" s="53" t="str">
        <f t="shared" si="11"/>
        <v>citation:jhonatan_garcia-01</v>
      </c>
      <c r="I752" s="54"/>
      <c r="J752" s="38" t="s">
        <v>5380</v>
      </c>
      <c r="K752" s="38" t="s">
        <v>5380</v>
      </c>
      <c r="L752" s="38" t="s">
        <v>5380</v>
      </c>
      <c r="M752" s="69" t="s">
        <v>5387</v>
      </c>
      <c r="N752" s="38"/>
      <c r="O752" s="38"/>
      <c r="P752" s="31"/>
    </row>
    <row r="753" spans="2:16">
      <c r="B753" s="30" t="s">
        <v>2947</v>
      </c>
      <c r="C753" s="38" t="s">
        <v>2948</v>
      </c>
      <c r="D753" s="38" t="s">
        <v>2949</v>
      </c>
      <c r="E753" s="38" t="s">
        <v>4056</v>
      </c>
      <c r="F753" s="38" t="s">
        <v>622</v>
      </c>
      <c r="G753" s="38"/>
      <c r="H753" s="53" t="str">
        <f t="shared" si="11"/>
        <v>citation:mairi_mccallum-01</v>
      </c>
      <c r="I753" s="54"/>
      <c r="J753" s="38" t="s">
        <v>5380</v>
      </c>
      <c r="K753" s="38" t="s">
        <v>5380</v>
      </c>
      <c r="L753" s="38" t="s">
        <v>5380</v>
      </c>
      <c r="M753" s="69" t="s">
        <v>5387</v>
      </c>
      <c r="N753" s="38"/>
      <c r="O753" s="38"/>
      <c r="P753" s="31"/>
    </row>
    <row r="754" spans="2:16">
      <c r="B754" s="30" t="s">
        <v>2950</v>
      </c>
      <c r="C754" s="38" t="s">
        <v>2668</v>
      </c>
      <c r="D754" s="38" t="s">
        <v>2951</v>
      </c>
      <c r="E754" s="38" t="s">
        <v>4057</v>
      </c>
      <c r="F754" s="38" t="s">
        <v>622</v>
      </c>
      <c r="G754" s="38"/>
      <c r="H754" s="53" t="str">
        <f t="shared" si="11"/>
        <v>citation:mario_gomez-01</v>
      </c>
      <c r="I754" s="54"/>
      <c r="J754" s="38" t="s">
        <v>5380</v>
      </c>
      <c r="K754" s="38" t="s">
        <v>5380</v>
      </c>
      <c r="L754" s="38" t="s">
        <v>5380</v>
      </c>
      <c r="M754" s="69" t="s">
        <v>5384</v>
      </c>
      <c r="N754" s="38"/>
      <c r="O754" s="38"/>
      <c r="P754" s="31"/>
    </row>
    <row r="755" spans="2:16">
      <c r="B755" s="30" t="s">
        <v>2952</v>
      </c>
      <c r="C755" s="38" t="s">
        <v>1471</v>
      </c>
      <c r="D755" s="38" t="s">
        <v>2953</v>
      </c>
      <c r="E755" s="38" t="s">
        <v>4058</v>
      </c>
      <c r="F755" s="38" t="s">
        <v>622</v>
      </c>
      <c r="G755" s="38"/>
      <c r="H755" s="53" t="str">
        <f t="shared" si="11"/>
        <v>citation:martin_kollingbaum-01</v>
      </c>
      <c r="I755" s="54"/>
      <c r="J755" s="38" t="s">
        <v>5244</v>
      </c>
      <c r="K755" s="38">
        <v>1140</v>
      </c>
      <c r="L755" s="38">
        <v>18</v>
      </c>
      <c r="M755" s="69" t="s">
        <v>5384</v>
      </c>
      <c r="N755" s="38"/>
      <c r="O755" s="38"/>
      <c r="P755" s="31"/>
    </row>
    <row r="756" spans="2:16">
      <c r="B756" s="30" t="s">
        <v>2954</v>
      </c>
      <c r="C756" s="38" t="s">
        <v>2955</v>
      </c>
      <c r="D756" s="38" t="s">
        <v>2956</v>
      </c>
      <c r="E756" s="38" t="s">
        <v>4059</v>
      </c>
      <c r="F756" s="38" t="s">
        <v>622</v>
      </c>
      <c r="G756" s="38"/>
      <c r="H756" s="53" t="str">
        <f t="shared" si="11"/>
        <v>citation:murat_sensoy-01</v>
      </c>
      <c r="I756" s="54"/>
      <c r="J756" s="38" t="s">
        <v>5260</v>
      </c>
      <c r="K756" s="38">
        <v>523</v>
      </c>
      <c r="L756" s="38">
        <v>13</v>
      </c>
      <c r="M756" s="69" t="s">
        <v>5385</v>
      </c>
      <c r="N756" s="38"/>
      <c r="O756" s="38"/>
      <c r="P756" s="31"/>
    </row>
    <row r="757" spans="2:16">
      <c r="B757" s="30" t="s">
        <v>2957</v>
      </c>
      <c r="C757" s="38" t="s">
        <v>2958</v>
      </c>
      <c r="D757" s="38" t="s">
        <v>2959</v>
      </c>
      <c r="E757" s="38" t="s">
        <v>4060</v>
      </c>
      <c r="F757" s="38" t="s">
        <v>622</v>
      </c>
      <c r="G757" s="38"/>
      <c r="H757" s="53" t="str">
        <f t="shared" si="11"/>
        <v>citation:nava_tintarev-01</v>
      </c>
      <c r="I757" s="54"/>
      <c r="J757" s="38" t="s">
        <v>5264</v>
      </c>
      <c r="K757" s="38">
        <v>733</v>
      </c>
      <c r="L757" s="38">
        <v>13</v>
      </c>
      <c r="M757" s="69" t="s">
        <v>5387</v>
      </c>
      <c r="N757" s="38"/>
      <c r="O757" s="38"/>
      <c r="P757" s="31"/>
    </row>
    <row r="758" spans="2:16">
      <c r="B758" s="30" t="s">
        <v>2960</v>
      </c>
      <c r="C758" s="38" t="s">
        <v>2961</v>
      </c>
      <c r="D758" s="38" t="s">
        <v>2962</v>
      </c>
      <c r="E758" s="38" t="s">
        <v>4061</v>
      </c>
      <c r="F758" s="38" t="s">
        <v>622</v>
      </c>
      <c r="G758" s="38"/>
      <c r="H758" s="53" t="str">
        <f t="shared" si="11"/>
        <v>citation:nir_oren-01</v>
      </c>
      <c r="I758" s="54"/>
      <c r="J758" s="38" t="s">
        <v>5269</v>
      </c>
      <c r="K758" s="38">
        <v>1010</v>
      </c>
      <c r="L758" s="38">
        <v>17</v>
      </c>
      <c r="M758" s="69" t="s">
        <v>5385</v>
      </c>
      <c r="N758" s="38"/>
      <c r="O758" s="38"/>
      <c r="P758" s="31"/>
    </row>
    <row r="759" spans="2:16">
      <c r="B759" s="30" t="s">
        <v>2963</v>
      </c>
      <c r="C759" s="38" t="s">
        <v>1579</v>
      </c>
      <c r="D759" s="38" t="s">
        <v>2964</v>
      </c>
      <c r="E759" s="38" t="s">
        <v>4062</v>
      </c>
      <c r="F759" s="38" t="s">
        <v>622</v>
      </c>
      <c r="G759" s="38"/>
      <c r="H759" s="53" t="str">
        <f t="shared" si="11"/>
        <v>citation:stuart_chalmers-01</v>
      </c>
      <c r="I759" s="54"/>
      <c r="J759" s="38" t="s">
        <v>5334</v>
      </c>
      <c r="K759" s="38">
        <v>641</v>
      </c>
      <c r="L759" s="38">
        <v>13</v>
      </c>
      <c r="M759" s="69" t="s">
        <v>5384</v>
      </c>
      <c r="N759" s="38"/>
      <c r="O759" s="38"/>
      <c r="P759" s="31"/>
    </row>
    <row r="760" spans="2:16">
      <c r="B760" s="30" t="s">
        <v>2965</v>
      </c>
      <c r="C760" s="38" t="s">
        <v>2966</v>
      </c>
      <c r="D760" s="38" t="s">
        <v>1879</v>
      </c>
      <c r="E760" s="38" t="s">
        <v>4063</v>
      </c>
      <c r="F760" s="38" t="s">
        <v>622</v>
      </c>
      <c r="G760" s="38"/>
      <c r="H760" s="53" t="str">
        <f t="shared" si="11"/>
        <v>citation:thao_le-01</v>
      </c>
      <c r="I760" s="54"/>
      <c r="J760" s="38" t="s">
        <v>5380</v>
      </c>
      <c r="K760" s="38" t="s">
        <v>5380</v>
      </c>
      <c r="L760" s="38" t="s">
        <v>5380</v>
      </c>
      <c r="M760" s="69" t="s">
        <v>5388</v>
      </c>
      <c r="N760" s="38"/>
      <c r="O760" s="38"/>
      <c r="P760" s="31"/>
    </row>
    <row r="761" spans="2:16">
      <c r="B761" s="30" t="s">
        <v>299</v>
      </c>
      <c r="C761" s="38" t="s">
        <v>2520</v>
      </c>
      <c r="D761" s="38" t="s">
        <v>2216</v>
      </c>
      <c r="E761" s="38" t="s">
        <v>4064</v>
      </c>
      <c r="F761" s="38" t="s">
        <v>622</v>
      </c>
      <c r="G761" s="38"/>
      <c r="H761" s="53" t="str">
        <f t="shared" si="11"/>
        <v>citation:timothy_norman-01</v>
      </c>
      <c r="I761" s="54"/>
      <c r="J761" s="38" t="s">
        <v>5348</v>
      </c>
      <c r="K761" s="38">
        <v>4190</v>
      </c>
      <c r="L761" s="38">
        <v>32</v>
      </c>
      <c r="M761" s="69" t="s">
        <v>5385</v>
      </c>
      <c r="N761" s="38"/>
      <c r="O761" s="38"/>
      <c r="P761" s="31"/>
    </row>
    <row r="762" spans="2:16">
      <c r="B762" s="32" t="s">
        <v>2967</v>
      </c>
      <c r="C762" s="39" t="s">
        <v>2968</v>
      </c>
      <c r="D762" s="39" t="s">
        <v>2969</v>
      </c>
      <c r="E762" s="39" t="s">
        <v>4065</v>
      </c>
      <c r="F762" s="39" t="s">
        <v>622</v>
      </c>
      <c r="G762" s="39"/>
      <c r="H762" s="51" t="str">
        <f t="shared" si="11"/>
        <v>citation:wamberto_vasconcelos-01</v>
      </c>
      <c r="I762" s="52"/>
      <c r="J762" s="38" t="s">
        <v>5357</v>
      </c>
      <c r="K762" s="38">
        <v>1891</v>
      </c>
      <c r="L762" s="38">
        <v>21</v>
      </c>
      <c r="M762" s="69" t="s">
        <v>5384</v>
      </c>
      <c r="N762" s="39"/>
      <c r="O762" s="39"/>
      <c r="P762" s="34"/>
    </row>
    <row r="763" spans="2:16">
      <c r="B763" s="28" t="s">
        <v>2970</v>
      </c>
      <c r="C763" s="37" t="s">
        <v>2971</v>
      </c>
      <c r="D763" s="37" t="s">
        <v>2972</v>
      </c>
      <c r="E763" s="37" t="s">
        <v>4066</v>
      </c>
      <c r="F763" s="37" t="s">
        <v>263</v>
      </c>
      <c r="G763" s="37"/>
      <c r="H763" s="49" t="str">
        <f t="shared" si="11"/>
        <v>citation:anders_lindgren-01</v>
      </c>
      <c r="I763" s="50"/>
      <c r="J763" s="38" t="s">
        <v>5051</v>
      </c>
      <c r="K763" s="38">
        <v>4180</v>
      </c>
      <c r="L763" s="38">
        <v>19</v>
      </c>
      <c r="M763" s="69" t="s">
        <v>5388</v>
      </c>
      <c r="N763" s="37"/>
      <c r="O763" s="37"/>
      <c r="P763" s="29"/>
    </row>
    <row r="764" spans="2:16">
      <c r="B764" s="30" t="s">
        <v>2973</v>
      </c>
      <c r="C764" s="38" t="s">
        <v>2068</v>
      </c>
      <c r="D764" s="38" t="s">
        <v>2974</v>
      </c>
      <c r="E764" s="38" t="s">
        <v>4067</v>
      </c>
      <c r="F764" s="38" t="s">
        <v>263</v>
      </c>
      <c r="G764" s="38"/>
      <c r="H764" s="53" t="str">
        <f t="shared" si="11"/>
        <v>citation:andrei_bejan-01</v>
      </c>
      <c r="I764" s="54"/>
      <c r="J764" s="38" t="s">
        <v>5380</v>
      </c>
      <c r="K764" s="38" t="s">
        <v>5380</v>
      </c>
      <c r="L764" s="38" t="s">
        <v>5380</v>
      </c>
      <c r="M764" s="69" t="s">
        <v>5388</v>
      </c>
      <c r="N764" s="38"/>
      <c r="O764" s="38"/>
      <c r="P764" s="31"/>
    </row>
    <row r="765" spans="2:16">
      <c r="B765" s="30" t="s">
        <v>2975</v>
      </c>
      <c r="C765" s="38" t="s">
        <v>1071</v>
      </c>
      <c r="D765" s="38" t="s">
        <v>2976</v>
      </c>
      <c r="E765" s="38" t="s">
        <v>4068</v>
      </c>
      <c r="F765" s="38" t="s">
        <v>263</v>
      </c>
      <c r="G765" s="38"/>
      <c r="H765" s="53" t="str">
        <f t="shared" si="11"/>
        <v>citation:andrew_twigg-01</v>
      </c>
      <c r="I765" s="54"/>
      <c r="J765" s="38" t="s">
        <v>5055</v>
      </c>
      <c r="K765" s="38">
        <v>1189</v>
      </c>
      <c r="L765" s="38">
        <v>13</v>
      </c>
      <c r="M765" s="69" t="s">
        <v>5387</v>
      </c>
      <c r="N765" s="38"/>
      <c r="O765" s="38"/>
      <c r="P765" s="31"/>
    </row>
    <row r="766" spans="2:16">
      <c r="B766" s="30" t="s">
        <v>2977</v>
      </c>
      <c r="C766" s="38" t="s">
        <v>2978</v>
      </c>
      <c r="D766" s="38" t="s">
        <v>2979</v>
      </c>
      <c r="E766" s="38" t="s">
        <v>4069</v>
      </c>
      <c r="F766" s="38" t="s">
        <v>263</v>
      </c>
      <c r="G766" s="38"/>
      <c r="H766" s="53" t="str">
        <f t="shared" si="11"/>
        <v>citation:ann_copestake-01</v>
      </c>
      <c r="I766" s="54"/>
      <c r="J766" s="38" t="s">
        <v>5057</v>
      </c>
      <c r="K766" s="38">
        <v>6686</v>
      </c>
      <c r="L766" s="38">
        <v>38</v>
      </c>
      <c r="M766" s="69" t="s">
        <v>5384</v>
      </c>
      <c r="N766" s="38"/>
      <c r="O766" s="38"/>
      <c r="P766" s="31"/>
    </row>
    <row r="767" spans="2:16">
      <c r="B767" s="30" t="s">
        <v>2980</v>
      </c>
      <c r="C767" s="38" t="s">
        <v>2981</v>
      </c>
      <c r="D767" s="38" t="s">
        <v>2982</v>
      </c>
      <c r="E767" s="38" t="s">
        <v>4070</v>
      </c>
      <c r="F767" s="38" t="s">
        <v>263</v>
      </c>
      <c r="G767" s="38"/>
      <c r="H767" s="53" t="str">
        <f t="shared" si="11"/>
        <v>citation:cecilia_mascolo-01</v>
      </c>
      <c r="I767" s="54"/>
      <c r="J767" s="38" t="s">
        <v>5082</v>
      </c>
      <c r="K767" s="38">
        <v>9855</v>
      </c>
      <c r="L767" s="38">
        <v>51</v>
      </c>
      <c r="M767" s="69" t="s">
        <v>5384</v>
      </c>
      <c r="N767" s="38"/>
      <c r="O767" s="38"/>
      <c r="P767" s="31"/>
    </row>
    <row r="768" spans="2:16">
      <c r="B768" s="30" t="s">
        <v>2983</v>
      </c>
      <c r="C768" s="38" t="s">
        <v>2984</v>
      </c>
      <c r="D768" s="38" t="s">
        <v>2985</v>
      </c>
      <c r="E768" s="38" t="s">
        <v>4071</v>
      </c>
      <c r="F768" s="38" t="s">
        <v>263</v>
      </c>
      <c r="G768" s="38"/>
      <c r="H768" s="53" t="str">
        <f t="shared" si="11"/>
        <v>citation:chi_kin_chau-01</v>
      </c>
      <c r="I768" s="54"/>
      <c r="J768" s="38" t="s">
        <v>5380</v>
      </c>
      <c r="K768" s="38" t="s">
        <v>5380</v>
      </c>
      <c r="L768" s="38" t="s">
        <v>5380</v>
      </c>
      <c r="M768" s="69" t="s">
        <v>5385</v>
      </c>
      <c r="N768" s="38"/>
      <c r="O768" s="38"/>
      <c r="P768" s="31"/>
    </row>
    <row r="769" spans="2:16">
      <c r="B769" s="30" t="s">
        <v>2986</v>
      </c>
      <c r="C769" s="38" t="s">
        <v>2987</v>
      </c>
      <c r="D769" s="38" t="s">
        <v>2988</v>
      </c>
      <c r="E769" s="38" t="s">
        <v>4072</v>
      </c>
      <c r="F769" s="38" t="s">
        <v>263</v>
      </c>
      <c r="G769" s="38"/>
      <c r="H769" s="53" t="str">
        <f t="shared" si="11"/>
        <v>citation:diarmuid_oseaghdha-01</v>
      </c>
      <c r="I769" s="54"/>
      <c r="J769" s="38" t="s">
        <v>5113</v>
      </c>
      <c r="K769" s="38">
        <v>615</v>
      </c>
      <c r="L769" s="38">
        <v>14</v>
      </c>
      <c r="M769" s="69" t="s">
        <v>5391</v>
      </c>
      <c r="N769" s="38"/>
      <c r="O769" s="38"/>
      <c r="P769" s="31"/>
    </row>
    <row r="770" spans="2:16">
      <c r="B770" s="30" t="s">
        <v>2989</v>
      </c>
      <c r="C770" s="38" t="s">
        <v>2990</v>
      </c>
      <c r="D770" s="38" t="s">
        <v>2991</v>
      </c>
      <c r="E770" s="38" t="s">
        <v>4073</v>
      </c>
      <c r="F770" s="38" t="s">
        <v>263</v>
      </c>
      <c r="G770" s="38"/>
      <c r="H770" s="53" t="str">
        <f t="shared" si="11"/>
        <v>citation:eiko_yoneki-01</v>
      </c>
      <c r="I770" s="54"/>
      <c r="J770" s="38" t="s">
        <v>5124</v>
      </c>
      <c r="K770" s="38">
        <v>3261</v>
      </c>
      <c r="L770" s="38">
        <v>20</v>
      </c>
      <c r="M770" s="69" t="s">
        <v>5384</v>
      </c>
      <c r="N770" s="38"/>
      <c r="O770" s="38"/>
      <c r="P770" s="31"/>
    </row>
    <row r="771" spans="2:16">
      <c r="B771" s="30" t="s">
        <v>2992</v>
      </c>
      <c r="C771" s="38" t="s">
        <v>2993</v>
      </c>
      <c r="D771" s="38" t="s">
        <v>2994</v>
      </c>
      <c r="E771" s="38" t="s">
        <v>4074</v>
      </c>
      <c r="F771" s="38" t="s">
        <v>263</v>
      </c>
      <c r="G771" s="38"/>
      <c r="H771" s="53" t="str">
        <f t="shared" ref="H771:H834" si="12">"citation:"&amp;B771&amp;"-01"</f>
        <v>citation:ilias_leontiadis-01</v>
      </c>
      <c r="I771" s="54"/>
      <c r="J771" s="38" t="s">
        <v>5174</v>
      </c>
      <c r="K771" s="38">
        <v>1144</v>
      </c>
      <c r="L771" s="38">
        <v>17</v>
      </c>
      <c r="M771" s="69" t="s">
        <v>5384</v>
      </c>
      <c r="N771" s="38"/>
      <c r="O771" s="38"/>
      <c r="P771" s="31"/>
    </row>
    <row r="772" spans="2:16">
      <c r="B772" s="30" t="s">
        <v>2995</v>
      </c>
      <c r="C772" s="38" t="s">
        <v>1565</v>
      </c>
      <c r="D772" s="38" t="s">
        <v>1323</v>
      </c>
      <c r="E772" s="38" t="s">
        <v>4075</v>
      </c>
      <c r="F772" s="38" t="s">
        <v>263</v>
      </c>
      <c r="G772" s="38"/>
      <c r="H772" s="53" t="str">
        <f t="shared" si="12"/>
        <v>citation:john_tang-01</v>
      </c>
      <c r="I772" s="54"/>
      <c r="J772" s="38" t="s">
        <v>5204</v>
      </c>
      <c r="K772" s="38">
        <v>580</v>
      </c>
      <c r="L772" s="38">
        <v>9</v>
      </c>
      <c r="M772" s="69" t="s">
        <v>5384</v>
      </c>
      <c r="N772" s="38"/>
      <c r="O772" s="38"/>
      <c r="P772" s="31"/>
    </row>
    <row r="773" spans="2:16">
      <c r="B773" s="30" t="s">
        <v>2996</v>
      </c>
      <c r="C773" s="38" t="s">
        <v>1097</v>
      </c>
      <c r="D773" s="38" t="s">
        <v>2997</v>
      </c>
      <c r="E773" s="38" t="s">
        <v>4076</v>
      </c>
      <c r="F773" s="38" t="s">
        <v>263</v>
      </c>
      <c r="G773" s="38"/>
      <c r="H773" s="53" t="str">
        <f t="shared" si="12"/>
        <v>citation:jon_crowcroft-01</v>
      </c>
      <c r="I773" s="54"/>
      <c r="J773" s="38" t="s">
        <v>5207</v>
      </c>
      <c r="K773" s="38">
        <v>31942</v>
      </c>
      <c r="L773" s="38">
        <v>73</v>
      </c>
      <c r="M773" s="69" t="s">
        <v>5385</v>
      </c>
      <c r="N773" s="38"/>
      <c r="O773" s="38"/>
      <c r="P773" s="31"/>
    </row>
    <row r="774" spans="2:16">
      <c r="B774" s="30" t="s">
        <v>2998</v>
      </c>
      <c r="C774" s="38" t="s">
        <v>2999</v>
      </c>
      <c r="D774" s="38" t="s">
        <v>3000</v>
      </c>
      <c r="E774" s="38" t="s">
        <v>4077</v>
      </c>
      <c r="F774" s="38" t="s">
        <v>263</v>
      </c>
      <c r="G774" s="38"/>
      <c r="H774" s="53" t="str">
        <f t="shared" si="12"/>
        <v>citation:kuang_xu-01</v>
      </c>
      <c r="I774" s="54"/>
      <c r="J774" s="38" t="s">
        <v>5380</v>
      </c>
      <c r="K774" s="38" t="s">
        <v>5380</v>
      </c>
      <c r="L774" s="38" t="s">
        <v>5380</v>
      </c>
      <c r="M774" s="69" t="s">
        <v>5386</v>
      </c>
      <c r="N774" s="38"/>
      <c r="O774" s="38"/>
      <c r="P774" s="31"/>
    </row>
    <row r="775" spans="2:16">
      <c r="B775" s="30" t="s">
        <v>3001</v>
      </c>
      <c r="C775" s="38" t="s">
        <v>3002</v>
      </c>
      <c r="D775" s="38" t="s">
        <v>3003</v>
      </c>
      <c r="E775" s="38" t="s">
        <v>4078</v>
      </c>
      <c r="F775" s="38" t="s">
        <v>263</v>
      </c>
      <c r="G775" s="38"/>
      <c r="H775" s="53" t="str">
        <f t="shared" si="12"/>
        <v>citation:mirco_musolesi-01</v>
      </c>
      <c r="I775" s="54"/>
      <c r="J775" s="38" t="s">
        <v>5254</v>
      </c>
      <c r="K775" s="38">
        <v>5899</v>
      </c>
      <c r="L775" s="38">
        <v>32</v>
      </c>
      <c r="M775" s="69" t="s">
        <v>5384</v>
      </c>
      <c r="N775" s="38"/>
      <c r="O775" s="38"/>
      <c r="P775" s="31"/>
    </row>
    <row r="776" spans="2:16">
      <c r="B776" s="30" t="s">
        <v>3004</v>
      </c>
      <c r="C776" s="38" t="s">
        <v>3005</v>
      </c>
      <c r="D776" s="38" t="s">
        <v>3006</v>
      </c>
      <c r="E776" s="38" t="s">
        <v>4079</v>
      </c>
      <c r="F776" s="38" t="s">
        <v>263</v>
      </c>
      <c r="G776" s="38"/>
      <c r="H776" s="53" t="str">
        <f t="shared" si="12"/>
        <v>citation:nik_sultana-01</v>
      </c>
      <c r="I776" s="54"/>
      <c r="J776" s="38" t="s">
        <v>5380</v>
      </c>
      <c r="K776" s="38" t="s">
        <v>5380</v>
      </c>
      <c r="L776" s="38" t="s">
        <v>5380</v>
      </c>
      <c r="M776" s="69" t="s">
        <v>5386</v>
      </c>
      <c r="N776" s="38"/>
      <c r="O776" s="38"/>
      <c r="P776" s="31"/>
    </row>
    <row r="777" spans="2:16">
      <c r="B777" s="30" t="s">
        <v>3007</v>
      </c>
      <c r="C777" s="38" t="s">
        <v>3008</v>
      </c>
      <c r="D777" s="38" t="s">
        <v>3009</v>
      </c>
      <c r="E777" s="38" t="s">
        <v>4080</v>
      </c>
      <c r="F777" s="38" t="s">
        <v>263</v>
      </c>
      <c r="G777" s="38"/>
      <c r="H777" s="53" t="str">
        <f t="shared" si="12"/>
        <v>citation:pietro_lio-01</v>
      </c>
      <c r="I777" s="54"/>
      <c r="J777" s="38" t="s">
        <v>5286</v>
      </c>
      <c r="K777" s="38">
        <v>6227</v>
      </c>
      <c r="L777" s="38">
        <v>36</v>
      </c>
      <c r="M777" s="69" t="s">
        <v>5384</v>
      </c>
      <c r="N777" s="38"/>
      <c r="O777" s="38"/>
      <c r="P777" s="31"/>
    </row>
    <row r="778" spans="2:16">
      <c r="B778" s="30" t="s">
        <v>3010</v>
      </c>
      <c r="C778" s="38" t="s">
        <v>3011</v>
      </c>
      <c r="D778" s="38" t="s">
        <v>3012</v>
      </c>
      <c r="E778" s="38" t="s">
        <v>4081</v>
      </c>
      <c r="F778" s="38" t="s">
        <v>263</v>
      </c>
      <c r="G778" s="38"/>
      <c r="H778" s="53" t="str">
        <f t="shared" si="12"/>
        <v>citation:richard_gibbens-01</v>
      </c>
      <c r="I778" s="54"/>
      <c r="J778" s="38" t="s">
        <v>5302</v>
      </c>
      <c r="K778" s="38">
        <v>3943</v>
      </c>
      <c r="L778" s="38">
        <v>27</v>
      </c>
      <c r="M778" s="69" t="s">
        <v>5384</v>
      </c>
      <c r="N778" s="38"/>
      <c r="O778" s="38"/>
      <c r="P778" s="31"/>
    </row>
    <row r="779" spans="2:16">
      <c r="B779" s="30" t="s">
        <v>3013</v>
      </c>
      <c r="C779" s="38" t="s">
        <v>3011</v>
      </c>
      <c r="D779" s="38" t="s">
        <v>4082</v>
      </c>
      <c r="E779" s="38" t="s">
        <v>4083</v>
      </c>
      <c r="F779" s="38" t="s">
        <v>263</v>
      </c>
      <c r="G779" s="38"/>
      <c r="H779" s="53" t="str">
        <f t="shared" si="12"/>
        <v>citation:richard_van_der_wath-01</v>
      </c>
      <c r="I779" s="54"/>
      <c r="J779" s="38" t="s">
        <v>5304</v>
      </c>
      <c r="K779" s="38">
        <v>881</v>
      </c>
      <c r="L779" s="38">
        <v>5</v>
      </c>
      <c r="M779" s="69" t="s">
        <v>5387</v>
      </c>
      <c r="N779" s="38"/>
      <c r="O779" s="38"/>
      <c r="P779" s="31"/>
    </row>
    <row r="780" spans="2:16">
      <c r="B780" s="30" t="s">
        <v>3014</v>
      </c>
      <c r="C780" s="38" t="s">
        <v>3015</v>
      </c>
      <c r="D780" s="38" t="s">
        <v>3016</v>
      </c>
      <c r="E780" s="38" t="s">
        <v>4084</v>
      </c>
      <c r="F780" s="38" t="s">
        <v>263</v>
      </c>
      <c r="G780" s="38"/>
      <c r="H780" s="53" t="str">
        <f t="shared" si="12"/>
        <v>citation:salvatore_scellato-01</v>
      </c>
      <c r="I780" s="54"/>
      <c r="J780" s="38" t="s">
        <v>5308</v>
      </c>
      <c r="K780" s="38">
        <v>2863</v>
      </c>
      <c r="L780" s="38">
        <v>23</v>
      </c>
      <c r="M780" s="69" t="s">
        <v>5384</v>
      </c>
      <c r="N780" s="38"/>
      <c r="O780" s="38"/>
      <c r="P780" s="31"/>
    </row>
    <row r="781" spans="2:16">
      <c r="B781" s="30" t="s">
        <v>3017</v>
      </c>
      <c r="C781" s="38" t="s">
        <v>1316</v>
      </c>
      <c r="D781" s="38" t="s">
        <v>3018</v>
      </c>
      <c r="E781" s="38" t="s">
        <v>4085</v>
      </c>
      <c r="F781" s="38" t="s">
        <v>263</v>
      </c>
      <c r="G781" s="38"/>
      <c r="H781" s="53" t="str">
        <f t="shared" si="12"/>
        <v>citation:steven_hand-01</v>
      </c>
      <c r="I781" s="54"/>
      <c r="J781" s="38" t="s">
        <v>5332</v>
      </c>
      <c r="K781" s="38">
        <v>12142</v>
      </c>
      <c r="L781" s="38">
        <v>29</v>
      </c>
      <c r="M781" s="69" t="s">
        <v>5388</v>
      </c>
      <c r="N781" s="38"/>
      <c r="O781" s="38"/>
      <c r="P781" s="31"/>
    </row>
    <row r="782" spans="2:16">
      <c r="B782" s="30" t="s">
        <v>3019</v>
      </c>
      <c r="C782" s="38" t="s">
        <v>3020</v>
      </c>
      <c r="D782" s="38" t="s">
        <v>1964</v>
      </c>
      <c r="E782" s="38" t="s">
        <v>4086</v>
      </c>
      <c r="F782" s="38" t="s">
        <v>263</v>
      </c>
      <c r="G782" s="38"/>
      <c r="H782" s="53"/>
      <c r="I782" s="54"/>
      <c r="J782" s="38"/>
      <c r="K782" s="38"/>
      <c r="L782" s="38"/>
      <c r="M782" s="69" t="s">
        <v>5380</v>
      </c>
      <c r="N782" s="38"/>
      <c r="O782" s="38"/>
      <c r="P782" s="31"/>
    </row>
    <row r="783" spans="2:16">
      <c r="B783" s="30" t="s">
        <v>3021</v>
      </c>
      <c r="C783" s="38" t="s">
        <v>3022</v>
      </c>
      <c r="D783" s="38" t="s">
        <v>2035</v>
      </c>
      <c r="E783" s="38" t="s">
        <v>4087</v>
      </c>
      <c r="F783" s="38" t="s">
        <v>263</v>
      </c>
      <c r="G783" s="38"/>
      <c r="H783" s="53" t="str">
        <f t="shared" si="12"/>
        <v>citation:wenjun_hu-01</v>
      </c>
      <c r="I783" s="54"/>
      <c r="J783" s="38" t="s">
        <v>5359</v>
      </c>
      <c r="K783" s="38">
        <v>4081</v>
      </c>
      <c r="L783" s="38">
        <v>16</v>
      </c>
      <c r="M783" s="69" t="s">
        <v>5391</v>
      </c>
      <c r="N783" s="38"/>
      <c r="O783" s="38"/>
      <c r="P783" s="31"/>
    </row>
    <row r="784" spans="2:16">
      <c r="B784" s="32" t="s">
        <v>3023</v>
      </c>
      <c r="C784" s="39" t="s">
        <v>3024</v>
      </c>
      <c r="D784" s="39" t="s">
        <v>1919</v>
      </c>
      <c r="E784" s="39" t="s">
        <v>4088</v>
      </c>
      <c r="F784" s="39" t="s">
        <v>263</v>
      </c>
      <c r="G784" s="39"/>
      <c r="H784" s="51" t="str">
        <f t="shared" si="12"/>
        <v>citation:yu-en_lu-01</v>
      </c>
      <c r="I784" s="52"/>
      <c r="J784" s="38" t="s">
        <v>5380</v>
      </c>
      <c r="K784" s="38" t="s">
        <v>5380</v>
      </c>
      <c r="L784" s="38" t="s">
        <v>5380</v>
      </c>
      <c r="M784" s="69" t="s">
        <v>5388</v>
      </c>
      <c r="N784" s="39"/>
      <c r="O784" s="39"/>
      <c r="P784" s="34"/>
    </row>
    <row r="785" spans="2:16">
      <c r="B785" s="28" t="s">
        <v>3025</v>
      </c>
      <c r="C785" s="37" t="s">
        <v>3026</v>
      </c>
      <c r="D785" s="37" t="s">
        <v>3027</v>
      </c>
      <c r="E785" s="37" t="s">
        <v>4089</v>
      </c>
      <c r="F785" s="37" t="s">
        <v>627</v>
      </c>
      <c r="G785" s="37"/>
      <c r="H785" s="49" t="str">
        <f t="shared" si="12"/>
        <v>citation:joe_sventek-01</v>
      </c>
      <c r="I785" s="50"/>
      <c r="J785" s="38" t="s">
        <v>5200</v>
      </c>
      <c r="K785" s="38">
        <v>1757</v>
      </c>
      <c r="L785" s="38">
        <v>24</v>
      </c>
      <c r="M785" s="69" t="s">
        <v>5394</v>
      </c>
      <c r="N785" s="37"/>
      <c r="O785" s="37"/>
      <c r="P785" s="29"/>
    </row>
    <row r="786" spans="2:16">
      <c r="B786" s="30" t="s">
        <v>3028</v>
      </c>
      <c r="C786" s="38" t="s">
        <v>1316</v>
      </c>
      <c r="D786" s="38" t="s">
        <v>3029</v>
      </c>
      <c r="E786" s="38" t="s">
        <v>4090</v>
      </c>
      <c r="F786" s="38" t="s">
        <v>627</v>
      </c>
      <c r="G786" s="38"/>
      <c r="H786" s="53" t="str">
        <f t="shared" si="12"/>
        <v>citation:steven_heeps-01</v>
      </c>
      <c r="I786" s="54"/>
      <c r="J786" s="38" t="s">
        <v>5380</v>
      </c>
      <c r="K786" s="38" t="s">
        <v>5380</v>
      </c>
      <c r="L786" s="38" t="s">
        <v>5380</v>
      </c>
      <c r="M786" s="69" t="s">
        <v>5394</v>
      </c>
      <c r="N786" s="38"/>
      <c r="O786" s="38"/>
      <c r="P786" s="31"/>
    </row>
    <row r="787" spans="2:16">
      <c r="B787" s="32" t="s">
        <v>3030</v>
      </c>
      <c r="C787" s="39" t="s">
        <v>1316</v>
      </c>
      <c r="D787" s="39" t="s">
        <v>3031</v>
      </c>
      <c r="E787" s="39" t="s">
        <v>4091</v>
      </c>
      <c r="F787" s="39" t="s">
        <v>627</v>
      </c>
      <c r="G787" s="39"/>
      <c r="H787" s="51" t="str">
        <f t="shared" si="12"/>
        <v>citation:steven_strowes-01</v>
      </c>
      <c r="I787" s="52"/>
      <c r="J787" s="38" t="s">
        <v>5333</v>
      </c>
      <c r="K787" s="38">
        <v>287</v>
      </c>
      <c r="L787" s="38">
        <v>7</v>
      </c>
      <c r="M787" s="69" t="s">
        <v>5394</v>
      </c>
      <c r="N787" s="39"/>
      <c r="O787" s="39"/>
      <c r="P787" s="34"/>
    </row>
    <row r="788" spans="2:16">
      <c r="B788" s="30" t="s">
        <v>3032</v>
      </c>
      <c r="C788" s="38" t="s">
        <v>1408</v>
      </c>
      <c r="D788" s="38" t="s">
        <v>2335</v>
      </c>
      <c r="E788" s="38" t="s">
        <v>4092</v>
      </c>
      <c r="F788" s="38" t="s">
        <v>630</v>
      </c>
      <c r="G788" s="38"/>
      <c r="H788" s="53" t="str">
        <f t="shared" si="12"/>
        <v>citation:ji_zhu-01</v>
      </c>
      <c r="I788" s="54"/>
      <c r="J788" s="38" t="s">
        <v>5380</v>
      </c>
      <c r="K788" s="38" t="s">
        <v>5380</v>
      </c>
      <c r="L788" s="38" t="s">
        <v>5380</v>
      </c>
      <c r="M788" s="69" t="s">
        <v>5391</v>
      </c>
      <c r="N788" s="38"/>
      <c r="O788" s="38"/>
      <c r="P788" s="31"/>
    </row>
    <row r="789" spans="2:16">
      <c r="B789" s="30" t="s">
        <v>3033</v>
      </c>
      <c r="C789" s="38" t="s">
        <v>3034</v>
      </c>
      <c r="D789" s="38" t="s">
        <v>3035</v>
      </c>
      <c r="E789" s="38" t="s">
        <v>4093</v>
      </c>
      <c r="F789" s="38" t="s">
        <v>630</v>
      </c>
      <c r="G789" s="38"/>
      <c r="H789" s="53" t="str">
        <f t="shared" si="12"/>
        <v>citation:riccardo_crepaldi-01</v>
      </c>
      <c r="I789" s="54"/>
      <c r="J789" s="38" t="s">
        <v>5301</v>
      </c>
      <c r="K789" s="38">
        <v>462</v>
      </c>
      <c r="L789" s="38">
        <v>12</v>
      </c>
      <c r="M789" s="69" t="s">
        <v>5387</v>
      </c>
      <c r="N789" s="38"/>
      <c r="O789" s="38"/>
      <c r="P789" s="31"/>
    </row>
    <row r="790" spans="2:16">
      <c r="B790" s="30" t="s">
        <v>3036</v>
      </c>
      <c r="C790" s="38" t="s">
        <v>3037</v>
      </c>
      <c r="D790" s="38" t="s">
        <v>3038</v>
      </c>
      <c r="E790" s="38" t="s">
        <v>4094</v>
      </c>
      <c r="F790" s="38" t="s">
        <v>630</v>
      </c>
      <c r="G790" s="38"/>
      <c r="H790" s="53"/>
      <c r="I790" s="54"/>
      <c r="J790" s="38"/>
      <c r="K790" s="38"/>
      <c r="L790" s="38"/>
      <c r="M790" s="69" t="s">
        <v>5380</v>
      </c>
      <c r="N790" s="38"/>
      <c r="O790" s="38"/>
      <c r="P790" s="31"/>
    </row>
    <row r="791" spans="2:16">
      <c r="B791" s="30" t="s">
        <v>3039</v>
      </c>
      <c r="C791" s="38" t="s">
        <v>1423</v>
      </c>
      <c r="D791" s="38" t="s">
        <v>3040</v>
      </c>
      <c r="E791" s="38" t="s">
        <v>4095</v>
      </c>
      <c r="F791" s="38" t="s">
        <v>630</v>
      </c>
      <c r="G791" s="38"/>
      <c r="H791" s="53" t="str">
        <f t="shared" si="12"/>
        <v>citation:tarek_abdelzaher-01</v>
      </c>
      <c r="I791" s="54"/>
      <c r="J791" s="38" t="s">
        <v>5341</v>
      </c>
      <c r="K791" s="38">
        <v>22243</v>
      </c>
      <c r="L791" s="38">
        <v>71</v>
      </c>
      <c r="M791" s="69" t="s">
        <v>5384</v>
      </c>
      <c r="N791" s="38"/>
      <c r="O791" s="38"/>
      <c r="P791" s="31"/>
    </row>
    <row r="792" spans="2:16">
      <c r="B792" s="32" t="s">
        <v>3041</v>
      </c>
      <c r="C792" s="39" t="s">
        <v>3042</v>
      </c>
      <c r="D792" s="39" t="s">
        <v>1644</v>
      </c>
      <c r="E792" s="39" t="s">
        <v>4096</v>
      </c>
      <c r="F792" s="39" t="s">
        <v>630</v>
      </c>
      <c r="G792" s="39"/>
      <c r="H792" s="51" t="str">
        <f t="shared" si="12"/>
        <v>citation:yunlong_gao-01</v>
      </c>
      <c r="I792" s="52"/>
      <c r="J792" s="38" t="s">
        <v>5380</v>
      </c>
      <c r="K792" s="38" t="s">
        <v>5380</v>
      </c>
      <c r="L792" s="38" t="s">
        <v>5380</v>
      </c>
      <c r="M792" s="69" t="s">
        <v>5385</v>
      </c>
      <c r="N792" s="39"/>
      <c r="O792" s="39"/>
      <c r="P792" s="34"/>
    </row>
    <row r="793" spans="2:16">
      <c r="B793" s="30" t="s">
        <v>3043</v>
      </c>
      <c r="C793" s="38" t="s">
        <v>3044</v>
      </c>
      <c r="D793" s="38" t="s">
        <v>3045</v>
      </c>
      <c r="E793" s="38" t="s">
        <v>4097</v>
      </c>
      <c r="F793" s="38" t="s">
        <v>632</v>
      </c>
      <c r="G793" s="38"/>
      <c r="H793" s="53" t="str">
        <f t="shared" si="12"/>
        <v>citation:alistair_russell-01</v>
      </c>
      <c r="I793" s="54"/>
      <c r="J793" s="38" t="s">
        <v>5380</v>
      </c>
      <c r="K793" s="38" t="s">
        <v>5380</v>
      </c>
      <c r="L793" s="38" t="s">
        <v>5380</v>
      </c>
      <c r="M793" s="69" t="s">
        <v>5385</v>
      </c>
      <c r="N793" s="38"/>
      <c r="O793" s="38"/>
      <c r="P793" s="31"/>
    </row>
    <row r="794" spans="2:16">
      <c r="B794" s="30" t="s">
        <v>3046</v>
      </c>
      <c r="C794" s="38" t="s">
        <v>3047</v>
      </c>
      <c r="D794" s="38" t="s">
        <v>2237</v>
      </c>
      <c r="E794" s="38" t="s">
        <v>4098</v>
      </c>
      <c r="F794" s="38" t="s">
        <v>632</v>
      </c>
      <c r="G794" s="38"/>
      <c r="H794" s="53" t="str">
        <f t="shared" si="12"/>
        <v>citation:baofeng_guo-01</v>
      </c>
      <c r="I794" s="54"/>
      <c r="J794" s="38" t="s">
        <v>5380</v>
      </c>
      <c r="K794" s="38" t="s">
        <v>5380</v>
      </c>
      <c r="L794" s="38" t="s">
        <v>5380</v>
      </c>
      <c r="M794" s="69" t="s">
        <v>5385</v>
      </c>
      <c r="N794" s="38"/>
      <c r="O794" s="38"/>
      <c r="P794" s="31"/>
    </row>
    <row r="795" spans="2:16">
      <c r="B795" s="30" t="s">
        <v>3048</v>
      </c>
      <c r="C795" s="38" t="s">
        <v>77</v>
      </c>
      <c r="D795" s="38" t="s">
        <v>3049</v>
      </c>
      <c r="E795" s="38" t="s">
        <v>4099</v>
      </c>
      <c r="F795" s="38" t="s">
        <v>632</v>
      </c>
      <c r="G795" s="38"/>
      <c r="H795" s="53" t="str">
        <f t="shared" si="12"/>
        <v>citation:christos_koumenides-01</v>
      </c>
      <c r="I795" s="54"/>
      <c r="J795" s="38" t="s">
        <v>5380</v>
      </c>
      <c r="K795" s="38" t="s">
        <v>5380</v>
      </c>
      <c r="L795" s="38" t="s">
        <v>5380</v>
      </c>
      <c r="M795" s="69" t="s">
        <v>137</v>
      </c>
      <c r="N795" s="38"/>
      <c r="O795" s="38"/>
      <c r="P795" s="31"/>
    </row>
    <row r="796" spans="2:16">
      <c r="B796" s="30" t="s">
        <v>3050</v>
      </c>
      <c r="C796" s="38" t="s">
        <v>1740</v>
      </c>
      <c r="D796" s="38" t="s">
        <v>1669</v>
      </c>
      <c r="E796" s="38" t="s">
        <v>4100</v>
      </c>
      <c r="F796" s="38" t="s">
        <v>632</v>
      </c>
      <c r="G796" s="38"/>
      <c r="H796" s="53" t="str">
        <f t="shared" si="12"/>
        <v>citation:darren_richardson-01</v>
      </c>
      <c r="I796" s="54"/>
      <c r="J796" s="38" t="s">
        <v>5380</v>
      </c>
      <c r="K796" s="38" t="s">
        <v>5380</v>
      </c>
      <c r="L796" s="38" t="s">
        <v>5380</v>
      </c>
      <c r="M796" s="69" t="s">
        <v>5386</v>
      </c>
      <c r="N796" s="38"/>
      <c r="O796" s="38"/>
      <c r="P796" s="31"/>
    </row>
    <row r="797" spans="2:16">
      <c r="B797" s="30" t="s">
        <v>3051</v>
      </c>
      <c r="C797" s="38" t="s">
        <v>2090</v>
      </c>
      <c r="D797" s="38" t="s">
        <v>3052</v>
      </c>
      <c r="E797" s="38" t="s">
        <v>4101</v>
      </c>
      <c r="F797" s="38" t="s">
        <v>632</v>
      </c>
      <c r="G797" s="38"/>
      <c r="H797" s="53" t="str">
        <f t="shared" si="12"/>
        <v>citation:duncan_mcrae-spencer-01</v>
      </c>
      <c r="I797" s="54"/>
      <c r="J797" s="38" t="s">
        <v>5380</v>
      </c>
      <c r="K797" s="38" t="s">
        <v>5380</v>
      </c>
      <c r="L797" s="38" t="s">
        <v>5380</v>
      </c>
      <c r="M797" s="69" t="s">
        <v>5387</v>
      </c>
      <c r="N797" s="38"/>
      <c r="O797" s="38"/>
      <c r="P797" s="31"/>
    </row>
    <row r="798" spans="2:16">
      <c r="B798" s="30" t="s">
        <v>3053</v>
      </c>
      <c r="C798" s="38" t="s">
        <v>3054</v>
      </c>
      <c r="D798" s="38" t="s">
        <v>3055</v>
      </c>
      <c r="E798" s="38" t="s">
        <v>4102</v>
      </c>
      <c r="F798" s="38" t="s">
        <v>632</v>
      </c>
      <c r="G798" s="38"/>
      <c r="H798" s="53" t="str">
        <f t="shared" si="12"/>
        <v>citation:luc_moreau-01</v>
      </c>
      <c r="I798" s="54"/>
      <c r="J798" s="38" t="s">
        <v>5232</v>
      </c>
      <c r="K798" s="38">
        <v>6314</v>
      </c>
      <c r="L798" s="38">
        <v>41</v>
      </c>
      <c r="M798" s="69" t="s">
        <v>5388</v>
      </c>
      <c r="N798" s="38"/>
      <c r="O798" s="38"/>
      <c r="P798" s="31"/>
    </row>
    <row r="799" spans="2:16">
      <c r="B799" s="30" t="s">
        <v>3056</v>
      </c>
      <c r="C799" s="38" t="s">
        <v>1217</v>
      </c>
      <c r="D799" s="38" t="s">
        <v>3057</v>
      </c>
      <c r="E799" s="38" t="s">
        <v>4103</v>
      </c>
      <c r="F799" s="38" t="s">
        <v>632</v>
      </c>
      <c r="G799" s="38"/>
      <c r="H799" s="53" t="str">
        <f t="shared" si="12"/>
        <v>citation:mark_nixon-01</v>
      </c>
      <c r="I799" s="54"/>
      <c r="J799" s="38" t="s">
        <v>5243</v>
      </c>
      <c r="K799" s="38">
        <v>12109</v>
      </c>
      <c r="L799" s="38">
        <v>55</v>
      </c>
      <c r="M799" s="69" t="s">
        <v>5384</v>
      </c>
      <c r="N799" s="38"/>
      <c r="O799" s="38"/>
      <c r="P799" s="31"/>
    </row>
    <row r="800" spans="2:16">
      <c r="B800" s="30" t="s">
        <v>3058</v>
      </c>
      <c r="C800" s="38" t="s">
        <v>3059</v>
      </c>
      <c r="D800" s="38" t="s">
        <v>3060</v>
      </c>
      <c r="E800" s="38" t="s">
        <v>4104</v>
      </c>
      <c r="F800" s="38" t="s">
        <v>632</v>
      </c>
      <c r="G800" s="38"/>
      <c r="H800" s="53" t="str">
        <f t="shared" si="12"/>
        <v>citation:nigel_shadbolt-01</v>
      </c>
      <c r="I800" s="54"/>
      <c r="J800" s="38" t="s">
        <v>5266</v>
      </c>
      <c r="K800" s="38">
        <v>17900</v>
      </c>
      <c r="L800" s="38">
        <v>58</v>
      </c>
      <c r="M800" s="69" t="s">
        <v>5385</v>
      </c>
      <c r="N800" s="38"/>
      <c r="O800" s="38"/>
      <c r="P800" s="31"/>
    </row>
    <row r="801" spans="2:16">
      <c r="B801" s="30" t="s">
        <v>3061</v>
      </c>
      <c r="C801" s="38" t="s">
        <v>1120</v>
      </c>
      <c r="D801" s="38" t="s">
        <v>3062</v>
      </c>
      <c r="E801" s="38" t="s">
        <v>4105</v>
      </c>
      <c r="F801" s="38" t="s">
        <v>632</v>
      </c>
      <c r="G801" s="38"/>
      <c r="H801" s="53" t="str">
        <f t="shared" si="12"/>
        <v>citation:paul_smart-01</v>
      </c>
      <c r="I801" s="54"/>
      <c r="J801" s="38" t="s">
        <v>5280</v>
      </c>
      <c r="K801" s="38">
        <v>1025</v>
      </c>
      <c r="L801" s="38">
        <v>17</v>
      </c>
      <c r="M801" s="69" t="s">
        <v>5385</v>
      </c>
      <c r="N801" s="38"/>
      <c r="O801" s="38"/>
      <c r="P801" s="31"/>
    </row>
    <row r="802" spans="2:16">
      <c r="B802" s="30" t="s">
        <v>3063</v>
      </c>
      <c r="C802" s="38" t="s">
        <v>3064</v>
      </c>
      <c r="D802" s="38" t="s">
        <v>3065</v>
      </c>
      <c r="E802" s="38" t="s">
        <v>4106</v>
      </c>
      <c r="F802" s="38" t="s">
        <v>632</v>
      </c>
      <c r="G802" s="38"/>
      <c r="H802" s="53" t="str">
        <f t="shared" si="12"/>
        <v>citation:paula_engelbrecht-01</v>
      </c>
      <c r="I802" s="54"/>
      <c r="J802" s="38" t="s">
        <v>5380</v>
      </c>
      <c r="K802" s="38" t="s">
        <v>5380</v>
      </c>
      <c r="L802" s="38" t="s">
        <v>5380</v>
      </c>
      <c r="M802" s="69" t="s">
        <v>5388</v>
      </c>
      <c r="N802" s="38"/>
      <c r="O802" s="38"/>
      <c r="P802" s="31"/>
    </row>
    <row r="803" spans="2:16">
      <c r="B803" s="30" t="s">
        <v>3066</v>
      </c>
      <c r="C803" s="38" t="s">
        <v>4107</v>
      </c>
      <c r="D803" s="38" t="s">
        <v>3067</v>
      </c>
      <c r="E803" s="38" t="s">
        <v>4108</v>
      </c>
      <c r="F803" s="38" t="s">
        <v>632</v>
      </c>
      <c r="G803" s="38"/>
      <c r="H803" s="53" t="str">
        <f t="shared" si="12"/>
        <v>citation:trung_dong_huynh-01</v>
      </c>
      <c r="I803" s="54"/>
      <c r="J803" s="38" t="s">
        <v>5351</v>
      </c>
      <c r="K803" s="38">
        <v>1931</v>
      </c>
      <c r="L803" s="38">
        <v>13</v>
      </c>
      <c r="M803" s="69" t="s">
        <v>5385</v>
      </c>
      <c r="N803" s="38"/>
      <c r="O803" s="38"/>
      <c r="P803" s="31"/>
    </row>
    <row r="804" spans="2:16">
      <c r="B804" s="30" t="s">
        <v>3068</v>
      </c>
      <c r="C804" s="38" t="s">
        <v>3069</v>
      </c>
      <c r="D804" s="38" t="s">
        <v>3070</v>
      </c>
      <c r="E804" s="38" t="s">
        <v>4109</v>
      </c>
      <c r="F804" s="38" t="s">
        <v>632</v>
      </c>
      <c r="G804" s="38"/>
      <c r="H804" s="53" t="str">
        <f t="shared" si="12"/>
        <v>citation:yannis_kalfoglou-01</v>
      </c>
      <c r="I804" s="54"/>
      <c r="J804" s="38" t="s">
        <v>5380</v>
      </c>
      <c r="K804" s="38" t="s">
        <v>5380</v>
      </c>
      <c r="L804" s="38" t="s">
        <v>5380</v>
      </c>
      <c r="M804" s="69" t="s">
        <v>5384</v>
      </c>
      <c r="N804" s="38"/>
      <c r="O804" s="38"/>
      <c r="P804" s="31"/>
    </row>
    <row r="805" spans="2:16">
      <c r="B805" s="32" t="s">
        <v>3071</v>
      </c>
      <c r="C805" s="39" t="s">
        <v>1698</v>
      </c>
      <c r="D805" s="39" t="s">
        <v>1196</v>
      </c>
      <c r="E805" s="39" t="s">
        <v>4110</v>
      </c>
      <c r="F805" s="39" t="s">
        <v>632</v>
      </c>
      <c r="G805" s="39"/>
      <c r="H805" s="51" t="str">
        <f t="shared" si="12"/>
        <v>citation:yi_wang-01</v>
      </c>
      <c r="I805" s="52"/>
      <c r="J805" s="38" t="s">
        <v>5380</v>
      </c>
      <c r="K805" s="38" t="s">
        <v>5380</v>
      </c>
      <c r="L805" s="38" t="s">
        <v>5380</v>
      </c>
      <c r="M805" s="69" t="s">
        <v>5387</v>
      </c>
      <c r="N805" s="39"/>
      <c r="O805" s="39"/>
      <c r="P805" s="34"/>
    </row>
    <row r="806" spans="2:16">
      <c r="B806" s="32" t="s">
        <v>3090</v>
      </c>
      <c r="C806" s="39" t="s">
        <v>4111</v>
      </c>
      <c r="D806" s="39" t="s">
        <v>3091</v>
      </c>
      <c r="E806" s="39" t="s">
        <v>4112</v>
      </c>
      <c r="F806" s="39" t="s">
        <v>641</v>
      </c>
      <c r="G806" s="39"/>
      <c r="H806" s="51" t="str">
        <f t="shared" si="12"/>
        <v>citation:joao_luis_sobrinho-01</v>
      </c>
      <c r="I806" s="52"/>
      <c r="J806" s="38" t="s">
        <v>5380</v>
      </c>
      <c r="K806" s="38" t="s">
        <v>5380</v>
      </c>
      <c r="L806" s="38" t="s">
        <v>5380</v>
      </c>
      <c r="M806" s="69" t="s">
        <v>5387</v>
      </c>
      <c r="N806" s="39"/>
      <c r="O806" s="39"/>
      <c r="P806" s="34"/>
    </row>
    <row r="807" spans="2:16">
      <c r="B807" s="32" t="s">
        <v>3092</v>
      </c>
      <c r="C807" s="39" t="s">
        <v>3093</v>
      </c>
      <c r="D807" s="39" t="s">
        <v>3094</v>
      </c>
      <c r="E807" s="39" t="s">
        <v>4113</v>
      </c>
      <c r="F807" s="39" t="s">
        <v>645</v>
      </c>
      <c r="G807" s="39"/>
      <c r="H807" s="51"/>
      <c r="I807" s="52"/>
      <c r="J807" s="38"/>
      <c r="K807" s="38"/>
      <c r="L807" s="38"/>
      <c r="M807" s="69" t="s">
        <v>5380</v>
      </c>
      <c r="N807" s="39"/>
      <c r="O807" s="39"/>
      <c r="P807" s="34"/>
    </row>
    <row r="808" spans="2:16">
      <c r="B808" s="32" t="s">
        <v>3088</v>
      </c>
      <c r="C808" s="39" t="s">
        <v>2668</v>
      </c>
      <c r="D808" s="39" t="s">
        <v>3089</v>
      </c>
      <c r="E808" s="39" t="s">
        <v>4114</v>
      </c>
      <c r="F808" s="39" t="s">
        <v>638</v>
      </c>
      <c r="G808" s="39"/>
      <c r="H808" s="51" t="str">
        <f t="shared" si="12"/>
        <v>citation:mario_alvim-01</v>
      </c>
      <c r="I808" s="52"/>
      <c r="J808" s="38" t="s">
        <v>5241</v>
      </c>
      <c r="K808" s="38">
        <v>238</v>
      </c>
      <c r="L808" s="38">
        <v>8</v>
      </c>
      <c r="M808" s="69" t="s">
        <v>5384</v>
      </c>
      <c r="N808" s="39"/>
      <c r="O808" s="39"/>
      <c r="P808" s="34"/>
    </row>
    <row r="809" spans="2:16">
      <c r="B809" s="32" t="s">
        <v>3247</v>
      </c>
      <c r="C809" s="39" t="s">
        <v>3158</v>
      </c>
      <c r="D809" s="39" t="s">
        <v>3248</v>
      </c>
      <c r="E809" s="39" t="s">
        <v>4115</v>
      </c>
      <c r="F809" s="39" t="s">
        <v>5034</v>
      </c>
      <c r="G809" s="39"/>
      <c r="H809" s="51" t="str">
        <f t="shared" si="12"/>
        <v>citation:luca_nizzardo-01</v>
      </c>
      <c r="I809" s="52"/>
      <c r="J809" s="38" t="s">
        <v>5380</v>
      </c>
      <c r="K809" s="38" t="s">
        <v>5380</v>
      </c>
      <c r="L809" s="38" t="s">
        <v>5380</v>
      </c>
      <c r="M809" s="69" t="s">
        <v>5387</v>
      </c>
      <c r="N809" s="39"/>
      <c r="O809" s="39"/>
      <c r="P809" s="34"/>
    </row>
    <row r="810" spans="2:16">
      <c r="B810" s="32" t="s">
        <v>3095</v>
      </c>
      <c r="C810" s="39" t="s">
        <v>3096</v>
      </c>
      <c r="D810" s="39" t="s">
        <v>4116</v>
      </c>
      <c r="E810" s="39" t="s">
        <v>4117</v>
      </c>
      <c r="F810" s="39" t="s">
        <v>648</v>
      </c>
      <c r="G810" s="39"/>
      <c r="H810" s="51" t="str">
        <f t="shared" si="12"/>
        <v>citation:enzo_de_sena-01</v>
      </c>
      <c r="I810" s="52"/>
      <c r="J810" s="38" t="s">
        <v>5129</v>
      </c>
      <c r="K810" s="38">
        <v>174</v>
      </c>
      <c r="L810" s="38">
        <v>6</v>
      </c>
      <c r="M810" s="69" t="s">
        <v>5387</v>
      </c>
      <c r="N810" s="39"/>
      <c r="O810" s="39"/>
      <c r="P810" s="34"/>
    </row>
    <row r="811" spans="2:16">
      <c r="B811" s="32" t="s">
        <v>3249</v>
      </c>
      <c r="C811" s="39" t="s">
        <v>2049</v>
      </c>
      <c r="D811" s="39" t="s">
        <v>3250</v>
      </c>
      <c r="E811" s="39" t="s">
        <v>4118</v>
      </c>
      <c r="F811" s="39" t="s">
        <v>5036</v>
      </c>
      <c r="G811" s="39"/>
      <c r="H811" s="51" t="str">
        <f t="shared" si="12"/>
        <v>citation:dario_catalano-01</v>
      </c>
      <c r="I811" s="52"/>
      <c r="J811" s="38" t="s">
        <v>5106</v>
      </c>
      <c r="K811" s="38">
        <v>2409</v>
      </c>
      <c r="L811" s="38">
        <v>24</v>
      </c>
      <c r="M811" s="69" t="s">
        <v>5384</v>
      </c>
      <c r="N811" s="39"/>
      <c r="O811" s="39"/>
      <c r="P811" s="34"/>
    </row>
    <row r="812" spans="2:16">
      <c r="B812" s="44" t="s">
        <v>3251</v>
      </c>
      <c r="C812" s="45" t="s">
        <v>3252</v>
      </c>
      <c r="D812" s="45" t="s">
        <v>3253</v>
      </c>
      <c r="E812" s="45" t="s">
        <v>4119</v>
      </c>
      <c r="F812" s="45" t="s">
        <v>5037</v>
      </c>
      <c r="G812" s="45"/>
      <c r="H812" s="46" t="str">
        <f t="shared" si="12"/>
        <v>citation:franco_bagnoli-01</v>
      </c>
      <c r="I812" s="47"/>
      <c r="J812" s="38" t="s">
        <v>5143</v>
      </c>
      <c r="K812" s="38">
        <v>1012</v>
      </c>
      <c r="L812" s="38">
        <v>18</v>
      </c>
      <c r="M812" s="69" t="s">
        <v>5387</v>
      </c>
      <c r="N812" s="45"/>
      <c r="O812" s="45"/>
      <c r="P812" s="48"/>
    </row>
    <row r="813" spans="2:16">
      <c r="B813" s="32" t="s">
        <v>3097</v>
      </c>
      <c r="C813" s="39" t="s">
        <v>3098</v>
      </c>
      <c r="D813" s="39" t="s">
        <v>3099</v>
      </c>
      <c r="E813" s="39" t="s">
        <v>4120</v>
      </c>
      <c r="F813" s="39" t="s">
        <v>651</v>
      </c>
      <c r="G813" s="39"/>
      <c r="H813" s="51" t="str">
        <f t="shared" si="12"/>
        <v>citation:edelmira_pasarella-01</v>
      </c>
      <c r="I813" s="52"/>
      <c r="J813" s="38" t="s">
        <v>5380</v>
      </c>
      <c r="K813" s="38" t="s">
        <v>5380</v>
      </c>
      <c r="L813" s="38" t="s">
        <v>5380</v>
      </c>
      <c r="M813" s="69" t="s">
        <v>5387</v>
      </c>
      <c r="N813" s="39"/>
      <c r="O813" s="39"/>
      <c r="P813" s="34"/>
    </row>
    <row r="814" spans="2:16">
      <c r="B814" s="32" t="s">
        <v>3100</v>
      </c>
      <c r="C814" s="39" t="s">
        <v>3101</v>
      </c>
      <c r="D814" s="39" t="s">
        <v>3102</v>
      </c>
      <c r="E814" s="39" t="s">
        <v>4121</v>
      </c>
      <c r="F814" s="39" t="s">
        <v>654</v>
      </c>
      <c r="G814" s="39"/>
      <c r="H814" s="51" t="str">
        <f t="shared" si="12"/>
        <v>citation:windhya_rankothge-01</v>
      </c>
      <c r="I814" s="52"/>
      <c r="J814" s="38" t="s">
        <v>5363</v>
      </c>
      <c r="K814" s="38">
        <v>5</v>
      </c>
      <c r="L814" s="38">
        <v>1</v>
      </c>
      <c r="M814" s="69" t="s">
        <v>5386</v>
      </c>
      <c r="N814" s="39"/>
      <c r="O814" s="39"/>
      <c r="P814" s="34"/>
    </row>
    <row r="815" spans="2:16">
      <c r="B815" s="32" t="s">
        <v>3103</v>
      </c>
      <c r="C815" s="39" t="s">
        <v>3104</v>
      </c>
      <c r="D815" s="39" t="s">
        <v>3105</v>
      </c>
      <c r="E815" s="39" t="s">
        <v>4122</v>
      </c>
      <c r="F815" s="39" t="s">
        <v>657</v>
      </c>
      <c r="G815" s="39"/>
      <c r="H815" s="51"/>
      <c r="I815" s="52"/>
      <c r="J815" s="38"/>
      <c r="K815" s="38"/>
      <c r="L815" s="38"/>
      <c r="M815" s="69" t="s">
        <v>5380</v>
      </c>
      <c r="N815" s="39"/>
      <c r="O815" s="39"/>
      <c r="P815" s="34"/>
    </row>
    <row r="816" spans="2:16">
      <c r="B816" s="32" t="s">
        <v>3106</v>
      </c>
      <c r="C816" s="39" t="s">
        <v>3107</v>
      </c>
      <c r="D816" s="39" t="s">
        <v>3108</v>
      </c>
      <c r="E816" s="39" t="s">
        <v>4123</v>
      </c>
      <c r="F816" s="39" t="s">
        <v>660</v>
      </c>
      <c r="G816" s="39"/>
      <c r="H816" s="51" t="str">
        <f t="shared" si="12"/>
        <v>citation:xiaoyan_hong-01</v>
      </c>
      <c r="I816" s="52"/>
      <c r="J816" s="38" t="s">
        <v>5380</v>
      </c>
      <c r="K816" s="38" t="s">
        <v>5380</v>
      </c>
      <c r="L816" s="38" t="s">
        <v>5380</v>
      </c>
      <c r="M816" s="69" t="s">
        <v>5388</v>
      </c>
      <c r="N816" s="39"/>
      <c r="O816" s="39"/>
      <c r="P816" s="34"/>
    </row>
    <row r="817" spans="2:16">
      <c r="B817" s="32" t="s">
        <v>3109</v>
      </c>
      <c r="C817" s="39" t="s">
        <v>3110</v>
      </c>
      <c r="D817" s="39" t="s">
        <v>3111</v>
      </c>
      <c r="E817" s="39" t="s">
        <v>4124</v>
      </c>
      <c r="F817" s="39" t="s">
        <v>663</v>
      </c>
      <c r="G817" s="39"/>
      <c r="H817" s="51" t="str">
        <f t="shared" si="12"/>
        <v>citation:randy_goebel-01</v>
      </c>
      <c r="I817" s="52"/>
      <c r="J817" s="38" t="s">
        <v>5299</v>
      </c>
      <c r="K817" s="38">
        <v>2603</v>
      </c>
      <c r="L817" s="38">
        <v>22</v>
      </c>
      <c r="M817" s="69" t="s">
        <v>5398</v>
      </c>
      <c r="N817" s="39"/>
      <c r="O817" s="39"/>
      <c r="P817" s="34"/>
    </row>
    <row r="818" spans="2:16">
      <c r="B818" s="32" t="s">
        <v>3112</v>
      </c>
      <c r="C818" s="39" t="s">
        <v>3113</v>
      </c>
      <c r="D818" s="39" t="s">
        <v>1406</v>
      </c>
      <c r="E818" s="39" t="s">
        <v>4125</v>
      </c>
      <c r="F818" s="39" t="s">
        <v>666</v>
      </c>
      <c r="G818" s="39"/>
      <c r="H818" s="51" t="str">
        <f t="shared" si="12"/>
        <v>citation:sisi_liu-01</v>
      </c>
      <c r="I818" s="52"/>
      <c r="J818" s="38" t="s">
        <v>5328</v>
      </c>
      <c r="K818" s="38">
        <v>22730</v>
      </c>
      <c r="L818" s="38">
        <v>41</v>
      </c>
      <c r="M818" s="69" t="s">
        <v>5391</v>
      </c>
      <c r="N818" s="39"/>
      <c r="O818" s="39"/>
      <c r="P818" s="34"/>
    </row>
    <row r="819" spans="2:16">
      <c r="B819" s="32" t="s">
        <v>3114</v>
      </c>
      <c r="C819" s="39" t="s">
        <v>1341</v>
      </c>
      <c r="D819" s="39" t="s">
        <v>3115</v>
      </c>
      <c r="E819" s="39" t="s">
        <v>4126</v>
      </c>
      <c r="F819" s="39" t="s">
        <v>668</v>
      </c>
      <c r="G819" s="39"/>
      <c r="H819" s="51" t="str">
        <f t="shared" si="12"/>
        <v>citation:rod_girle-01</v>
      </c>
      <c r="I819" s="52"/>
      <c r="J819" s="38" t="s">
        <v>5380</v>
      </c>
      <c r="K819" s="38" t="s">
        <v>5380</v>
      </c>
      <c r="L819" s="38" t="s">
        <v>5380</v>
      </c>
      <c r="M819" s="69" t="s">
        <v>5385</v>
      </c>
      <c r="N819" s="39"/>
      <c r="O819" s="39"/>
      <c r="P819" s="34"/>
    </row>
    <row r="820" spans="2:16">
      <c r="B820" s="30" t="s">
        <v>3116</v>
      </c>
      <c r="C820" s="38" t="s">
        <v>2561</v>
      </c>
      <c r="D820" s="38" t="s">
        <v>3117</v>
      </c>
      <c r="E820" s="38" t="s">
        <v>4127</v>
      </c>
      <c r="F820" s="38" t="s">
        <v>671</v>
      </c>
      <c r="G820" s="38"/>
      <c r="H820" s="53" t="str">
        <f t="shared" si="12"/>
        <v>citation:antonio_corradi-01</v>
      </c>
      <c r="I820" s="54"/>
      <c r="J820" s="38" t="s">
        <v>5059</v>
      </c>
      <c r="K820" s="38">
        <v>4670</v>
      </c>
      <c r="L820" s="38">
        <v>34</v>
      </c>
      <c r="M820" s="69" t="s">
        <v>5384</v>
      </c>
      <c r="N820" s="38"/>
      <c r="O820" s="38"/>
      <c r="P820" s="31"/>
    </row>
    <row r="821" spans="2:16">
      <c r="B821" s="30" t="s">
        <v>3118</v>
      </c>
      <c r="C821" s="38" t="s">
        <v>3119</v>
      </c>
      <c r="D821" s="38" t="s">
        <v>3120</v>
      </c>
      <c r="E821" s="38" t="s">
        <v>4128</v>
      </c>
      <c r="F821" s="38" t="s">
        <v>671</v>
      </c>
      <c r="G821" s="38"/>
      <c r="H821" s="53" t="str">
        <f t="shared" si="12"/>
        <v>citation:eugenio_giordano-01</v>
      </c>
      <c r="I821" s="54"/>
      <c r="J821" s="38" t="s">
        <v>5132</v>
      </c>
      <c r="K821" s="38">
        <v>364</v>
      </c>
      <c r="L821" s="38">
        <v>10</v>
      </c>
      <c r="M821" s="69" t="s">
        <v>5387</v>
      </c>
      <c r="N821" s="38"/>
      <c r="O821" s="38"/>
      <c r="P821" s="31"/>
    </row>
    <row r="822" spans="2:16">
      <c r="B822" s="30" t="s">
        <v>3121</v>
      </c>
      <c r="C822" s="38" t="s">
        <v>3119</v>
      </c>
      <c r="D822" s="38" t="s">
        <v>3122</v>
      </c>
      <c r="E822" s="38" t="s">
        <v>4129</v>
      </c>
      <c r="F822" s="38" t="s">
        <v>671</v>
      </c>
      <c r="G822" s="38"/>
      <c r="H822" s="53" t="str">
        <f t="shared" si="12"/>
        <v>citation:eugenio_magistretti-01</v>
      </c>
      <c r="I822" s="54"/>
      <c r="J822" s="38" t="s">
        <v>5380</v>
      </c>
      <c r="K822" s="38" t="s">
        <v>5380</v>
      </c>
      <c r="L822" s="38" t="s">
        <v>5380</v>
      </c>
      <c r="M822" s="69" t="s">
        <v>5384</v>
      </c>
      <c r="N822" s="38"/>
      <c r="O822" s="38"/>
      <c r="P822" s="31"/>
    </row>
    <row r="823" spans="2:16">
      <c r="B823" s="30" t="s">
        <v>3123</v>
      </c>
      <c r="C823" s="38" t="s">
        <v>3093</v>
      </c>
      <c r="D823" s="38" t="s">
        <v>4130</v>
      </c>
      <c r="E823" s="38" t="s">
        <v>4131</v>
      </c>
      <c r="F823" s="38" t="s">
        <v>671</v>
      </c>
      <c r="G823" s="38"/>
      <c r="H823" s="53" t="str">
        <f t="shared" si="12"/>
        <v>citation:marco_di_felice-01</v>
      </c>
      <c r="I823" s="54"/>
      <c r="J823" s="38" t="s">
        <v>5239</v>
      </c>
      <c r="K823" s="38">
        <v>1256</v>
      </c>
      <c r="L823" s="38">
        <v>16</v>
      </c>
      <c r="M823" s="69" t="s">
        <v>5386</v>
      </c>
      <c r="N823" s="38"/>
      <c r="O823" s="38"/>
      <c r="P823" s="31"/>
    </row>
    <row r="824" spans="2:16">
      <c r="B824" s="32" t="s">
        <v>3124</v>
      </c>
      <c r="C824" s="39" t="s">
        <v>2242</v>
      </c>
      <c r="D824" s="39" t="s">
        <v>3125</v>
      </c>
      <c r="E824" s="39" t="s">
        <v>4132</v>
      </c>
      <c r="F824" s="39" t="s">
        <v>671</v>
      </c>
      <c r="G824" s="39"/>
      <c r="H824" s="51" t="str">
        <f t="shared" si="12"/>
        <v>citation:paolo_bellavista-01</v>
      </c>
      <c r="I824" s="52"/>
      <c r="J824" s="38" t="s">
        <v>5275</v>
      </c>
      <c r="K824" s="38">
        <v>3436</v>
      </c>
      <c r="L824" s="38">
        <v>26</v>
      </c>
      <c r="M824" s="69" t="s">
        <v>5384</v>
      </c>
      <c r="N824" s="39"/>
      <c r="O824" s="39"/>
      <c r="P824" s="34"/>
    </row>
    <row r="825" spans="2:16">
      <c r="B825" s="30" t="s">
        <v>3126</v>
      </c>
      <c r="C825" s="38" t="s">
        <v>3127</v>
      </c>
      <c r="D825" s="38" t="s">
        <v>3128</v>
      </c>
      <c r="E825" s="38" t="s">
        <v>4133</v>
      </c>
      <c r="F825" s="38" t="s">
        <v>674</v>
      </c>
      <c r="G825" s="38"/>
      <c r="H825" s="53" t="str">
        <f t="shared" si="12"/>
        <v>citation:majid_ghaderi-01</v>
      </c>
      <c r="I825" s="54"/>
      <c r="J825" s="38" t="s">
        <v>5380</v>
      </c>
      <c r="K825" s="38" t="s">
        <v>5380</v>
      </c>
      <c r="L825" s="38" t="s">
        <v>5380</v>
      </c>
      <c r="M825" s="69" t="s">
        <v>5386</v>
      </c>
      <c r="N825" s="38"/>
      <c r="O825" s="38"/>
      <c r="P825" s="31"/>
    </row>
    <row r="826" spans="2:16">
      <c r="B826" s="32" t="s">
        <v>3129</v>
      </c>
      <c r="C826" s="39" t="s">
        <v>3130</v>
      </c>
      <c r="D826" s="39" t="s">
        <v>3131</v>
      </c>
      <c r="E826" s="39" t="s">
        <v>4134</v>
      </c>
      <c r="F826" s="39" t="s">
        <v>674</v>
      </c>
      <c r="G826" s="39"/>
      <c r="H826" s="51"/>
      <c r="I826" s="52"/>
      <c r="J826" s="38"/>
      <c r="K826" s="38"/>
      <c r="L826" s="38"/>
      <c r="M826" s="69" t="s">
        <v>5380</v>
      </c>
      <c r="N826" s="39"/>
      <c r="O826" s="39"/>
      <c r="P826" s="34"/>
    </row>
    <row r="827" spans="2:16">
      <c r="B827" s="30" t="s">
        <v>3132</v>
      </c>
      <c r="C827" s="38" t="s">
        <v>2387</v>
      </c>
      <c r="D827" s="38" t="s">
        <v>3133</v>
      </c>
      <c r="E827" s="38" t="s">
        <v>4135</v>
      </c>
      <c r="F827" s="38" t="s">
        <v>677</v>
      </c>
      <c r="G827" s="38"/>
      <c r="H827" s="53" t="str">
        <f t="shared" si="12"/>
        <v>citation:elizabeth_belding-01</v>
      </c>
      <c r="I827" s="54"/>
      <c r="J827" s="38" t="s">
        <v>5126</v>
      </c>
      <c r="K827" s="38">
        <v>42812</v>
      </c>
      <c r="L827" s="38">
        <v>51</v>
      </c>
      <c r="M827" s="69" t="s">
        <v>5388</v>
      </c>
      <c r="N827" s="38"/>
      <c r="O827" s="38"/>
      <c r="P827" s="31"/>
    </row>
    <row r="828" spans="2:16">
      <c r="B828" s="30" t="s">
        <v>3134</v>
      </c>
      <c r="C828" s="38" t="s">
        <v>3135</v>
      </c>
      <c r="D828" s="38" t="s">
        <v>3136</v>
      </c>
      <c r="E828" s="38" t="s">
        <v>4136</v>
      </c>
      <c r="F828" s="38" t="s">
        <v>677</v>
      </c>
      <c r="G828" s="38"/>
      <c r="H828" s="53"/>
      <c r="I828" s="54"/>
      <c r="J828" s="38"/>
      <c r="K828" s="38"/>
      <c r="L828" s="38"/>
      <c r="M828" s="69" t="s">
        <v>5380</v>
      </c>
      <c r="N828" s="38"/>
      <c r="O828" s="38"/>
      <c r="P828" s="31"/>
    </row>
    <row r="829" spans="2:16">
      <c r="B829" s="30" t="s">
        <v>3137</v>
      </c>
      <c r="C829" s="38" t="s">
        <v>1120</v>
      </c>
      <c r="D829" s="38" t="s">
        <v>3138</v>
      </c>
      <c r="E829" s="38" t="s">
        <v>4137</v>
      </c>
      <c r="F829" s="38" t="s">
        <v>677</v>
      </c>
      <c r="G829" s="38"/>
      <c r="H829" s="53" t="str">
        <f t="shared" si="12"/>
        <v>citation:paul_schmitt-01</v>
      </c>
      <c r="I829" s="54"/>
      <c r="J829" s="38" t="s">
        <v>5380</v>
      </c>
      <c r="K829" s="38" t="s">
        <v>5380</v>
      </c>
      <c r="L829" s="38" t="s">
        <v>5380</v>
      </c>
      <c r="M829" s="69" t="s">
        <v>5387</v>
      </c>
      <c r="N829" s="38"/>
      <c r="O829" s="38"/>
      <c r="P829" s="31"/>
    </row>
    <row r="830" spans="2:16">
      <c r="B830" s="32" t="s">
        <v>3139</v>
      </c>
      <c r="C830" s="39" t="s">
        <v>3140</v>
      </c>
      <c r="D830" s="39" t="s">
        <v>3141</v>
      </c>
      <c r="E830" s="39" t="s">
        <v>4138</v>
      </c>
      <c r="F830" s="39" t="s">
        <v>677</v>
      </c>
      <c r="G830" s="39"/>
      <c r="H830" s="51"/>
      <c r="I830" s="52"/>
      <c r="J830" s="38"/>
      <c r="K830" s="38"/>
      <c r="L830" s="38"/>
      <c r="M830" s="69" t="s">
        <v>5380</v>
      </c>
      <c r="N830" s="39"/>
      <c r="O830" s="39"/>
      <c r="P830" s="34"/>
    </row>
    <row r="831" spans="2:16">
      <c r="B831" s="32" t="s">
        <v>3142</v>
      </c>
      <c r="C831" s="39" t="s">
        <v>3143</v>
      </c>
      <c r="D831" s="39" t="s">
        <v>3144</v>
      </c>
      <c r="E831" s="39" t="s">
        <v>4139</v>
      </c>
      <c r="F831" s="39" t="s">
        <v>680</v>
      </c>
      <c r="G831" s="39"/>
      <c r="H831" s="51" t="str">
        <f t="shared" si="12"/>
        <v>citation:vito_latora-01</v>
      </c>
      <c r="I831" s="52"/>
      <c r="J831" s="38" t="s">
        <v>5356</v>
      </c>
      <c r="K831" s="38">
        <v>19092</v>
      </c>
      <c r="L831" s="38">
        <v>54</v>
      </c>
      <c r="M831" s="69" t="s">
        <v>5384</v>
      </c>
      <c r="N831" s="39"/>
      <c r="O831" s="39"/>
      <c r="P831" s="34"/>
    </row>
    <row r="832" spans="2:16">
      <c r="B832" s="32" t="s">
        <v>3145</v>
      </c>
      <c r="C832" s="39" t="s">
        <v>3146</v>
      </c>
      <c r="D832" s="39" t="s">
        <v>3147</v>
      </c>
      <c r="E832" s="39" t="s">
        <v>4140</v>
      </c>
      <c r="F832" s="39" t="s">
        <v>683</v>
      </c>
      <c r="G832" s="39"/>
      <c r="H832" s="51" t="str">
        <f t="shared" si="12"/>
        <v>citation:gita_sukthankar-01</v>
      </c>
      <c r="I832" s="52"/>
      <c r="J832" s="38" t="s">
        <v>5152</v>
      </c>
      <c r="K832" s="38">
        <v>1157</v>
      </c>
      <c r="L832" s="38">
        <v>17</v>
      </c>
      <c r="M832" s="69" t="s">
        <v>5386</v>
      </c>
      <c r="N832" s="39"/>
      <c r="O832" s="39"/>
      <c r="P832" s="34"/>
    </row>
    <row r="833" spans="2:16">
      <c r="B833" s="32" t="s">
        <v>3148</v>
      </c>
      <c r="C833" s="39" t="s">
        <v>3149</v>
      </c>
      <c r="D833" s="39" t="s">
        <v>3150</v>
      </c>
      <c r="E833" s="39" t="s">
        <v>4141</v>
      </c>
      <c r="F833" s="39" t="s">
        <v>686</v>
      </c>
      <c r="G833" s="39"/>
      <c r="H833" s="51" t="str">
        <f t="shared" si="12"/>
        <v>citation:antonis_kakas-01</v>
      </c>
      <c r="I833" s="52"/>
      <c r="J833" s="38" t="s">
        <v>5061</v>
      </c>
      <c r="K833" s="38">
        <v>4761</v>
      </c>
      <c r="L833" s="38">
        <v>33</v>
      </c>
      <c r="M833" s="69" t="s">
        <v>5391</v>
      </c>
      <c r="N833" s="39"/>
      <c r="O833" s="39"/>
      <c r="P833" s="34"/>
    </row>
    <row r="834" spans="2:16">
      <c r="B834" s="30" t="s">
        <v>3151</v>
      </c>
      <c r="C834" s="38" t="s">
        <v>3152</v>
      </c>
      <c r="D834" s="38" t="s">
        <v>3153</v>
      </c>
      <c r="E834" s="38" t="s">
        <v>4142</v>
      </c>
      <c r="F834" s="38" t="s">
        <v>688</v>
      </c>
      <c r="G834" s="38"/>
      <c r="H834" s="53" t="str">
        <f t="shared" si="12"/>
        <v>citation:falko_dressler-01</v>
      </c>
      <c r="I834" s="54"/>
      <c r="J834" s="38" t="s">
        <v>5134</v>
      </c>
      <c r="K834" s="38">
        <v>4875</v>
      </c>
      <c r="L834" s="38">
        <v>34</v>
      </c>
      <c r="M834" s="69" t="s">
        <v>5387</v>
      </c>
      <c r="N834" s="38"/>
      <c r="O834" s="38"/>
      <c r="P834" s="31"/>
    </row>
    <row r="835" spans="2:16">
      <c r="B835" s="32" t="s">
        <v>3154</v>
      </c>
      <c r="C835" s="39" t="s">
        <v>3155</v>
      </c>
      <c r="D835" s="39" t="s">
        <v>3156</v>
      </c>
      <c r="E835" s="39" t="s">
        <v>4143</v>
      </c>
      <c r="F835" s="39" t="s">
        <v>688</v>
      </c>
      <c r="G835" s="39"/>
      <c r="H835" s="51" t="str">
        <f t="shared" ref="H835:H891" si="13">"citation:"&amp;B835&amp;"-01"</f>
        <v>citation:roman_koch-01</v>
      </c>
      <c r="I835" s="52"/>
      <c r="J835" s="38" t="s">
        <v>5380</v>
      </c>
      <c r="K835" s="38" t="s">
        <v>5380</v>
      </c>
      <c r="L835" s="38" t="s">
        <v>5380</v>
      </c>
      <c r="M835" s="69" t="s">
        <v>5386</v>
      </c>
      <c r="N835" s="39"/>
      <c r="O835" s="39"/>
      <c r="P835" s="34"/>
    </row>
    <row r="836" spans="2:16">
      <c r="B836" s="32" t="s">
        <v>3157</v>
      </c>
      <c r="C836" s="39" t="s">
        <v>3158</v>
      </c>
      <c r="D836" s="39" t="s">
        <v>3159</v>
      </c>
      <c r="E836" s="39" t="s">
        <v>4144</v>
      </c>
      <c r="F836" s="39" t="s">
        <v>691</v>
      </c>
      <c r="G836" s="39"/>
      <c r="H836" s="51" t="str">
        <f t="shared" si="13"/>
        <v>citation:luca_sguanci-01</v>
      </c>
      <c r="I836" s="52"/>
      <c r="J836" s="38" t="s">
        <v>5380</v>
      </c>
      <c r="K836" s="38" t="s">
        <v>5380</v>
      </c>
      <c r="L836" s="38" t="s">
        <v>5380</v>
      </c>
      <c r="M836" s="69" t="s">
        <v>5387</v>
      </c>
      <c r="N836" s="39"/>
      <c r="O836" s="39"/>
      <c r="P836" s="34"/>
    </row>
    <row r="837" spans="2:16">
      <c r="B837" s="30" t="s">
        <v>3160</v>
      </c>
      <c r="C837" s="38" t="s">
        <v>3161</v>
      </c>
      <c r="D837" s="38" t="s">
        <v>3162</v>
      </c>
      <c r="E837" s="38" t="s">
        <v>4145</v>
      </c>
      <c r="F837" s="38" t="s">
        <v>693</v>
      </c>
      <c r="G837" s="38"/>
      <c r="H837" s="53" t="str">
        <f t="shared" si="13"/>
        <v>citation:anna_lawniczak-01</v>
      </c>
      <c r="I837" s="54"/>
      <c r="J837" s="38" t="s">
        <v>5380</v>
      </c>
      <c r="K837" s="38" t="s">
        <v>5380</v>
      </c>
      <c r="L837" s="38" t="s">
        <v>5380</v>
      </c>
      <c r="M837" s="69" t="s">
        <v>5385</v>
      </c>
      <c r="N837" s="38"/>
      <c r="O837" s="38"/>
      <c r="P837" s="31"/>
    </row>
    <row r="838" spans="2:16">
      <c r="B838" s="30" t="s">
        <v>3163</v>
      </c>
      <c r="C838" s="38" t="s">
        <v>3164</v>
      </c>
      <c r="D838" s="38" t="s">
        <v>3000</v>
      </c>
      <c r="E838" s="38" t="s">
        <v>4146</v>
      </c>
      <c r="F838" s="38" t="s">
        <v>693</v>
      </c>
      <c r="G838" s="38"/>
      <c r="H838" s="53" t="str">
        <f t="shared" si="13"/>
        <v>citation:jiaying_xu-01</v>
      </c>
      <c r="I838" s="54"/>
      <c r="J838" s="38" t="s">
        <v>5380</v>
      </c>
      <c r="K838" s="38" t="s">
        <v>5380</v>
      </c>
      <c r="L838" s="38" t="s">
        <v>5380</v>
      </c>
      <c r="M838" s="69" t="s">
        <v>5386</v>
      </c>
      <c r="N838" s="38"/>
      <c r="O838" s="38"/>
      <c r="P838" s="31"/>
    </row>
    <row r="839" spans="2:16">
      <c r="B839" s="32" t="s">
        <v>3165</v>
      </c>
      <c r="C839" s="39" t="s">
        <v>3166</v>
      </c>
      <c r="D839" s="39" t="s">
        <v>2460</v>
      </c>
      <c r="E839" s="39" t="s">
        <v>4147</v>
      </c>
      <c r="F839" s="39" t="s">
        <v>693</v>
      </c>
      <c r="G839" s="39"/>
      <c r="H839" s="51" t="str">
        <f t="shared" si="13"/>
        <v>citation:shengkun_xie-01</v>
      </c>
      <c r="I839" s="52"/>
      <c r="J839" s="38" t="s">
        <v>5319</v>
      </c>
      <c r="K839" s="38">
        <v>109</v>
      </c>
      <c r="L839" s="38">
        <v>6</v>
      </c>
      <c r="M839" s="69" t="s">
        <v>5387</v>
      </c>
      <c r="N839" s="39"/>
      <c r="O839" s="39"/>
      <c r="P839" s="34"/>
    </row>
    <row r="840" spans="2:16">
      <c r="B840" s="32" t="s">
        <v>3167</v>
      </c>
      <c r="C840" s="39" t="s">
        <v>3168</v>
      </c>
      <c r="D840" s="39" t="s">
        <v>3169</v>
      </c>
      <c r="E840" s="39" t="s">
        <v>4148</v>
      </c>
      <c r="F840" s="39" t="s">
        <v>696</v>
      </c>
      <c r="G840" s="39"/>
      <c r="H840" s="51" t="str">
        <f t="shared" si="13"/>
        <v>citation:ran_wolff-01</v>
      </c>
      <c r="I840" s="52"/>
      <c r="J840" s="38" t="s">
        <v>5298</v>
      </c>
      <c r="K840" s="38">
        <v>1482</v>
      </c>
      <c r="L840" s="38">
        <v>16</v>
      </c>
      <c r="M840" s="69" t="s">
        <v>5387</v>
      </c>
      <c r="N840" s="39"/>
      <c r="O840" s="39"/>
      <c r="P840" s="34"/>
    </row>
    <row r="841" spans="2:16">
      <c r="B841" s="32" t="s">
        <v>3170</v>
      </c>
      <c r="C841" s="39" t="s">
        <v>3171</v>
      </c>
      <c r="D841" s="39" t="s">
        <v>1641</v>
      </c>
      <c r="E841" s="39" t="s">
        <v>4149</v>
      </c>
      <c r="F841" s="39" t="s">
        <v>699</v>
      </c>
      <c r="G841" s="39"/>
      <c r="H841" s="51" t="str">
        <f t="shared" si="13"/>
        <v>citation:victor_li-01</v>
      </c>
      <c r="I841" s="52"/>
      <c r="J841" s="38" t="s">
        <v>5355</v>
      </c>
      <c r="K841" s="38">
        <v>10179</v>
      </c>
      <c r="L841" s="38">
        <v>46</v>
      </c>
      <c r="M841" s="69" t="s">
        <v>5385</v>
      </c>
      <c r="N841" s="39"/>
      <c r="O841" s="39"/>
      <c r="P841" s="34"/>
    </row>
    <row r="842" spans="2:16">
      <c r="B842" s="28" t="s">
        <v>3172</v>
      </c>
      <c r="C842" s="37" t="s">
        <v>3173</v>
      </c>
      <c r="D842" s="37" t="s">
        <v>3174</v>
      </c>
      <c r="E842" s="37" t="s">
        <v>4150</v>
      </c>
      <c r="F842" s="37" t="s">
        <v>702</v>
      </c>
      <c r="G842" s="37"/>
      <c r="H842" s="49" t="str">
        <f t="shared" si="13"/>
        <v>citation:abm_musa-01</v>
      </c>
      <c r="I842" s="50"/>
      <c r="J842" s="38" t="s">
        <v>5042</v>
      </c>
      <c r="K842" s="38">
        <v>66</v>
      </c>
      <c r="L842" s="38">
        <v>2</v>
      </c>
      <c r="M842" s="69" t="s">
        <v>5385</v>
      </c>
      <c r="N842" s="37"/>
      <c r="O842" s="37"/>
      <c r="P842" s="29"/>
    </row>
    <row r="843" spans="2:16">
      <c r="B843" s="32" t="s">
        <v>3175</v>
      </c>
      <c r="C843" s="39" t="s">
        <v>100</v>
      </c>
      <c r="D843" s="39" t="s">
        <v>2460</v>
      </c>
      <c r="E843" s="39" t="s">
        <v>4151</v>
      </c>
      <c r="F843" s="39" t="s">
        <v>702</v>
      </c>
      <c r="G843" s="39"/>
      <c r="H843" s="51"/>
      <c r="I843" s="52"/>
      <c r="J843" s="38"/>
      <c r="K843" s="38"/>
      <c r="L843" s="38"/>
      <c r="M843" s="69" t="s">
        <v>5380</v>
      </c>
      <c r="N843" s="39"/>
      <c r="O843" s="39"/>
      <c r="P843" s="34"/>
    </row>
    <row r="844" spans="2:16">
      <c r="B844" s="30" t="s">
        <v>3176</v>
      </c>
      <c r="C844" s="38" t="s">
        <v>2834</v>
      </c>
      <c r="D844" s="38" t="s">
        <v>3177</v>
      </c>
      <c r="E844" s="38" t="s">
        <v>4152</v>
      </c>
      <c r="F844" s="38" t="s">
        <v>705</v>
      </c>
      <c r="G844" s="38"/>
      <c r="H844" s="53" t="str">
        <f t="shared" si="13"/>
        <v>citation:bo_luo-01</v>
      </c>
      <c r="I844" s="54"/>
      <c r="J844" s="38" t="s">
        <v>5073</v>
      </c>
      <c r="K844" s="38">
        <v>805</v>
      </c>
      <c r="L844" s="38">
        <v>14</v>
      </c>
      <c r="M844" s="69" t="s">
        <v>5387</v>
      </c>
      <c r="N844" s="38"/>
      <c r="O844" s="38"/>
      <c r="P844" s="31"/>
    </row>
    <row r="845" spans="2:16">
      <c r="B845" s="32" t="s">
        <v>3178</v>
      </c>
      <c r="C845" s="39" t="s">
        <v>3179</v>
      </c>
      <c r="D845" s="39" t="s">
        <v>1641</v>
      </c>
      <c r="E845" s="39" t="s">
        <v>4153</v>
      </c>
      <c r="F845" s="39" t="s">
        <v>705</v>
      </c>
      <c r="G845" s="39"/>
      <c r="H845" s="51" t="str">
        <f t="shared" si="13"/>
        <v>citation:fengjun_li-01</v>
      </c>
      <c r="I845" s="52"/>
      <c r="J845" s="38" t="s">
        <v>5140</v>
      </c>
      <c r="K845" s="38">
        <v>436</v>
      </c>
      <c r="L845" s="38">
        <v>8</v>
      </c>
      <c r="M845" s="69" t="s">
        <v>5385</v>
      </c>
      <c r="N845" s="39"/>
      <c r="O845" s="39"/>
      <c r="P845" s="34"/>
    </row>
    <row r="846" spans="2:16">
      <c r="B846" s="32" t="s">
        <v>3180</v>
      </c>
      <c r="C846" s="39" t="s">
        <v>3181</v>
      </c>
      <c r="D846" s="39" t="s">
        <v>3182</v>
      </c>
      <c r="E846" s="39" t="s">
        <v>4154</v>
      </c>
      <c r="F846" s="39" t="s">
        <v>708</v>
      </c>
      <c r="G846" s="39"/>
      <c r="H846" s="51" t="str">
        <f t="shared" si="13"/>
        <v>citation:jerome_haerri-01</v>
      </c>
      <c r="I846" s="52"/>
      <c r="J846" s="38" t="s">
        <v>5189</v>
      </c>
      <c r="K846" s="38">
        <v>2529</v>
      </c>
      <c r="L846" s="38">
        <v>20</v>
      </c>
      <c r="M846" s="69" t="s">
        <v>5387</v>
      </c>
      <c r="N846" s="39"/>
      <c r="O846" s="39"/>
      <c r="P846" s="34"/>
    </row>
    <row r="847" spans="2:16">
      <c r="B847" s="32" t="s">
        <v>3183</v>
      </c>
      <c r="C847" s="39" t="s">
        <v>3184</v>
      </c>
      <c r="D847" s="39" t="s">
        <v>3185</v>
      </c>
      <c r="E847" s="39" t="s">
        <v>4155</v>
      </c>
      <c r="F847" s="39" t="s">
        <v>710</v>
      </c>
      <c r="G847" s="39"/>
      <c r="H847" s="51"/>
      <c r="I847" s="52"/>
      <c r="J847" s="38"/>
      <c r="K847" s="38"/>
      <c r="L847" s="38"/>
      <c r="M847" s="69" t="s">
        <v>5380</v>
      </c>
      <c r="N847" s="39"/>
      <c r="O847" s="39"/>
      <c r="P847" s="34"/>
    </row>
    <row r="848" spans="2:16">
      <c r="B848" s="30" t="s">
        <v>3186</v>
      </c>
      <c r="C848" s="38" t="s">
        <v>3187</v>
      </c>
      <c r="D848" s="38" t="s">
        <v>3188</v>
      </c>
      <c r="E848" s="38" t="s">
        <v>4156</v>
      </c>
      <c r="F848" s="38" t="s">
        <v>713</v>
      </c>
      <c r="G848" s="38"/>
      <c r="H848" s="53" t="str">
        <f t="shared" si="13"/>
        <v>citation:katie_atkinson-01</v>
      </c>
      <c r="I848" s="54"/>
      <c r="J848" s="38" t="s">
        <v>5219</v>
      </c>
      <c r="K848" s="38">
        <v>1810</v>
      </c>
      <c r="L848" s="38">
        <v>23</v>
      </c>
      <c r="M848" s="69" t="s">
        <v>5386</v>
      </c>
      <c r="N848" s="38"/>
      <c r="O848" s="38"/>
      <c r="P848" s="31"/>
    </row>
    <row r="849" spans="2:16">
      <c r="B849" s="30" t="s">
        <v>3189</v>
      </c>
      <c r="C849" s="38" t="s">
        <v>1501</v>
      </c>
      <c r="D849" s="38" t="s">
        <v>3190</v>
      </c>
      <c r="E849" s="38" t="s">
        <v>4157</v>
      </c>
      <c r="F849" s="38" t="s">
        <v>713</v>
      </c>
      <c r="G849" s="38"/>
      <c r="H849" s="53"/>
      <c r="I849" s="54"/>
      <c r="J849" s="38"/>
      <c r="K849" s="38"/>
      <c r="L849" s="38"/>
      <c r="M849" s="69" t="s">
        <v>5380</v>
      </c>
      <c r="N849" s="38"/>
      <c r="O849" s="38"/>
      <c r="P849" s="31"/>
    </row>
    <row r="850" spans="2:16">
      <c r="B850" s="30" t="s">
        <v>3191</v>
      </c>
      <c r="C850" s="38" t="s">
        <v>1120</v>
      </c>
      <c r="D850" s="38" t="s">
        <v>3192</v>
      </c>
      <c r="E850" s="38" t="s">
        <v>4158</v>
      </c>
      <c r="F850" s="38" t="s">
        <v>713</v>
      </c>
      <c r="G850" s="38"/>
      <c r="H850" s="53"/>
      <c r="I850" s="54"/>
      <c r="J850" s="38"/>
      <c r="K850" s="38"/>
      <c r="L850" s="38"/>
      <c r="M850" s="69" t="s">
        <v>5380</v>
      </c>
      <c r="N850" s="38"/>
      <c r="O850" s="38"/>
      <c r="P850" s="31"/>
    </row>
    <row r="851" spans="2:16">
      <c r="B851" s="32" t="s">
        <v>3193</v>
      </c>
      <c r="C851" s="39" t="s">
        <v>1571</v>
      </c>
      <c r="D851" s="39" t="s">
        <v>3194</v>
      </c>
      <c r="E851" s="39" t="s">
        <v>4159</v>
      </c>
      <c r="F851" s="39" t="s">
        <v>713</v>
      </c>
      <c r="G851" s="39"/>
      <c r="H851" s="51" t="str">
        <f t="shared" si="13"/>
        <v>citation:peter_mcburney-01</v>
      </c>
      <c r="I851" s="52"/>
      <c r="J851" s="38" t="s">
        <v>5283</v>
      </c>
      <c r="K851" s="38">
        <v>6413</v>
      </c>
      <c r="L851" s="38">
        <v>40</v>
      </c>
      <c r="M851" s="69" t="s">
        <v>5385</v>
      </c>
      <c r="N851" s="39"/>
      <c r="O851" s="39"/>
      <c r="P851" s="34"/>
    </row>
    <row r="852" spans="2:16">
      <c r="B852" s="30" t="s">
        <v>3195</v>
      </c>
      <c r="C852" s="38" t="s">
        <v>2561</v>
      </c>
      <c r="D852" s="38" t="s">
        <v>3196</v>
      </c>
      <c r="E852" s="38" t="s">
        <v>4160</v>
      </c>
      <c r="F852" s="38" t="s">
        <v>716</v>
      </c>
      <c r="G852" s="38"/>
      <c r="H852" s="53" t="str">
        <f t="shared" si="13"/>
        <v>citation:antonio_carzaniga-01</v>
      </c>
      <c r="I852" s="54"/>
      <c r="J852" s="38" t="s">
        <v>5380</v>
      </c>
      <c r="K852" s="38" t="s">
        <v>5380</v>
      </c>
      <c r="L852" s="38" t="s">
        <v>5380</v>
      </c>
      <c r="M852" s="69" t="s">
        <v>5384</v>
      </c>
      <c r="N852" s="38"/>
      <c r="O852" s="38"/>
      <c r="P852" s="31"/>
    </row>
    <row r="853" spans="2:16">
      <c r="B853" s="30" t="s">
        <v>3197</v>
      </c>
      <c r="C853" s="38" t="s">
        <v>3198</v>
      </c>
      <c r="D853" s="38" t="s">
        <v>3199</v>
      </c>
      <c r="E853" s="38" t="s">
        <v>4161</v>
      </c>
      <c r="F853" s="38" t="s">
        <v>716</v>
      </c>
      <c r="G853" s="38"/>
      <c r="H853" s="53" t="str">
        <f t="shared" si="13"/>
        <v>citation:koorosh_khazaei-01</v>
      </c>
      <c r="I853" s="54"/>
      <c r="J853" s="38" t="s">
        <v>5380</v>
      </c>
      <c r="K853" s="38" t="s">
        <v>5380</v>
      </c>
      <c r="L853" s="38" t="s">
        <v>5380</v>
      </c>
      <c r="M853" s="69" t="s">
        <v>5387</v>
      </c>
      <c r="N853" s="38"/>
      <c r="O853" s="38"/>
      <c r="P853" s="31"/>
    </row>
    <row r="854" spans="2:16">
      <c r="B854" s="32" t="s">
        <v>3200</v>
      </c>
      <c r="C854" s="39" t="s">
        <v>3201</v>
      </c>
      <c r="D854" s="39" t="s">
        <v>3202</v>
      </c>
      <c r="E854" s="39" t="s">
        <v>4162</v>
      </c>
      <c r="F854" s="39" t="s">
        <v>716</v>
      </c>
      <c r="G854" s="39"/>
      <c r="H854" s="51" t="str">
        <f t="shared" si="13"/>
        <v>citation:michele_paplini-01</v>
      </c>
      <c r="I854" s="52"/>
      <c r="J854" s="38" t="s">
        <v>5380</v>
      </c>
      <c r="K854" s="38" t="s">
        <v>5380</v>
      </c>
      <c r="L854" s="38" t="s">
        <v>5380</v>
      </c>
      <c r="M854" s="69" t="s">
        <v>5384</v>
      </c>
      <c r="N854" s="39"/>
      <c r="O854" s="39"/>
      <c r="P854" s="34"/>
    </row>
    <row r="855" spans="2:16">
      <c r="B855" s="44" t="s">
        <v>3203</v>
      </c>
      <c r="C855" s="45" t="s">
        <v>3204</v>
      </c>
      <c r="D855" s="45" t="s">
        <v>2362</v>
      </c>
      <c r="E855" s="45" t="s">
        <v>4163</v>
      </c>
      <c r="F855" s="45" t="s">
        <v>718</v>
      </c>
      <c r="G855" s="45"/>
      <c r="H855" s="46"/>
      <c r="I855" s="47"/>
      <c r="J855" s="38"/>
      <c r="K855" s="38"/>
      <c r="L855" s="38"/>
      <c r="M855" s="69" t="s">
        <v>5380</v>
      </c>
      <c r="N855" s="45"/>
      <c r="O855" s="45"/>
      <c r="P855" s="48"/>
    </row>
    <row r="856" spans="2:16">
      <c r="B856" s="32" t="s">
        <v>3205</v>
      </c>
      <c r="C856" s="39" t="s">
        <v>3206</v>
      </c>
      <c r="D856" s="39" t="s">
        <v>1713</v>
      </c>
      <c r="E856" s="39" t="s">
        <v>4164</v>
      </c>
      <c r="F856" s="39" t="s">
        <v>724</v>
      </c>
      <c r="G856" s="39"/>
      <c r="H856" s="51"/>
      <c r="I856" s="52"/>
      <c r="J856" s="38"/>
      <c r="K856" s="38"/>
      <c r="L856" s="38"/>
      <c r="M856" s="69" t="s">
        <v>5380</v>
      </c>
      <c r="N856" s="39"/>
      <c r="O856" s="39"/>
      <c r="P856" s="34"/>
    </row>
    <row r="857" spans="2:16">
      <c r="B857" s="32" t="s">
        <v>3207</v>
      </c>
      <c r="C857" s="39" t="s">
        <v>1092</v>
      </c>
      <c r="D857" s="39" t="s">
        <v>3208</v>
      </c>
      <c r="E857" s="39" t="s">
        <v>4165</v>
      </c>
      <c r="F857" s="39" t="s">
        <v>727</v>
      </c>
      <c r="G857" s="39"/>
      <c r="H857" s="51" t="str">
        <f t="shared" si="13"/>
        <v>citation:george_karypis-01</v>
      </c>
      <c r="I857" s="52"/>
      <c r="J857" s="38" t="s">
        <v>5150</v>
      </c>
      <c r="K857" s="38">
        <v>45617</v>
      </c>
      <c r="L857" s="38">
        <v>76</v>
      </c>
      <c r="M857" s="69" t="s">
        <v>5386</v>
      </c>
      <c r="N857" s="39"/>
      <c r="O857" s="39"/>
      <c r="P857" s="34"/>
    </row>
    <row r="858" spans="2:16">
      <c r="B858" s="32" t="s">
        <v>3209</v>
      </c>
      <c r="C858" s="39" t="s">
        <v>2107</v>
      </c>
      <c r="D858" s="39" t="s">
        <v>3210</v>
      </c>
      <c r="E858" s="39" t="s">
        <v>4166</v>
      </c>
      <c r="F858" s="39" t="s">
        <v>730</v>
      </c>
      <c r="G858" s="39"/>
      <c r="H858" s="51" t="str">
        <f t="shared" si="13"/>
        <v>citation:ivan_jureta-01</v>
      </c>
      <c r="I858" s="52"/>
      <c r="J858" s="38" t="s">
        <v>5180</v>
      </c>
      <c r="K858" s="38">
        <v>909</v>
      </c>
      <c r="L858" s="38">
        <v>17</v>
      </c>
      <c r="M858" s="69" t="s">
        <v>5384</v>
      </c>
      <c r="N858" s="39"/>
      <c r="O858" s="39"/>
      <c r="P858" s="34"/>
    </row>
    <row r="859" spans="2:16">
      <c r="B859" s="32" t="s">
        <v>3211</v>
      </c>
      <c r="C859" s="39" t="s">
        <v>1137</v>
      </c>
      <c r="D859" s="39" t="s">
        <v>3212</v>
      </c>
      <c r="E859" s="39" t="s">
        <v>4167</v>
      </c>
      <c r="F859" s="39" t="s">
        <v>732</v>
      </c>
      <c r="G859" s="39"/>
      <c r="H859" s="51" t="str">
        <f t="shared" si="13"/>
        <v>citation:scott_coull-01</v>
      </c>
      <c r="I859" s="52"/>
      <c r="J859" s="38" t="s">
        <v>5310</v>
      </c>
      <c r="K859" s="38">
        <v>962</v>
      </c>
      <c r="L859" s="38">
        <v>12</v>
      </c>
      <c r="M859" s="69" t="s">
        <v>5386</v>
      </c>
      <c r="N859" s="39"/>
      <c r="O859" s="39"/>
      <c r="P859" s="34"/>
    </row>
    <row r="860" spans="2:16">
      <c r="B860" s="32" t="s">
        <v>3213</v>
      </c>
      <c r="C860" s="39" t="s">
        <v>3214</v>
      </c>
      <c r="D860" s="39" t="s">
        <v>2726</v>
      </c>
      <c r="E860" s="39" t="s">
        <v>4168</v>
      </c>
      <c r="F860" s="39" t="s">
        <v>735</v>
      </c>
      <c r="G860" s="39"/>
      <c r="H860" s="51" t="str">
        <f t="shared" si="13"/>
        <v>citation:zhanwei_sun-01</v>
      </c>
      <c r="I860" s="52"/>
      <c r="J860" s="38" t="s">
        <v>5378</v>
      </c>
      <c r="K860" s="38">
        <v>87</v>
      </c>
      <c r="L860" s="38">
        <v>4</v>
      </c>
      <c r="M860" s="69" t="s">
        <v>5387</v>
      </c>
      <c r="N860" s="39"/>
      <c r="O860" s="39"/>
      <c r="P860" s="34"/>
    </row>
    <row r="861" spans="2:16">
      <c r="B861" s="32" t="s">
        <v>3215</v>
      </c>
      <c r="C861" s="39" t="s">
        <v>3201</v>
      </c>
      <c r="D861" s="39" t="s">
        <v>3216</v>
      </c>
      <c r="E861" s="39" t="s">
        <v>4169</v>
      </c>
      <c r="F861" s="39" t="s">
        <v>737</v>
      </c>
      <c r="G861" s="39"/>
      <c r="H861" s="51" t="str">
        <f t="shared" si="13"/>
        <v>citation:michele_zorzi-01</v>
      </c>
      <c r="I861" s="52"/>
      <c r="J861" s="38" t="s">
        <v>5251</v>
      </c>
      <c r="K861" s="38">
        <v>15532</v>
      </c>
      <c r="L861" s="38">
        <v>60</v>
      </c>
      <c r="M861" s="69" t="s">
        <v>5387</v>
      </c>
      <c r="N861" s="39"/>
      <c r="O861" s="39"/>
      <c r="P861" s="34"/>
    </row>
    <row r="862" spans="2:16">
      <c r="B862" s="30" t="s">
        <v>3217</v>
      </c>
      <c r="C862" s="38" t="s">
        <v>3218</v>
      </c>
      <c r="D862" s="38" t="s">
        <v>3219</v>
      </c>
      <c r="E862" s="38" t="s">
        <v>3217</v>
      </c>
      <c r="F862" s="38" t="s">
        <v>739</v>
      </c>
      <c r="G862" s="38"/>
      <c r="H862" s="53"/>
      <c r="I862" s="54"/>
      <c r="J862" s="38"/>
      <c r="K862" s="38"/>
      <c r="L862" s="38"/>
      <c r="M862" s="69" t="s">
        <v>5380</v>
      </c>
      <c r="N862" s="38"/>
      <c r="O862" s="38"/>
      <c r="P862" s="31"/>
    </row>
    <row r="863" spans="2:16">
      <c r="B863" s="30" t="s">
        <v>3220</v>
      </c>
      <c r="C863" s="38" t="s">
        <v>3221</v>
      </c>
      <c r="D863" s="38" t="s">
        <v>3222</v>
      </c>
      <c r="E863" s="38" t="s">
        <v>4170</v>
      </c>
      <c r="F863" s="38" t="s">
        <v>739</v>
      </c>
      <c r="G863" s="38"/>
      <c r="H863" s="53"/>
      <c r="I863" s="54"/>
      <c r="J863" s="38"/>
      <c r="K863" s="38"/>
      <c r="L863" s="38"/>
      <c r="M863" s="69" t="s">
        <v>5380</v>
      </c>
      <c r="N863" s="38"/>
      <c r="O863" s="38"/>
      <c r="P863" s="31"/>
    </row>
    <row r="864" spans="2:16">
      <c r="B864" s="30" t="s">
        <v>3223</v>
      </c>
      <c r="C864" s="38" t="s">
        <v>3093</v>
      </c>
      <c r="D864" s="38" t="s">
        <v>3224</v>
      </c>
      <c r="E864" s="38" t="s">
        <v>4171</v>
      </c>
      <c r="F864" s="38" t="s">
        <v>739</v>
      </c>
      <c r="G864" s="38"/>
      <c r="H864" s="53"/>
      <c r="I864" s="54"/>
      <c r="J864" s="38"/>
      <c r="K864" s="38"/>
      <c r="L864" s="38"/>
      <c r="M864" s="69" t="s">
        <v>5380</v>
      </c>
      <c r="N864" s="38"/>
      <c r="O864" s="38"/>
      <c r="P864" s="31"/>
    </row>
    <row r="865" spans="2:16">
      <c r="B865" s="32" t="s">
        <v>3225</v>
      </c>
      <c r="C865" s="39" t="s">
        <v>3226</v>
      </c>
      <c r="D865" s="39" t="s">
        <v>3227</v>
      </c>
      <c r="E865" s="39" t="s">
        <v>4172</v>
      </c>
      <c r="F865" s="39" t="s">
        <v>739</v>
      </c>
      <c r="G865" s="39"/>
      <c r="H865" s="51"/>
      <c r="I865" s="52"/>
      <c r="J865" s="38"/>
      <c r="K865" s="38"/>
      <c r="L865" s="38"/>
      <c r="M865" s="69" t="s">
        <v>5380</v>
      </c>
      <c r="N865" s="39"/>
      <c r="O865" s="39"/>
      <c r="P865" s="34"/>
    </row>
    <row r="866" spans="2:16">
      <c r="B866" s="30" t="s">
        <v>3228</v>
      </c>
      <c r="C866" s="38" t="s">
        <v>3229</v>
      </c>
      <c r="D866" s="38" t="s">
        <v>3230</v>
      </c>
      <c r="E866" s="38" t="s">
        <v>4173</v>
      </c>
      <c r="F866" s="38" t="s">
        <v>742</v>
      </c>
      <c r="G866" s="38"/>
      <c r="H866" s="53" t="str">
        <f t="shared" si="13"/>
        <v>citation:chet_gnegy-01</v>
      </c>
      <c r="I866" s="54"/>
      <c r="J866" s="38" t="s">
        <v>5380</v>
      </c>
      <c r="K866" s="38" t="s">
        <v>5380</v>
      </c>
      <c r="L866" s="38" t="s">
        <v>5380</v>
      </c>
      <c r="M866" s="69" t="s">
        <v>5388</v>
      </c>
      <c r="N866" s="38"/>
      <c r="O866" s="38"/>
      <c r="P866" s="31"/>
    </row>
    <row r="867" spans="2:16">
      <c r="B867" s="32" t="s">
        <v>3231</v>
      </c>
      <c r="C867" s="39" t="s">
        <v>1501</v>
      </c>
      <c r="D867" s="39" t="s">
        <v>3232</v>
      </c>
      <c r="E867" s="39" t="s">
        <v>4174</v>
      </c>
      <c r="F867" s="39" t="s">
        <v>742</v>
      </c>
      <c r="G867" s="39"/>
      <c r="H867" s="51" t="str">
        <f t="shared" si="13"/>
        <v>citation:michael_lewis-01</v>
      </c>
      <c r="I867" s="52"/>
      <c r="J867" s="38" t="s">
        <v>5380</v>
      </c>
      <c r="K867" s="38" t="s">
        <v>5380</v>
      </c>
      <c r="L867" s="38" t="s">
        <v>5380</v>
      </c>
      <c r="M867" s="69" t="s">
        <v>5387</v>
      </c>
      <c r="N867" s="39"/>
      <c r="O867" s="39"/>
      <c r="P867" s="34"/>
    </row>
    <row r="868" spans="2:16">
      <c r="B868" s="32" t="s">
        <v>3233</v>
      </c>
      <c r="C868" s="39" t="s">
        <v>1577</v>
      </c>
      <c r="D868" s="39" t="s">
        <v>1095</v>
      </c>
      <c r="E868" s="39" t="s">
        <v>4175</v>
      </c>
      <c r="F868" s="39" t="s">
        <v>745</v>
      </c>
      <c r="G868" s="39"/>
      <c r="H868" s="51" t="str">
        <f t="shared" si="13"/>
        <v>citation:young_cho-01</v>
      </c>
      <c r="I868" s="52"/>
      <c r="J868" s="38" t="s">
        <v>5372</v>
      </c>
      <c r="K868" s="38">
        <v>2549</v>
      </c>
      <c r="L868" s="38">
        <v>22</v>
      </c>
      <c r="M868" s="69" t="s">
        <v>5388</v>
      </c>
      <c r="N868" s="39"/>
      <c r="O868" s="39"/>
      <c r="P868" s="34"/>
    </row>
    <row r="869" spans="2:16">
      <c r="B869" s="30" t="s">
        <v>3234</v>
      </c>
      <c r="C869" s="38" t="s">
        <v>3235</v>
      </c>
      <c r="D869" s="38" t="s">
        <v>3236</v>
      </c>
      <c r="E869" s="38" t="s">
        <v>4176</v>
      </c>
      <c r="F869" s="38" t="s">
        <v>748</v>
      </c>
      <c r="G869" s="38"/>
      <c r="H869" s="53" t="str">
        <f t="shared" si="13"/>
        <v>citation:albert_harris-01</v>
      </c>
      <c r="I869" s="54"/>
      <c r="J869" s="38" t="s">
        <v>5380</v>
      </c>
      <c r="K869" s="38" t="s">
        <v>5380</v>
      </c>
      <c r="L869" s="38" t="s">
        <v>5380</v>
      </c>
      <c r="M869" s="69" t="s">
        <v>5386</v>
      </c>
      <c r="N869" s="38"/>
      <c r="O869" s="38"/>
      <c r="P869" s="31"/>
    </row>
    <row r="870" spans="2:16">
      <c r="B870" s="30" t="s">
        <v>3237</v>
      </c>
      <c r="C870" s="38" t="s">
        <v>3238</v>
      </c>
      <c r="D870" s="38" t="s">
        <v>3236</v>
      </c>
      <c r="E870" s="38" t="s">
        <v>4177</v>
      </c>
      <c r="F870" s="38" t="s">
        <v>748</v>
      </c>
      <c r="G870" s="38"/>
      <c r="H870" s="53" t="str">
        <f t="shared" si="13"/>
        <v>citation:austin_harris-01</v>
      </c>
      <c r="I870" s="54"/>
      <c r="J870" s="38" t="s">
        <v>5380</v>
      </c>
      <c r="K870" s="38" t="s">
        <v>5380</v>
      </c>
      <c r="L870" s="38" t="s">
        <v>5380</v>
      </c>
      <c r="M870" s="69" t="s">
        <v>5387</v>
      </c>
      <c r="N870" s="38"/>
      <c r="O870" s="38"/>
      <c r="P870" s="31"/>
    </row>
    <row r="871" spans="2:16">
      <c r="B871" s="30" t="s">
        <v>3239</v>
      </c>
      <c r="C871" s="38" t="s">
        <v>3240</v>
      </c>
      <c r="D871" s="38" t="s">
        <v>628</v>
      </c>
      <c r="E871" s="38" t="s">
        <v>4178</v>
      </c>
      <c r="F871" s="38" t="s">
        <v>748</v>
      </c>
      <c r="G871" s="38"/>
      <c r="H871" s="53" t="str">
        <f t="shared" si="13"/>
        <v>citation:evan_glasgow-01</v>
      </c>
      <c r="I871" s="54"/>
      <c r="J871" s="38" t="s">
        <v>5380</v>
      </c>
      <c r="K871" s="38" t="s">
        <v>5380</v>
      </c>
      <c r="L871" s="38" t="s">
        <v>5380</v>
      </c>
      <c r="M871" s="69" t="s">
        <v>5388</v>
      </c>
      <c r="N871" s="38"/>
      <c r="O871" s="38"/>
      <c r="P871" s="31"/>
    </row>
    <row r="872" spans="2:16">
      <c r="B872" s="32" t="s">
        <v>3241</v>
      </c>
      <c r="C872" s="39" t="s">
        <v>3242</v>
      </c>
      <c r="D872" s="39" t="s">
        <v>3243</v>
      </c>
      <c r="E872" s="39" t="s">
        <v>4179</v>
      </c>
      <c r="F872" s="39" t="s">
        <v>748</v>
      </c>
      <c r="G872" s="39"/>
      <c r="H872" s="51" t="str">
        <f t="shared" si="13"/>
        <v>citation:mohit_tiwari-01</v>
      </c>
      <c r="I872" s="52"/>
      <c r="J872" s="38" t="s">
        <v>5255</v>
      </c>
      <c r="K872" s="38">
        <v>482</v>
      </c>
      <c r="L872" s="38">
        <v>11</v>
      </c>
      <c r="M872" s="69" t="s">
        <v>5388</v>
      </c>
      <c r="N872" s="39"/>
      <c r="O872" s="39"/>
      <c r="P872" s="34"/>
    </row>
    <row r="873" spans="2:16">
      <c r="B873" s="32" t="s">
        <v>3244</v>
      </c>
      <c r="C873" s="39" t="s">
        <v>3245</v>
      </c>
      <c r="D873" s="39" t="s">
        <v>3246</v>
      </c>
      <c r="E873" s="39" t="s">
        <v>4180</v>
      </c>
      <c r="F873" s="39" t="s">
        <v>751</v>
      </c>
      <c r="G873" s="39"/>
      <c r="H873" s="51" t="str">
        <f t="shared" si="13"/>
        <v>citation:siavosh_benabbas-01</v>
      </c>
      <c r="I873" s="52"/>
      <c r="J873" s="38" t="s">
        <v>5380</v>
      </c>
      <c r="K873" s="38" t="s">
        <v>5380</v>
      </c>
      <c r="L873" s="38" t="s">
        <v>5380</v>
      </c>
      <c r="M873" s="69" t="s">
        <v>5387</v>
      </c>
      <c r="N873" s="39"/>
      <c r="O873" s="39"/>
      <c r="P873" s="34"/>
    </row>
    <row r="874" spans="2:16">
      <c r="B874" s="30" t="s">
        <v>3072</v>
      </c>
      <c r="C874" s="38" t="s">
        <v>3073</v>
      </c>
      <c r="D874" s="38" t="s">
        <v>3074</v>
      </c>
      <c r="E874" s="38" t="s">
        <v>4181</v>
      </c>
      <c r="F874" s="38" t="s">
        <v>635</v>
      </c>
      <c r="G874" s="38"/>
      <c r="H874" s="53" t="str">
        <f t="shared" si="13"/>
        <v>citation:jeremy_jacob-01</v>
      </c>
      <c r="I874" s="54"/>
      <c r="J874" s="38" t="s">
        <v>5380</v>
      </c>
      <c r="K874" s="38" t="s">
        <v>5380</v>
      </c>
      <c r="L874" s="38" t="s">
        <v>5380</v>
      </c>
      <c r="M874" s="69" t="s">
        <v>5386</v>
      </c>
      <c r="N874" s="38"/>
      <c r="O874" s="38"/>
      <c r="P874" s="31"/>
    </row>
    <row r="875" spans="2:16">
      <c r="B875" s="30" t="s">
        <v>3075</v>
      </c>
      <c r="C875" s="38" t="s">
        <v>1565</v>
      </c>
      <c r="D875" s="38" t="s">
        <v>2118</v>
      </c>
      <c r="E875" s="38" t="s">
        <v>4182</v>
      </c>
      <c r="F875" s="38" t="s">
        <v>635</v>
      </c>
      <c r="G875" s="38"/>
      <c r="H875" s="53" t="str">
        <f t="shared" si="13"/>
        <v>citation:john_clark-01</v>
      </c>
      <c r="I875" s="54"/>
      <c r="J875" s="38" t="s">
        <v>5202</v>
      </c>
      <c r="K875" s="38">
        <v>10674</v>
      </c>
      <c r="L875" s="38">
        <v>52</v>
      </c>
      <c r="M875" s="69" t="s">
        <v>5384</v>
      </c>
      <c r="N875" s="38"/>
      <c r="O875" s="38"/>
      <c r="P875" s="31"/>
    </row>
    <row r="876" spans="2:16">
      <c r="B876" s="30" t="s">
        <v>3076</v>
      </c>
      <c r="C876" s="38" t="s">
        <v>1565</v>
      </c>
      <c r="D876" s="38" t="s">
        <v>3077</v>
      </c>
      <c r="E876" s="38" t="s">
        <v>4183</v>
      </c>
      <c r="F876" s="38" t="s">
        <v>635</v>
      </c>
      <c r="G876" s="38"/>
      <c r="H876" s="53" t="str">
        <f t="shared" si="13"/>
        <v>citation:john_mcdermid-01</v>
      </c>
      <c r="I876" s="54"/>
      <c r="J876" s="38" t="s">
        <v>5380</v>
      </c>
      <c r="K876" s="38" t="s">
        <v>5380</v>
      </c>
      <c r="L876" s="38" t="s">
        <v>5380</v>
      </c>
      <c r="M876" s="69" t="s">
        <v>5387</v>
      </c>
      <c r="N876" s="38"/>
      <c r="O876" s="38"/>
      <c r="P876" s="31"/>
    </row>
    <row r="877" spans="2:16">
      <c r="B877" s="30" t="s">
        <v>3078</v>
      </c>
      <c r="C877" s="38" t="s">
        <v>1565</v>
      </c>
      <c r="D877" s="38" t="s">
        <v>3079</v>
      </c>
      <c r="E877" s="38" t="s">
        <v>4184</v>
      </c>
      <c r="F877" s="38" t="s">
        <v>635</v>
      </c>
      <c r="G877" s="38"/>
      <c r="H877" s="53" t="str">
        <f t="shared" si="13"/>
        <v>citation:john_murdoch-01</v>
      </c>
      <c r="I877" s="54"/>
      <c r="J877" s="38" t="s">
        <v>5380</v>
      </c>
      <c r="K877" s="38" t="s">
        <v>5380</v>
      </c>
      <c r="L877" s="38" t="s">
        <v>5380</v>
      </c>
      <c r="M877" s="69" t="s">
        <v>5386</v>
      </c>
      <c r="N877" s="38"/>
      <c r="O877" s="38"/>
      <c r="P877" s="31"/>
    </row>
    <row r="878" spans="2:16">
      <c r="B878" s="30" t="s">
        <v>3080</v>
      </c>
      <c r="C878" s="38" t="s">
        <v>1148</v>
      </c>
      <c r="D878" s="38" t="s">
        <v>3081</v>
      </c>
      <c r="E878" s="38" t="s">
        <v>4185</v>
      </c>
      <c r="F878" s="38" t="s">
        <v>635</v>
      </c>
      <c r="G878" s="38"/>
      <c r="H878" s="53" t="str">
        <f t="shared" si="13"/>
        <v>citation:juan_tapiador-01</v>
      </c>
      <c r="I878" s="54"/>
      <c r="J878" s="38" t="s">
        <v>5213</v>
      </c>
      <c r="K878" s="38">
        <v>2528</v>
      </c>
      <c r="L878" s="38">
        <v>23</v>
      </c>
      <c r="M878" s="69" t="s">
        <v>5384</v>
      </c>
      <c r="N878" s="38"/>
      <c r="O878" s="38"/>
      <c r="P878" s="31"/>
    </row>
    <row r="879" spans="2:16">
      <c r="B879" s="30" t="s">
        <v>3082</v>
      </c>
      <c r="C879" s="38" t="s">
        <v>3083</v>
      </c>
      <c r="D879" s="38" t="s">
        <v>3084</v>
      </c>
      <c r="E879" s="38" t="s">
        <v>4186</v>
      </c>
      <c r="F879" s="38" t="s">
        <v>635</v>
      </c>
      <c r="G879" s="38"/>
      <c r="H879" s="53" t="str">
        <f t="shared" si="13"/>
        <v>citation:sevil_sen-01</v>
      </c>
      <c r="I879" s="54"/>
      <c r="J879" s="38" t="s">
        <v>5316</v>
      </c>
      <c r="K879" s="38">
        <v>253</v>
      </c>
      <c r="L879" s="38">
        <v>7</v>
      </c>
      <c r="M879" s="69" t="s">
        <v>5386</v>
      </c>
      <c r="N879" s="38"/>
      <c r="O879" s="38"/>
      <c r="P879" s="31"/>
    </row>
    <row r="880" spans="2:16">
      <c r="B880" s="30" t="s">
        <v>3085</v>
      </c>
      <c r="C880" s="38" t="s">
        <v>1186</v>
      </c>
      <c r="D880" s="38" t="s">
        <v>3086</v>
      </c>
      <c r="E880" s="38" t="s">
        <v>4187</v>
      </c>
      <c r="F880" s="38" t="s">
        <v>635</v>
      </c>
      <c r="G880" s="38"/>
      <c r="H880" s="53" t="str">
        <f t="shared" si="13"/>
        <v>citation:will_harwood-01</v>
      </c>
      <c r="I880" s="54"/>
      <c r="J880" s="38" t="s">
        <v>5380</v>
      </c>
      <c r="K880" s="38" t="s">
        <v>5380</v>
      </c>
      <c r="L880" s="38" t="s">
        <v>5380</v>
      </c>
      <c r="M880" s="69" t="s">
        <v>5385</v>
      </c>
      <c r="N880" s="38"/>
      <c r="O880" s="38"/>
      <c r="P880" s="31"/>
    </row>
    <row r="881" spans="2:16">
      <c r="B881" s="32" t="s">
        <v>3087</v>
      </c>
      <c r="C881" s="39" t="s">
        <v>4188</v>
      </c>
      <c r="D881" s="39" t="s">
        <v>2905</v>
      </c>
      <c r="E881" s="39" t="s">
        <v>4189</v>
      </c>
      <c r="F881" s="39" t="s">
        <v>635</v>
      </c>
      <c r="G881" s="39"/>
      <c r="H881" s="51" t="str">
        <f t="shared" si="13"/>
        <v>citation:yow_tzu_lim-01</v>
      </c>
      <c r="I881" s="52"/>
      <c r="J881" s="38" t="s">
        <v>5380</v>
      </c>
      <c r="K881" s="38" t="s">
        <v>5380</v>
      </c>
      <c r="L881" s="38" t="s">
        <v>5380</v>
      </c>
      <c r="M881" s="69" t="s">
        <v>5386</v>
      </c>
      <c r="N881" s="39"/>
      <c r="O881" s="39"/>
      <c r="P881" s="34"/>
    </row>
    <row r="882" spans="2:16">
      <c r="B882" s="32" t="s">
        <v>3254</v>
      </c>
      <c r="C882" s="39" t="s">
        <v>3255</v>
      </c>
      <c r="D882" s="39" t="s">
        <v>3256</v>
      </c>
      <c r="E882" s="39" t="s">
        <v>4190</v>
      </c>
      <c r="F882" s="39" t="s">
        <v>756</v>
      </c>
      <c r="G882" s="39"/>
      <c r="H882" s="51" t="str">
        <f t="shared" si="13"/>
        <v>citation:edith_ngai-01</v>
      </c>
      <c r="I882" s="52"/>
      <c r="J882" s="38" t="s">
        <v>5122</v>
      </c>
      <c r="K882" s="38">
        <v>1091</v>
      </c>
      <c r="L882" s="38">
        <v>18</v>
      </c>
      <c r="M882" s="69" t="s">
        <v>5391</v>
      </c>
      <c r="N882" s="39"/>
      <c r="O882" s="39"/>
      <c r="P882" s="34"/>
    </row>
    <row r="883" spans="2:16">
      <c r="B883" s="32" t="s">
        <v>2913</v>
      </c>
      <c r="C883" s="39" t="s">
        <v>1683</v>
      </c>
      <c r="D883" s="39" t="s">
        <v>2914</v>
      </c>
      <c r="E883" s="39" t="s">
        <v>4191</v>
      </c>
      <c r="F883" s="39" t="s">
        <v>336</v>
      </c>
      <c r="G883" s="39"/>
      <c r="H883" s="51" t="str">
        <f t="shared" si="13"/>
        <v>citation:thomas_killion-01</v>
      </c>
      <c r="I883" s="52"/>
      <c r="J883" s="38" t="s">
        <v>5380</v>
      </c>
      <c r="K883" s="38" t="s">
        <v>5380</v>
      </c>
      <c r="L883" s="38" t="s">
        <v>5380</v>
      </c>
      <c r="M883" s="69" t="s">
        <v>5390</v>
      </c>
      <c r="N883" s="39"/>
      <c r="O883" s="39"/>
      <c r="P883" s="34"/>
    </row>
    <row r="884" spans="2:16">
      <c r="B884" s="32" t="s">
        <v>3257</v>
      </c>
      <c r="C884" s="39" t="s">
        <v>3011</v>
      </c>
      <c r="D884" s="39" t="s">
        <v>3258</v>
      </c>
      <c r="E884" s="39" t="s">
        <v>4192</v>
      </c>
      <c r="F884" s="39" t="s">
        <v>416</v>
      </c>
      <c r="G884" s="39"/>
      <c r="H884" s="51" t="str">
        <f t="shared" si="13"/>
        <v>citation:richard_mortier-01</v>
      </c>
      <c r="I884" s="52"/>
      <c r="J884" s="38" t="s">
        <v>5303</v>
      </c>
      <c r="K884" s="38">
        <v>3248</v>
      </c>
      <c r="L884" s="38">
        <v>26</v>
      </c>
      <c r="M884" s="69" t="s">
        <v>5385</v>
      </c>
      <c r="N884" s="39"/>
      <c r="O884" s="39"/>
      <c r="P884" s="34"/>
    </row>
    <row r="885" spans="2:16">
      <c r="B885" s="32" t="s">
        <v>3259</v>
      </c>
      <c r="C885" s="39" t="s">
        <v>3260</v>
      </c>
      <c r="D885" s="39" t="s">
        <v>2580</v>
      </c>
      <c r="E885" s="39" t="s">
        <v>4193</v>
      </c>
      <c r="F885" s="39" t="s">
        <v>758</v>
      </c>
      <c r="G885" s="39"/>
      <c r="H885" s="51" t="str">
        <f t="shared" si="13"/>
        <v>citation:hong-sheng_zhou-01</v>
      </c>
      <c r="I885" s="52"/>
      <c r="J885" s="38" t="s">
        <v>5167</v>
      </c>
      <c r="K885" s="38">
        <v>339</v>
      </c>
      <c r="L885" s="38">
        <v>10</v>
      </c>
      <c r="M885" s="69" t="s">
        <v>5387</v>
      </c>
      <c r="N885" s="39"/>
      <c r="O885" s="39"/>
      <c r="P885" s="34"/>
    </row>
    <row r="886" spans="2:16">
      <c r="B886" s="30" t="s">
        <v>95</v>
      </c>
      <c r="C886" s="38" t="s">
        <v>96</v>
      </c>
      <c r="D886" s="38" t="s">
        <v>97</v>
      </c>
      <c r="E886" s="38" t="s">
        <v>4194</v>
      </c>
      <c r="F886" s="38" t="s">
        <v>25</v>
      </c>
      <c r="G886" s="38"/>
      <c r="H886" s="53" t="str">
        <f t="shared" si="13"/>
        <v>citation:hannah_grosso-01</v>
      </c>
      <c r="I886" s="54"/>
      <c r="J886" s="38" t="s">
        <v>5380</v>
      </c>
      <c r="K886" s="38" t="s">
        <v>5380</v>
      </c>
      <c r="L886" s="38" t="s">
        <v>5380</v>
      </c>
      <c r="M886" s="69" t="s">
        <v>5390</v>
      </c>
      <c r="N886" s="38"/>
      <c r="O886" s="38"/>
      <c r="P886" s="31"/>
    </row>
    <row r="887" spans="2:16">
      <c r="B887" s="30" t="s">
        <v>98</v>
      </c>
      <c r="C887" s="38" t="s">
        <v>99</v>
      </c>
      <c r="D887" s="38" t="s">
        <v>100</v>
      </c>
      <c r="E887" s="38" t="s">
        <v>4195</v>
      </c>
      <c r="F887" s="38" t="s">
        <v>25</v>
      </c>
      <c r="G887" s="38"/>
      <c r="H887" s="53" t="str">
        <f t="shared" si="13"/>
        <v>citation:jinny_yan-01</v>
      </c>
      <c r="I887" s="54"/>
      <c r="J887" s="38" t="s">
        <v>5380</v>
      </c>
      <c r="K887" s="38" t="s">
        <v>5380</v>
      </c>
      <c r="L887" s="38" t="s">
        <v>5380</v>
      </c>
      <c r="M887" s="69" t="s">
        <v>5390</v>
      </c>
      <c r="N887" s="38"/>
      <c r="O887" s="38"/>
      <c r="P887" s="31"/>
    </row>
    <row r="888" spans="2:16">
      <c r="B888" s="30" t="s">
        <v>3261</v>
      </c>
      <c r="C888" s="38" t="s">
        <v>2647</v>
      </c>
      <c r="D888" s="38" t="s">
        <v>3262</v>
      </c>
      <c r="E888" s="38" t="s">
        <v>4196</v>
      </c>
      <c r="F888" s="38" t="s">
        <v>25</v>
      </c>
      <c r="G888" s="38"/>
      <c r="H888" s="53" t="str">
        <f t="shared" si="13"/>
        <v>citation:jonathan_thiess-01</v>
      </c>
      <c r="I888" s="54"/>
      <c r="J888" s="38" t="s">
        <v>5380</v>
      </c>
      <c r="K888" s="38" t="s">
        <v>5380</v>
      </c>
      <c r="L888" s="38" t="s">
        <v>5380</v>
      </c>
      <c r="M888" s="69" t="s">
        <v>5385</v>
      </c>
      <c r="N888" s="38"/>
      <c r="O888" s="38"/>
      <c r="P888" s="31"/>
    </row>
    <row r="889" spans="2:16">
      <c r="B889" s="30" t="s">
        <v>3263</v>
      </c>
      <c r="C889" s="38" t="s">
        <v>1501</v>
      </c>
      <c r="D889" s="38" t="s">
        <v>3264</v>
      </c>
      <c r="E889" s="38" t="s">
        <v>4197</v>
      </c>
      <c r="F889" s="38" t="s">
        <v>25</v>
      </c>
      <c r="G889" s="38"/>
      <c r="H889" s="53" t="str">
        <f t="shared" si="13"/>
        <v>citation:michael_shares-01</v>
      </c>
      <c r="I889" s="54"/>
      <c r="J889" s="38" t="s">
        <v>5380</v>
      </c>
      <c r="K889" s="38" t="s">
        <v>5380</v>
      </c>
      <c r="L889" s="38" t="s">
        <v>5380</v>
      </c>
      <c r="M889" s="69" t="s">
        <v>5386</v>
      </c>
      <c r="N889" s="38"/>
      <c r="O889" s="38"/>
      <c r="P889" s="31"/>
    </row>
    <row r="890" spans="2:16">
      <c r="B890" s="32" t="s">
        <v>104</v>
      </c>
      <c r="C890" s="39" t="s">
        <v>105</v>
      </c>
      <c r="D890" s="39" t="s">
        <v>106</v>
      </c>
      <c r="E890" s="39" t="s">
        <v>4198</v>
      </c>
      <c r="F890" s="39" t="s">
        <v>25</v>
      </c>
      <c r="G890" s="39"/>
      <c r="H890" s="51" t="str">
        <f t="shared" si="13"/>
        <v>citation:theodore_hoel-01</v>
      </c>
      <c r="I890" s="52"/>
      <c r="J890" s="38" t="s">
        <v>5380</v>
      </c>
      <c r="K890" s="38" t="s">
        <v>5380</v>
      </c>
      <c r="L890" s="38" t="s">
        <v>5380</v>
      </c>
      <c r="M890" s="69" t="s">
        <v>5390</v>
      </c>
      <c r="N890" s="39"/>
      <c r="O890" s="39"/>
      <c r="P890" s="34"/>
    </row>
    <row r="891" spans="2:16">
      <c r="B891" s="32" t="s">
        <v>3265</v>
      </c>
      <c r="C891" s="39" t="s">
        <v>3266</v>
      </c>
      <c r="D891" s="39" t="s">
        <v>3267</v>
      </c>
      <c r="E891" s="39" t="s">
        <v>4199</v>
      </c>
      <c r="F891" s="39" t="s">
        <v>761</v>
      </c>
      <c r="G891" s="39"/>
      <c r="H891" s="51" t="str">
        <f t="shared" si="13"/>
        <v>citation:won_ro-01</v>
      </c>
      <c r="I891" s="52"/>
      <c r="J891" s="38" t="s">
        <v>5380</v>
      </c>
      <c r="K891" s="38" t="s">
        <v>5380</v>
      </c>
      <c r="L891" s="38" t="s">
        <v>5380</v>
      </c>
      <c r="M891" s="69" t="s">
        <v>5386</v>
      </c>
      <c r="N891" s="39"/>
      <c r="O891" s="39"/>
      <c r="P891" s="34"/>
    </row>
  </sheetData>
  <mergeCells count="6">
    <mergeCell ref="Q599:Q601"/>
    <mergeCell ref="Q526:Q528"/>
    <mergeCell ref="B2:G2"/>
    <mergeCell ref="J2:M2"/>
    <mergeCell ref="O2:P2"/>
    <mergeCell ref="Q169:Q171"/>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B2:H173"/>
  <sheetViews>
    <sheetView topLeftCell="A77" workbookViewId="0">
      <selection activeCell="H88" sqref="H88"/>
    </sheetView>
  </sheetViews>
  <sheetFormatPr baseColWidth="10" defaultRowHeight="15" x14ac:dyDescent="0"/>
  <cols>
    <col min="1" max="1" width="2.33203125" customWidth="1"/>
    <col min="2" max="4" width="23.6640625" customWidth="1"/>
    <col min="5" max="5" width="47.1640625" customWidth="1"/>
    <col min="8" max="8" width="47.1640625" customWidth="1"/>
  </cols>
  <sheetData>
    <row r="2" spans="2:8">
      <c r="B2" s="35" t="s">
        <v>2</v>
      </c>
      <c r="C2" s="40" t="s">
        <v>12</v>
      </c>
      <c r="D2" s="40" t="s">
        <v>13</v>
      </c>
      <c r="E2" s="40" t="s">
        <v>14</v>
      </c>
      <c r="F2" s="40" t="s">
        <v>15</v>
      </c>
      <c r="G2" s="40" t="s">
        <v>16</v>
      </c>
      <c r="H2" s="36" t="s">
        <v>17</v>
      </c>
    </row>
    <row r="3" spans="2:8">
      <c r="B3" s="28" t="s">
        <v>25</v>
      </c>
      <c r="C3" s="37" t="s">
        <v>28</v>
      </c>
      <c r="D3" s="37" t="s">
        <v>27</v>
      </c>
      <c r="E3" s="37" t="s">
        <v>25</v>
      </c>
      <c r="F3" s="37" t="s">
        <v>26</v>
      </c>
      <c r="G3" s="37" t="s">
        <v>19</v>
      </c>
      <c r="H3" s="29" t="s">
        <v>10</v>
      </c>
    </row>
    <row r="4" spans="2:8">
      <c r="B4" s="30" t="s">
        <v>328</v>
      </c>
      <c r="C4" s="38" t="s">
        <v>28</v>
      </c>
      <c r="D4" s="38" t="s">
        <v>27</v>
      </c>
      <c r="E4" s="38" t="s">
        <v>763</v>
      </c>
      <c r="F4" s="38" t="s">
        <v>328</v>
      </c>
      <c r="G4" s="38" t="s">
        <v>19</v>
      </c>
      <c r="H4" s="31" t="s">
        <v>329</v>
      </c>
    </row>
    <row r="5" spans="2:8">
      <c r="B5" s="30" t="s">
        <v>18</v>
      </c>
      <c r="C5" s="38" t="s">
        <v>28</v>
      </c>
      <c r="D5" s="38" t="s">
        <v>27</v>
      </c>
      <c r="E5" s="38" t="s">
        <v>205</v>
      </c>
      <c r="F5" s="38" t="s">
        <v>18</v>
      </c>
      <c r="G5" s="38" t="s">
        <v>19</v>
      </c>
      <c r="H5" s="31" t="s">
        <v>3</v>
      </c>
    </row>
    <row r="6" spans="2:8">
      <c r="B6" s="30" t="s">
        <v>330</v>
      </c>
      <c r="C6" s="38" t="s">
        <v>28</v>
      </c>
      <c r="D6" s="38" t="s">
        <v>27</v>
      </c>
      <c r="E6" s="38" t="s">
        <v>764</v>
      </c>
      <c r="F6" s="38" t="s">
        <v>765</v>
      </c>
      <c r="G6" s="38" t="s">
        <v>19</v>
      </c>
      <c r="H6" s="31" t="s">
        <v>331</v>
      </c>
    </row>
    <row r="7" spans="2:8">
      <c r="B7" s="30" t="s">
        <v>332</v>
      </c>
      <c r="C7" s="38" t="s">
        <v>28</v>
      </c>
      <c r="D7" s="38" t="s">
        <v>27</v>
      </c>
      <c r="E7" s="38" t="s">
        <v>766</v>
      </c>
      <c r="F7" s="38" t="s">
        <v>332</v>
      </c>
      <c r="G7" s="38" t="s">
        <v>22</v>
      </c>
      <c r="H7" s="31" t="s">
        <v>333</v>
      </c>
    </row>
    <row r="8" spans="2:8">
      <c r="B8" s="30" t="s">
        <v>334</v>
      </c>
      <c r="C8" s="38" t="s">
        <v>28</v>
      </c>
      <c r="D8" s="38" t="s">
        <v>27</v>
      </c>
      <c r="E8" s="38" t="s">
        <v>767</v>
      </c>
      <c r="F8" s="38" t="s">
        <v>334</v>
      </c>
      <c r="G8" s="38" t="s">
        <v>22</v>
      </c>
      <c r="H8" s="31" t="s">
        <v>335</v>
      </c>
    </row>
    <row r="9" spans="2:8">
      <c r="B9" s="30" t="s">
        <v>336</v>
      </c>
      <c r="C9" s="38" t="s">
        <v>28</v>
      </c>
      <c r="D9" s="38" t="s">
        <v>27</v>
      </c>
      <c r="E9" s="38" t="s">
        <v>768</v>
      </c>
      <c r="F9" s="38" t="s">
        <v>769</v>
      </c>
      <c r="G9" s="38" t="s">
        <v>19</v>
      </c>
      <c r="H9" s="31" t="s">
        <v>337</v>
      </c>
    </row>
    <row r="10" spans="2:8">
      <c r="B10" s="32" t="s">
        <v>25</v>
      </c>
      <c r="C10" s="39" t="s">
        <v>28</v>
      </c>
      <c r="D10" s="39" t="s">
        <v>27</v>
      </c>
      <c r="E10" s="39" t="s">
        <v>25</v>
      </c>
      <c r="F10" s="39" t="s">
        <v>26</v>
      </c>
      <c r="G10" s="39" t="s">
        <v>19</v>
      </c>
      <c r="H10" s="34" t="s">
        <v>10</v>
      </c>
    </row>
    <row r="11" spans="2:8">
      <c r="B11" s="28" t="s">
        <v>343</v>
      </c>
      <c r="C11" s="37" t="s">
        <v>29</v>
      </c>
      <c r="D11" s="37"/>
      <c r="E11" s="37" t="s">
        <v>770</v>
      </c>
      <c r="F11" s="37" t="s">
        <v>771</v>
      </c>
      <c r="G11" s="37" t="s">
        <v>19</v>
      </c>
      <c r="H11" s="29" t="s">
        <v>344</v>
      </c>
    </row>
    <row r="12" spans="2:8">
      <c r="B12" s="30" t="s">
        <v>345</v>
      </c>
      <c r="C12" s="38" t="s">
        <v>29</v>
      </c>
      <c r="D12" s="38"/>
      <c r="E12" s="38" t="s">
        <v>345</v>
      </c>
      <c r="F12" s="38" t="s">
        <v>346</v>
      </c>
      <c r="G12" s="38" t="s">
        <v>19</v>
      </c>
      <c r="H12" s="31" t="s">
        <v>347</v>
      </c>
    </row>
    <row r="13" spans="2:8">
      <c r="B13" s="30" t="s">
        <v>338</v>
      </c>
      <c r="C13" s="38" t="s">
        <v>29</v>
      </c>
      <c r="D13" s="38" t="s">
        <v>27</v>
      </c>
      <c r="E13" s="38" t="s">
        <v>772</v>
      </c>
      <c r="F13" s="38" t="s">
        <v>338</v>
      </c>
      <c r="G13" s="38" t="s">
        <v>19</v>
      </c>
      <c r="H13" s="31" t="s">
        <v>339</v>
      </c>
    </row>
    <row r="14" spans="2:8">
      <c r="B14" s="30" t="s">
        <v>340</v>
      </c>
      <c r="C14" s="38" t="s">
        <v>29</v>
      </c>
      <c r="D14" s="38"/>
      <c r="E14" s="38" t="s">
        <v>773</v>
      </c>
      <c r="F14" s="38" t="s">
        <v>341</v>
      </c>
      <c r="G14" s="38" t="s">
        <v>19</v>
      </c>
      <c r="H14" s="31" t="s">
        <v>342</v>
      </c>
    </row>
    <row r="15" spans="2:8">
      <c r="B15" s="30" t="s">
        <v>348</v>
      </c>
      <c r="C15" s="38" t="s">
        <v>29</v>
      </c>
      <c r="D15" s="38" t="s">
        <v>27</v>
      </c>
      <c r="E15" s="38" t="s">
        <v>774</v>
      </c>
      <c r="F15" s="38" t="s">
        <v>348</v>
      </c>
      <c r="G15" s="38" t="s">
        <v>19</v>
      </c>
      <c r="H15" s="31" t="s">
        <v>349</v>
      </c>
    </row>
    <row r="16" spans="2:8">
      <c r="B16" s="30" t="s">
        <v>350</v>
      </c>
      <c r="C16" s="38" t="s">
        <v>29</v>
      </c>
      <c r="D16" s="38" t="s">
        <v>27</v>
      </c>
      <c r="E16" s="38" t="s">
        <v>350</v>
      </c>
      <c r="F16" s="38" t="s">
        <v>350</v>
      </c>
      <c r="G16" s="38" t="s">
        <v>19</v>
      </c>
      <c r="H16" s="31" t="s">
        <v>351</v>
      </c>
    </row>
    <row r="17" spans="2:8">
      <c r="B17" s="30" t="s">
        <v>352</v>
      </c>
      <c r="C17" s="38" t="s">
        <v>29</v>
      </c>
      <c r="D17" s="38"/>
      <c r="E17" s="38" t="s">
        <v>352</v>
      </c>
      <c r="F17" s="38" t="s">
        <v>352</v>
      </c>
      <c r="G17" s="38" t="s">
        <v>19</v>
      </c>
      <c r="H17" s="31" t="s">
        <v>353</v>
      </c>
    </row>
    <row r="18" spans="2:8">
      <c r="B18" s="30" t="s">
        <v>356</v>
      </c>
      <c r="C18" s="38" t="s">
        <v>29</v>
      </c>
      <c r="D18" s="38"/>
      <c r="E18" s="38" t="s">
        <v>775</v>
      </c>
      <c r="F18" s="38" t="s">
        <v>356</v>
      </c>
      <c r="G18" s="38" t="s">
        <v>19</v>
      </c>
      <c r="H18" s="31" t="s">
        <v>357</v>
      </c>
    </row>
    <row r="19" spans="2:8">
      <c r="B19" s="30" t="s">
        <v>354</v>
      </c>
      <c r="C19" s="38" t="s">
        <v>29</v>
      </c>
      <c r="D19" s="38"/>
      <c r="E19" s="38" t="s">
        <v>776</v>
      </c>
      <c r="F19" s="38" t="s">
        <v>354</v>
      </c>
      <c r="G19" s="38" t="s">
        <v>19</v>
      </c>
      <c r="H19" s="31" t="s">
        <v>355</v>
      </c>
    </row>
    <row r="20" spans="2:8">
      <c r="B20" s="30" t="s">
        <v>358</v>
      </c>
      <c r="C20" s="38" t="s">
        <v>29</v>
      </c>
      <c r="D20" s="38"/>
      <c r="E20" s="38" t="s">
        <v>358</v>
      </c>
      <c r="F20" s="38" t="s">
        <v>359</v>
      </c>
      <c r="G20" s="38" t="s">
        <v>360</v>
      </c>
      <c r="H20" s="31" t="s">
        <v>361</v>
      </c>
    </row>
    <row r="21" spans="2:8">
      <c r="B21" s="30" t="s">
        <v>362</v>
      </c>
      <c r="C21" s="38" t="s">
        <v>29</v>
      </c>
      <c r="D21" s="38"/>
      <c r="E21" s="38" t="s">
        <v>777</v>
      </c>
      <c r="F21" s="38" t="s">
        <v>363</v>
      </c>
      <c r="G21" s="38" t="s">
        <v>19</v>
      </c>
      <c r="H21" s="31" t="s">
        <v>364</v>
      </c>
    </row>
    <row r="22" spans="2:8">
      <c r="B22" s="30" t="s">
        <v>365</v>
      </c>
      <c r="C22" s="38" t="s">
        <v>29</v>
      </c>
      <c r="D22" s="38" t="s">
        <v>27</v>
      </c>
      <c r="E22" s="38" t="s">
        <v>365</v>
      </c>
      <c r="F22" s="38" t="s">
        <v>365</v>
      </c>
      <c r="G22" s="38" t="s">
        <v>22</v>
      </c>
      <c r="H22" s="31" t="s">
        <v>366</v>
      </c>
    </row>
    <row r="23" spans="2:8">
      <c r="B23" s="30" t="s">
        <v>367</v>
      </c>
      <c r="C23" s="38" t="s">
        <v>29</v>
      </c>
      <c r="D23" s="38"/>
      <c r="E23" s="38" t="s">
        <v>367</v>
      </c>
      <c r="F23" s="38" t="s">
        <v>368</v>
      </c>
      <c r="G23" s="38" t="s">
        <v>369</v>
      </c>
      <c r="H23" s="31" t="s">
        <v>367</v>
      </c>
    </row>
    <row r="24" spans="2:8">
      <c r="B24" s="30" t="s">
        <v>370</v>
      </c>
      <c r="C24" s="38" t="s">
        <v>29</v>
      </c>
      <c r="D24" s="38"/>
      <c r="E24" s="38" t="s">
        <v>778</v>
      </c>
      <c r="F24" s="38" t="s">
        <v>371</v>
      </c>
      <c r="G24" s="38" t="s">
        <v>19</v>
      </c>
      <c r="H24" s="31" t="s">
        <v>372</v>
      </c>
    </row>
    <row r="25" spans="2:8">
      <c r="B25" s="30" t="s">
        <v>373</v>
      </c>
      <c r="C25" s="38" t="s">
        <v>29</v>
      </c>
      <c r="D25" s="38"/>
      <c r="E25" s="38" t="s">
        <v>779</v>
      </c>
      <c r="F25" s="38" t="s">
        <v>373</v>
      </c>
      <c r="G25" s="38" t="s">
        <v>19</v>
      </c>
      <c r="H25" s="31" t="s">
        <v>374</v>
      </c>
    </row>
    <row r="26" spans="2:8">
      <c r="B26" s="30" t="s">
        <v>375</v>
      </c>
      <c r="C26" s="38" t="s">
        <v>29</v>
      </c>
      <c r="D26" s="38" t="s">
        <v>27</v>
      </c>
      <c r="E26" s="38" t="s">
        <v>375</v>
      </c>
      <c r="F26" s="38" t="s">
        <v>375</v>
      </c>
      <c r="G26" s="38" t="s">
        <v>19</v>
      </c>
      <c r="H26" s="31" t="s">
        <v>376</v>
      </c>
    </row>
    <row r="27" spans="2:8">
      <c r="B27" s="30" t="s">
        <v>377</v>
      </c>
      <c r="C27" s="38" t="s">
        <v>29</v>
      </c>
      <c r="D27" s="38"/>
      <c r="E27" s="38" t="s">
        <v>377</v>
      </c>
      <c r="F27" s="38" t="s">
        <v>780</v>
      </c>
      <c r="G27" s="38" t="s">
        <v>378</v>
      </c>
      <c r="H27" s="31" t="s">
        <v>379</v>
      </c>
    </row>
    <row r="28" spans="2:8">
      <c r="B28" s="30" t="s">
        <v>380</v>
      </c>
      <c r="C28" s="38" t="s">
        <v>29</v>
      </c>
      <c r="D28" s="38"/>
      <c r="E28" s="38" t="s">
        <v>380</v>
      </c>
      <c r="F28" s="38" t="s">
        <v>781</v>
      </c>
      <c r="G28" s="38" t="s">
        <v>378</v>
      </c>
      <c r="H28" s="31" t="s">
        <v>380</v>
      </c>
    </row>
    <row r="29" spans="2:8">
      <c r="B29" s="30" t="s">
        <v>381</v>
      </c>
      <c r="C29" s="38" t="s">
        <v>29</v>
      </c>
      <c r="D29" s="38"/>
      <c r="E29" s="38" t="s">
        <v>381</v>
      </c>
      <c r="F29" s="38" t="s">
        <v>782</v>
      </c>
      <c r="G29" s="38" t="s">
        <v>382</v>
      </c>
      <c r="H29" s="31" t="s">
        <v>381</v>
      </c>
    </row>
    <row r="30" spans="2:8">
      <c r="B30" s="30" t="s">
        <v>383</v>
      </c>
      <c r="C30" s="38" t="s">
        <v>29</v>
      </c>
      <c r="D30" s="38"/>
      <c r="E30" s="38" t="s">
        <v>383</v>
      </c>
      <c r="F30" s="38" t="s">
        <v>783</v>
      </c>
      <c r="G30" s="38" t="s">
        <v>369</v>
      </c>
      <c r="H30" s="31" t="s">
        <v>383</v>
      </c>
    </row>
    <row r="31" spans="2:8">
      <c r="B31" s="30" t="s">
        <v>384</v>
      </c>
      <c r="C31" s="38" t="s">
        <v>29</v>
      </c>
      <c r="D31" s="38" t="s">
        <v>27</v>
      </c>
      <c r="E31" s="38" t="s">
        <v>23</v>
      </c>
      <c r="F31" s="38" t="s">
        <v>23</v>
      </c>
      <c r="G31" s="38" t="s">
        <v>22</v>
      </c>
      <c r="H31" s="31" t="s">
        <v>7</v>
      </c>
    </row>
    <row r="32" spans="2:8">
      <c r="B32" s="30" t="s">
        <v>385</v>
      </c>
      <c r="C32" s="38" t="s">
        <v>29</v>
      </c>
      <c r="D32" s="38" t="s">
        <v>27</v>
      </c>
      <c r="E32" s="38" t="s">
        <v>24</v>
      </c>
      <c r="F32" s="38" t="s">
        <v>24</v>
      </c>
      <c r="G32" s="38" t="s">
        <v>19</v>
      </c>
      <c r="H32" s="31" t="s">
        <v>8</v>
      </c>
    </row>
    <row r="33" spans="2:8">
      <c r="B33" s="30" t="s">
        <v>5029</v>
      </c>
      <c r="C33" s="38" t="s">
        <v>29</v>
      </c>
      <c r="D33" s="38"/>
      <c r="E33" s="38" t="s">
        <v>5029</v>
      </c>
      <c r="F33" s="38" t="s">
        <v>386</v>
      </c>
      <c r="G33" s="38" t="s">
        <v>387</v>
      </c>
      <c r="H33" s="31" t="s">
        <v>5029</v>
      </c>
    </row>
    <row r="34" spans="2:8">
      <c r="B34" s="30" t="s">
        <v>388</v>
      </c>
      <c r="C34" s="38" t="s">
        <v>29</v>
      </c>
      <c r="D34" s="38"/>
      <c r="E34" s="38" t="s">
        <v>388</v>
      </c>
      <c r="F34" s="38" t="s">
        <v>389</v>
      </c>
      <c r="G34" s="38" t="s">
        <v>390</v>
      </c>
      <c r="H34" s="31" t="s">
        <v>391</v>
      </c>
    </row>
    <row r="35" spans="2:8">
      <c r="B35" s="30" t="s">
        <v>392</v>
      </c>
      <c r="C35" s="38" t="s">
        <v>29</v>
      </c>
      <c r="D35" s="38" t="s">
        <v>27</v>
      </c>
      <c r="E35" s="38" t="s">
        <v>392</v>
      </c>
      <c r="F35" s="38" t="s">
        <v>393</v>
      </c>
      <c r="G35" s="38" t="s">
        <v>22</v>
      </c>
      <c r="H35" s="31" t="s">
        <v>394</v>
      </c>
    </row>
    <row r="36" spans="2:8">
      <c r="B36" s="30" t="s">
        <v>395</v>
      </c>
      <c r="C36" s="38" t="s">
        <v>29</v>
      </c>
      <c r="D36" s="38"/>
      <c r="E36" s="38" t="s">
        <v>397</v>
      </c>
      <c r="F36" s="38" t="s">
        <v>396</v>
      </c>
      <c r="G36" s="38" t="s">
        <v>22</v>
      </c>
      <c r="H36" s="31" t="s">
        <v>397</v>
      </c>
    </row>
    <row r="37" spans="2:8">
      <c r="B37" s="30" t="s">
        <v>398</v>
      </c>
      <c r="C37" s="38" t="s">
        <v>29</v>
      </c>
      <c r="D37" s="38"/>
      <c r="E37" s="38" t="s">
        <v>784</v>
      </c>
      <c r="F37" s="38" t="s">
        <v>399</v>
      </c>
      <c r="G37" s="38" t="s">
        <v>19</v>
      </c>
      <c r="H37" s="31" t="s">
        <v>400</v>
      </c>
    </row>
    <row r="38" spans="2:8">
      <c r="B38" s="30" t="s">
        <v>401</v>
      </c>
      <c r="C38" s="38" t="s">
        <v>29</v>
      </c>
      <c r="D38" s="38"/>
      <c r="E38" s="38" t="s">
        <v>785</v>
      </c>
      <c r="F38" s="38" t="s">
        <v>401</v>
      </c>
      <c r="G38" s="38" t="s">
        <v>19</v>
      </c>
      <c r="H38" s="31" t="s">
        <v>402</v>
      </c>
    </row>
    <row r="39" spans="2:8">
      <c r="B39" s="30" t="s">
        <v>403</v>
      </c>
      <c r="C39" s="38" t="s">
        <v>29</v>
      </c>
      <c r="D39" s="38" t="s">
        <v>27</v>
      </c>
      <c r="E39" s="38" t="s">
        <v>786</v>
      </c>
      <c r="F39" s="38" t="s">
        <v>403</v>
      </c>
      <c r="G39" s="38" t="s">
        <v>22</v>
      </c>
      <c r="H39" s="31" t="s">
        <v>404</v>
      </c>
    </row>
    <row r="40" spans="2:8">
      <c r="B40" s="30" t="s">
        <v>405</v>
      </c>
      <c r="C40" s="38" t="s">
        <v>29</v>
      </c>
      <c r="D40" s="38" t="s">
        <v>27</v>
      </c>
      <c r="E40" s="38" t="s">
        <v>787</v>
      </c>
      <c r="F40" s="38" t="s">
        <v>405</v>
      </c>
      <c r="G40" s="38" t="s">
        <v>22</v>
      </c>
      <c r="H40" s="31" t="s">
        <v>406</v>
      </c>
    </row>
    <row r="41" spans="2:8">
      <c r="B41" s="30" t="s">
        <v>410</v>
      </c>
      <c r="C41" s="38" t="s">
        <v>29</v>
      </c>
      <c r="D41" s="38"/>
      <c r="E41" s="38" t="s">
        <v>788</v>
      </c>
      <c r="F41" s="38" t="s">
        <v>410</v>
      </c>
      <c r="G41" s="38" t="s">
        <v>19</v>
      </c>
      <c r="H41" s="31" t="s">
        <v>411</v>
      </c>
    </row>
    <row r="42" spans="2:8">
      <c r="B42" s="30" t="s">
        <v>407</v>
      </c>
      <c r="C42" s="38" t="s">
        <v>29</v>
      </c>
      <c r="D42" s="38"/>
      <c r="E42" s="38" t="s">
        <v>407</v>
      </c>
      <c r="F42" s="38" t="s">
        <v>408</v>
      </c>
      <c r="G42" s="38" t="s">
        <v>19</v>
      </c>
      <c r="H42" s="31" t="s">
        <v>409</v>
      </c>
    </row>
    <row r="43" spans="2:8">
      <c r="B43" s="30" t="s">
        <v>412</v>
      </c>
      <c r="C43" s="38" t="s">
        <v>29</v>
      </c>
      <c r="D43" s="38"/>
      <c r="E43" s="38" t="s">
        <v>789</v>
      </c>
      <c r="F43" s="38" t="s">
        <v>412</v>
      </c>
      <c r="G43" s="38" t="s">
        <v>19</v>
      </c>
      <c r="H43" s="31" t="s">
        <v>413</v>
      </c>
    </row>
    <row r="44" spans="2:8">
      <c r="B44" s="30" t="s">
        <v>414</v>
      </c>
      <c r="C44" s="38" t="s">
        <v>29</v>
      </c>
      <c r="D44" s="38"/>
      <c r="E44" s="38" t="s">
        <v>790</v>
      </c>
      <c r="F44" s="38" t="s">
        <v>415</v>
      </c>
      <c r="G44" s="38" t="s">
        <v>19</v>
      </c>
      <c r="H44" s="31" t="s">
        <v>414</v>
      </c>
    </row>
    <row r="45" spans="2:8">
      <c r="B45" s="32" t="s">
        <v>416</v>
      </c>
      <c r="C45" s="39" t="s">
        <v>29</v>
      </c>
      <c r="D45" s="39"/>
      <c r="E45" s="39" t="s">
        <v>416</v>
      </c>
      <c r="F45" s="39" t="s">
        <v>417</v>
      </c>
      <c r="G45" s="39" t="s">
        <v>22</v>
      </c>
      <c r="H45" s="34" t="s">
        <v>418</v>
      </c>
    </row>
    <row r="46" spans="2:8">
      <c r="B46" s="28" t="s">
        <v>419</v>
      </c>
      <c r="C46" s="37" t="s">
        <v>30</v>
      </c>
      <c r="D46" s="37"/>
      <c r="E46" s="37" t="s">
        <v>419</v>
      </c>
      <c r="F46" s="37" t="s">
        <v>420</v>
      </c>
      <c r="G46" s="37" t="s">
        <v>421</v>
      </c>
      <c r="H46" s="29" t="s">
        <v>422</v>
      </c>
    </row>
    <row r="47" spans="2:8">
      <c r="B47" s="30" t="s">
        <v>423</v>
      </c>
      <c r="C47" s="38" t="s">
        <v>30</v>
      </c>
      <c r="D47" s="38"/>
      <c r="E47" s="38" t="s">
        <v>423</v>
      </c>
      <c r="F47" s="38" t="s">
        <v>424</v>
      </c>
      <c r="G47" s="38" t="s">
        <v>19</v>
      </c>
      <c r="H47" s="31" t="s">
        <v>425</v>
      </c>
    </row>
    <row r="48" spans="2:8">
      <c r="B48" s="30" t="s">
        <v>426</v>
      </c>
      <c r="C48" s="38" t="s">
        <v>30</v>
      </c>
      <c r="D48" s="38"/>
      <c r="E48" s="38" t="s">
        <v>791</v>
      </c>
      <c r="F48" s="38" t="s">
        <v>427</v>
      </c>
      <c r="G48" s="38" t="s">
        <v>428</v>
      </c>
      <c r="H48" s="31" t="s">
        <v>429</v>
      </c>
    </row>
    <row r="49" spans="2:8">
      <c r="B49" s="30" t="s">
        <v>430</v>
      </c>
      <c r="C49" s="38" t="s">
        <v>30</v>
      </c>
      <c r="D49" s="38"/>
      <c r="E49" s="38" t="s">
        <v>430</v>
      </c>
      <c r="F49" s="38" t="s">
        <v>431</v>
      </c>
      <c r="G49" s="38" t="s">
        <v>382</v>
      </c>
      <c r="H49" s="31" t="s">
        <v>432</v>
      </c>
    </row>
    <row r="50" spans="2:8">
      <c r="B50" s="30" t="s">
        <v>433</v>
      </c>
      <c r="C50" s="38" t="s">
        <v>30</v>
      </c>
      <c r="D50" s="38"/>
      <c r="E50" s="38" t="s">
        <v>433</v>
      </c>
      <c r="F50" s="38" t="s">
        <v>434</v>
      </c>
      <c r="G50" s="38" t="s">
        <v>387</v>
      </c>
      <c r="H50" s="31" t="s">
        <v>435</v>
      </c>
    </row>
    <row r="51" spans="2:8">
      <c r="B51" s="30" t="s">
        <v>436</v>
      </c>
      <c r="C51" s="38" t="s">
        <v>30</v>
      </c>
      <c r="D51" s="38"/>
      <c r="E51" s="38" t="s">
        <v>436</v>
      </c>
      <c r="F51" s="38" t="s">
        <v>437</v>
      </c>
      <c r="G51" s="38" t="s">
        <v>19</v>
      </c>
      <c r="H51" s="31" t="s">
        <v>438</v>
      </c>
    </row>
    <row r="52" spans="2:8">
      <c r="B52" s="30" t="s">
        <v>449</v>
      </c>
      <c r="C52" s="38" t="s">
        <v>30</v>
      </c>
      <c r="D52" s="38"/>
      <c r="E52" s="38" t="s">
        <v>449</v>
      </c>
      <c r="F52" s="38" t="s">
        <v>450</v>
      </c>
      <c r="G52" s="38" t="s">
        <v>19</v>
      </c>
      <c r="H52" s="31" t="s">
        <v>451</v>
      </c>
    </row>
    <row r="53" spans="2:8">
      <c r="B53" s="30" t="s">
        <v>452</v>
      </c>
      <c r="C53" s="38" t="s">
        <v>30</v>
      </c>
      <c r="D53" s="38" t="s">
        <v>27</v>
      </c>
      <c r="E53" s="38" t="s">
        <v>20</v>
      </c>
      <c r="F53" s="38" t="s">
        <v>21</v>
      </c>
      <c r="G53" s="38" t="s">
        <v>22</v>
      </c>
      <c r="H53" s="31" t="s">
        <v>6</v>
      </c>
    </row>
    <row r="54" spans="2:8">
      <c r="B54" s="30" t="s">
        <v>453</v>
      </c>
      <c r="C54" s="38" t="s">
        <v>30</v>
      </c>
      <c r="D54" s="38"/>
      <c r="E54" s="38" t="s">
        <v>455</v>
      </c>
      <c r="F54" s="38" t="s">
        <v>454</v>
      </c>
      <c r="G54" s="38" t="s">
        <v>382</v>
      </c>
      <c r="H54" s="31" t="s">
        <v>455</v>
      </c>
    </row>
    <row r="55" spans="2:8">
      <c r="B55" s="30" t="s">
        <v>456</v>
      </c>
      <c r="C55" s="38" t="s">
        <v>30</v>
      </c>
      <c r="D55" s="38"/>
      <c r="E55" s="38" t="s">
        <v>456</v>
      </c>
      <c r="F55" s="38" t="s">
        <v>457</v>
      </c>
      <c r="G55" s="38" t="s">
        <v>22</v>
      </c>
      <c r="H55" s="31" t="s">
        <v>458</v>
      </c>
    </row>
    <row r="56" spans="2:8">
      <c r="B56" s="30" t="s">
        <v>257</v>
      </c>
      <c r="C56" s="38" t="s">
        <v>30</v>
      </c>
      <c r="D56" s="38" t="s">
        <v>27</v>
      </c>
      <c r="E56" s="38" t="s">
        <v>792</v>
      </c>
      <c r="F56" s="38" t="s">
        <v>257</v>
      </c>
      <c r="G56" s="38" t="s">
        <v>19</v>
      </c>
      <c r="H56" s="31" t="s">
        <v>439</v>
      </c>
    </row>
    <row r="57" spans="2:8">
      <c r="B57" s="30" t="s">
        <v>440</v>
      </c>
      <c r="C57" s="38" t="s">
        <v>30</v>
      </c>
      <c r="D57" s="38"/>
      <c r="E57" s="38" t="s">
        <v>793</v>
      </c>
      <c r="F57" s="38" t="s">
        <v>441</v>
      </c>
      <c r="G57" s="38" t="s">
        <v>442</v>
      </c>
      <c r="H57" s="31" t="s">
        <v>440</v>
      </c>
    </row>
    <row r="58" spans="2:8">
      <c r="B58" s="30" t="s">
        <v>459</v>
      </c>
      <c r="C58" s="38" t="s">
        <v>30</v>
      </c>
      <c r="D58" s="38" t="s">
        <v>27</v>
      </c>
      <c r="E58" s="38" t="s">
        <v>794</v>
      </c>
      <c r="F58" s="38" t="s">
        <v>459</v>
      </c>
      <c r="G58" s="38" t="s">
        <v>19</v>
      </c>
      <c r="H58" s="31" t="s">
        <v>460</v>
      </c>
    </row>
    <row r="59" spans="2:8">
      <c r="B59" s="30" t="s">
        <v>461</v>
      </c>
      <c r="C59" s="38" t="s">
        <v>30</v>
      </c>
      <c r="D59" s="38"/>
      <c r="E59" s="38" t="s">
        <v>795</v>
      </c>
      <c r="F59" s="38" t="s">
        <v>461</v>
      </c>
      <c r="G59" s="38" t="s">
        <v>19</v>
      </c>
      <c r="H59" s="31" t="s">
        <v>462</v>
      </c>
    </row>
    <row r="60" spans="2:8">
      <c r="B60" s="30" t="s">
        <v>463</v>
      </c>
      <c r="C60" s="38" t="s">
        <v>30</v>
      </c>
      <c r="D60" s="38" t="s">
        <v>27</v>
      </c>
      <c r="E60" s="38" t="s">
        <v>796</v>
      </c>
      <c r="F60" s="38" t="s">
        <v>463</v>
      </c>
      <c r="G60" s="38" t="s">
        <v>22</v>
      </c>
      <c r="H60" s="31" t="s">
        <v>464</v>
      </c>
    </row>
    <row r="61" spans="2:8">
      <c r="B61" s="30" t="s">
        <v>443</v>
      </c>
      <c r="C61" s="38" t="s">
        <v>30</v>
      </c>
      <c r="D61" s="38" t="s">
        <v>27</v>
      </c>
      <c r="E61" s="38" t="s">
        <v>797</v>
      </c>
      <c r="F61" s="38" t="s">
        <v>443</v>
      </c>
      <c r="G61" s="38" t="s">
        <v>19</v>
      </c>
      <c r="H61" s="31" t="s">
        <v>444</v>
      </c>
    </row>
    <row r="62" spans="2:8">
      <c r="B62" s="30" t="s">
        <v>445</v>
      </c>
      <c r="C62" s="38" t="s">
        <v>30</v>
      </c>
      <c r="D62" s="38"/>
      <c r="E62" s="38" t="s">
        <v>798</v>
      </c>
      <c r="F62" s="38" t="s">
        <v>446</v>
      </c>
      <c r="G62" s="38" t="s">
        <v>447</v>
      </c>
      <c r="H62" s="31" t="s">
        <v>448</v>
      </c>
    </row>
    <row r="63" spans="2:8">
      <c r="B63" s="30" t="s">
        <v>467</v>
      </c>
      <c r="C63" s="38" t="s">
        <v>30</v>
      </c>
      <c r="D63" s="38"/>
      <c r="E63" s="38" t="s">
        <v>467</v>
      </c>
      <c r="F63" s="38" t="s">
        <v>468</v>
      </c>
      <c r="G63" s="38" t="s">
        <v>22</v>
      </c>
      <c r="H63" s="31" t="s">
        <v>469</v>
      </c>
    </row>
    <row r="64" spans="2:8">
      <c r="B64" s="30" t="s">
        <v>465</v>
      </c>
      <c r="C64" s="38" t="s">
        <v>30</v>
      </c>
      <c r="D64" s="38"/>
      <c r="E64" s="38" t="s">
        <v>5031</v>
      </c>
      <c r="F64" s="38" t="s">
        <v>466</v>
      </c>
      <c r="G64" s="38" t="s">
        <v>369</v>
      </c>
      <c r="H64" s="31" t="s">
        <v>465</v>
      </c>
    </row>
    <row r="65" spans="2:8">
      <c r="B65" s="30" t="s">
        <v>470</v>
      </c>
      <c r="C65" s="38" t="s">
        <v>30</v>
      </c>
      <c r="D65" s="38"/>
      <c r="E65" s="38" t="s">
        <v>470</v>
      </c>
      <c r="F65" s="38" t="s">
        <v>471</v>
      </c>
      <c r="G65" s="38" t="s">
        <v>472</v>
      </c>
      <c r="H65" s="31" t="s">
        <v>473</v>
      </c>
    </row>
    <row r="66" spans="2:8">
      <c r="B66" s="30" t="s">
        <v>474</v>
      </c>
      <c r="C66" s="38" t="s">
        <v>30</v>
      </c>
      <c r="D66" s="38"/>
      <c r="E66" s="38" t="s">
        <v>474</v>
      </c>
      <c r="F66" s="38" t="s">
        <v>475</v>
      </c>
      <c r="G66" s="38" t="s">
        <v>19</v>
      </c>
      <c r="H66" s="31" t="s">
        <v>476</v>
      </c>
    </row>
    <row r="67" spans="2:8">
      <c r="B67" s="30" t="s">
        <v>477</v>
      </c>
      <c r="C67" s="38" t="s">
        <v>30</v>
      </c>
      <c r="D67" s="38"/>
      <c r="E67" s="38" t="s">
        <v>477</v>
      </c>
      <c r="F67" s="38" t="s">
        <v>478</v>
      </c>
      <c r="G67" s="38" t="s">
        <v>19</v>
      </c>
      <c r="H67" s="31" t="s">
        <v>477</v>
      </c>
    </row>
    <row r="68" spans="2:8">
      <c r="B68" s="30" t="s">
        <v>479</v>
      </c>
      <c r="C68" s="38" t="s">
        <v>30</v>
      </c>
      <c r="D68" s="38"/>
      <c r="E68" s="38" t="s">
        <v>479</v>
      </c>
      <c r="F68" s="38" t="s">
        <v>799</v>
      </c>
      <c r="G68" s="38" t="s">
        <v>19</v>
      </c>
      <c r="H68" s="31" t="s">
        <v>480</v>
      </c>
    </row>
    <row r="69" spans="2:8">
      <c r="B69" s="30" t="s">
        <v>481</v>
      </c>
      <c r="C69" s="38" t="s">
        <v>30</v>
      </c>
      <c r="D69" s="38"/>
      <c r="E69" s="38" t="s">
        <v>481</v>
      </c>
      <c r="F69" s="38" t="s">
        <v>482</v>
      </c>
      <c r="G69" s="38" t="s">
        <v>382</v>
      </c>
      <c r="H69" s="31" t="s">
        <v>483</v>
      </c>
    </row>
    <row r="70" spans="2:8">
      <c r="B70" s="30" t="s">
        <v>484</v>
      </c>
      <c r="C70" s="38" t="s">
        <v>30</v>
      </c>
      <c r="D70" s="38"/>
      <c r="E70" s="38" t="s">
        <v>800</v>
      </c>
      <c r="F70" s="38" t="s">
        <v>485</v>
      </c>
      <c r="G70" s="38" t="s">
        <v>382</v>
      </c>
      <c r="H70" s="31" t="s">
        <v>486</v>
      </c>
    </row>
    <row r="71" spans="2:8">
      <c r="B71" s="30" t="s">
        <v>487</v>
      </c>
      <c r="C71" s="38" t="s">
        <v>30</v>
      </c>
      <c r="D71" s="38"/>
      <c r="E71" s="38" t="s">
        <v>487</v>
      </c>
      <c r="F71" s="38" t="s">
        <v>488</v>
      </c>
      <c r="G71" s="38" t="s">
        <v>360</v>
      </c>
      <c r="H71" s="31" t="s">
        <v>489</v>
      </c>
    </row>
    <row r="72" spans="2:8">
      <c r="B72" s="30" t="s">
        <v>490</v>
      </c>
      <c r="C72" s="38" t="s">
        <v>30</v>
      </c>
      <c r="D72" s="38"/>
      <c r="E72" s="38" t="s">
        <v>490</v>
      </c>
      <c r="F72" s="38" t="s">
        <v>491</v>
      </c>
      <c r="G72" s="38" t="s">
        <v>492</v>
      </c>
      <c r="H72" s="31" t="s">
        <v>490</v>
      </c>
    </row>
    <row r="73" spans="2:8">
      <c r="B73" s="30" t="s">
        <v>493</v>
      </c>
      <c r="C73" s="38" t="s">
        <v>30</v>
      </c>
      <c r="D73" s="38"/>
      <c r="E73" s="38" t="s">
        <v>801</v>
      </c>
      <c r="F73" s="38" t="s">
        <v>494</v>
      </c>
      <c r="G73" s="38" t="s">
        <v>495</v>
      </c>
      <c r="H73" s="31" t="s">
        <v>496</v>
      </c>
    </row>
    <row r="74" spans="2:8">
      <c r="B74" s="30" t="s">
        <v>497</v>
      </c>
      <c r="C74" s="38" t="s">
        <v>30</v>
      </c>
      <c r="D74" s="38"/>
      <c r="E74" s="38" t="s">
        <v>497</v>
      </c>
      <c r="F74" s="38" t="s">
        <v>498</v>
      </c>
      <c r="G74" s="38" t="s">
        <v>495</v>
      </c>
      <c r="H74" s="31" t="s">
        <v>499</v>
      </c>
    </row>
    <row r="75" spans="2:8">
      <c r="B75" s="30" t="s">
        <v>507</v>
      </c>
      <c r="C75" s="38" t="s">
        <v>30</v>
      </c>
      <c r="D75" s="38" t="s">
        <v>27</v>
      </c>
      <c r="E75" s="38" t="s">
        <v>802</v>
      </c>
      <c r="F75" s="38" t="s">
        <v>507</v>
      </c>
      <c r="G75" s="38" t="s">
        <v>22</v>
      </c>
      <c r="H75" s="31" t="s">
        <v>508</v>
      </c>
    </row>
    <row r="76" spans="2:8">
      <c r="B76" s="30" t="s">
        <v>500</v>
      </c>
      <c r="C76" s="38" t="s">
        <v>30</v>
      </c>
      <c r="D76" s="38"/>
      <c r="E76" s="38" t="s">
        <v>500</v>
      </c>
      <c r="F76" s="38" t="s">
        <v>501</v>
      </c>
      <c r="G76" s="38" t="s">
        <v>387</v>
      </c>
      <c r="H76" s="31" t="s">
        <v>502</v>
      </c>
    </row>
    <row r="77" spans="2:8">
      <c r="B77" s="30" t="s">
        <v>509</v>
      </c>
      <c r="C77" s="38" t="s">
        <v>30</v>
      </c>
      <c r="D77" s="38"/>
      <c r="E77" s="38" t="s">
        <v>803</v>
      </c>
      <c r="F77" s="38" t="s">
        <v>510</v>
      </c>
      <c r="G77" s="38" t="s">
        <v>505</v>
      </c>
      <c r="H77" s="31" t="s">
        <v>511</v>
      </c>
    </row>
    <row r="78" spans="2:8">
      <c r="B78" s="30" t="s">
        <v>512</v>
      </c>
      <c r="C78" s="38" t="s">
        <v>30</v>
      </c>
      <c r="D78" s="38"/>
      <c r="E78" s="38" t="s">
        <v>804</v>
      </c>
      <c r="F78" s="38" t="s">
        <v>513</v>
      </c>
      <c r="G78" s="38" t="s">
        <v>19</v>
      </c>
      <c r="H78" s="31" t="s">
        <v>514</v>
      </c>
    </row>
    <row r="79" spans="2:8">
      <c r="B79" s="30" t="s">
        <v>503</v>
      </c>
      <c r="C79" s="38" t="s">
        <v>30</v>
      </c>
      <c r="D79" s="38"/>
      <c r="E79" s="38" t="s">
        <v>503</v>
      </c>
      <c r="F79" s="38" t="s">
        <v>504</v>
      </c>
      <c r="G79" s="38" t="s">
        <v>505</v>
      </c>
      <c r="H79" s="31" t="s">
        <v>506</v>
      </c>
    </row>
    <row r="80" spans="2:8">
      <c r="B80" s="30" t="s">
        <v>515</v>
      </c>
      <c r="C80" s="38" t="s">
        <v>30</v>
      </c>
      <c r="D80" s="38"/>
      <c r="E80" s="38" t="s">
        <v>515</v>
      </c>
      <c r="F80" s="38" t="s">
        <v>516</v>
      </c>
      <c r="G80" s="38" t="s">
        <v>442</v>
      </c>
      <c r="H80" s="31" t="s">
        <v>517</v>
      </c>
    </row>
    <row r="81" spans="2:8">
      <c r="B81" s="30" t="s">
        <v>518</v>
      </c>
      <c r="C81" s="38" t="s">
        <v>30</v>
      </c>
      <c r="D81" s="38"/>
      <c r="E81" s="38" t="s">
        <v>805</v>
      </c>
      <c r="F81" s="38" t="s">
        <v>519</v>
      </c>
      <c r="G81" s="38" t="s">
        <v>382</v>
      </c>
      <c r="H81" s="31" t="s">
        <v>520</v>
      </c>
    </row>
    <row r="82" spans="2:8">
      <c r="B82" s="30" t="s">
        <v>523</v>
      </c>
      <c r="C82" s="38" t="s">
        <v>30</v>
      </c>
      <c r="D82" s="38"/>
      <c r="E82" s="38" t="s">
        <v>523</v>
      </c>
      <c r="F82" s="38" t="s">
        <v>524</v>
      </c>
      <c r="G82" s="38" t="s">
        <v>360</v>
      </c>
      <c r="H82" s="31" t="s">
        <v>525</v>
      </c>
    </row>
    <row r="83" spans="2:8">
      <c r="B83" s="30" t="s">
        <v>526</v>
      </c>
      <c r="C83" s="38" t="s">
        <v>30</v>
      </c>
      <c r="D83" s="38"/>
      <c r="E83" s="38" t="s">
        <v>526</v>
      </c>
      <c r="F83" s="38" t="s">
        <v>527</v>
      </c>
      <c r="G83" s="38" t="s">
        <v>528</v>
      </c>
      <c r="H83" s="31" t="s">
        <v>526</v>
      </c>
    </row>
    <row r="84" spans="2:8">
      <c r="B84" s="30" t="s">
        <v>529</v>
      </c>
      <c r="C84" s="38" t="s">
        <v>30</v>
      </c>
      <c r="D84" s="38"/>
      <c r="E84" s="38" t="s">
        <v>529</v>
      </c>
      <c r="F84" s="38" t="s">
        <v>530</v>
      </c>
      <c r="G84" s="38" t="s">
        <v>22</v>
      </c>
      <c r="H84" s="31" t="s">
        <v>531</v>
      </c>
    </row>
    <row r="85" spans="2:8">
      <c r="B85" s="30" t="s">
        <v>521</v>
      </c>
      <c r="C85" s="38" t="s">
        <v>30</v>
      </c>
      <c r="D85" s="38"/>
      <c r="E85" s="38" t="s">
        <v>806</v>
      </c>
      <c r="F85" s="38" t="s">
        <v>521</v>
      </c>
      <c r="G85" s="38" t="s">
        <v>19</v>
      </c>
      <c r="H85" s="31" t="s">
        <v>522</v>
      </c>
    </row>
    <row r="86" spans="2:8">
      <c r="B86" s="30" t="s">
        <v>532</v>
      </c>
      <c r="C86" s="38" t="s">
        <v>30</v>
      </c>
      <c r="D86" s="38"/>
      <c r="E86" s="38" t="s">
        <v>532</v>
      </c>
      <c r="F86" s="38" t="s">
        <v>533</v>
      </c>
      <c r="G86" s="38" t="s">
        <v>360</v>
      </c>
      <c r="H86" s="31" t="s">
        <v>534</v>
      </c>
    </row>
    <row r="87" spans="2:8">
      <c r="B87" s="30" t="s">
        <v>535</v>
      </c>
      <c r="C87" s="38" t="s">
        <v>30</v>
      </c>
      <c r="D87" s="38"/>
      <c r="E87" s="38" t="s">
        <v>535</v>
      </c>
      <c r="F87" s="38" t="s">
        <v>807</v>
      </c>
      <c r="G87" s="38" t="s">
        <v>19</v>
      </c>
      <c r="H87" s="31" t="s">
        <v>536</v>
      </c>
    </row>
    <row r="88" spans="2:8">
      <c r="B88" s="30" t="s">
        <v>537</v>
      </c>
      <c r="C88" s="38" t="s">
        <v>30</v>
      </c>
      <c r="D88" s="38"/>
      <c r="E88" s="38" t="s">
        <v>537</v>
      </c>
      <c r="F88" s="38" t="s">
        <v>538</v>
      </c>
      <c r="G88" s="38" t="s">
        <v>19</v>
      </c>
      <c r="H88" s="31" t="s">
        <v>539</v>
      </c>
    </row>
    <row r="89" spans="2:8">
      <c r="B89" s="30" t="s">
        <v>540</v>
      </c>
      <c r="C89" s="38" t="s">
        <v>30</v>
      </c>
      <c r="D89" s="38"/>
      <c r="E89" s="38" t="s">
        <v>808</v>
      </c>
      <c r="F89" s="38" t="s">
        <v>541</v>
      </c>
      <c r="G89" s="38" t="s">
        <v>542</v>
      </c>
      <c r="H89" s="31" t="s">
        <v>540</v>
      </c>
    </row>
    <row r="90" spans="2:8">
      <c r="B90" s="30" t="s">
        <v>543</v>
      </c>
      <c r="C90" s="38" t="s">
        <v>30</v>
      </c>
      <c r="D90" s="38"/>
      <c r="E90" s="38" t="s">
        <v>543</v>
      </c>
      <c r="F90" s="38" t="s">
        <v>544</v>
      </c>
      <c r="G90" s="38" t="s">
        <v>19</v>
      </c>
      <c r="H90" s="31" t="s">
        <v>545</v>
      </c>
    </row>
    <row r="91" spans="2:8">
      <c r="B91" s="30" t="s">
        <v>546</v>
      </c>
      <c r="C91" s="38" t="s">
        <v>30</v>
      </c>
      <c r="D91" s="38"/>
      <c r="E91" s="38" t="s">
        <v>546</v>
      </c>
      <c r="F91" s="38" t="s">
        <v>547</v>
      </c>
      <c r="G91" s="38" t="s">
        <v>19</v>
      </c>
      <c r="H91" s="31" t="s">
        <v>548</v>
      </c>
    </row>
    <row r="92" spans="2:8">
      <c r="B92" s="30" t="s">
        <v>549</v>
      </c>
      <c r="C92" s="38" t="s">
        <v>30</v>
      </c>
      <c r="D92" s="38"/>
      <c r="E92" s="38" t="s">
        <v>549</v>
      </c>
      <c r="F92" s="38" t="s">
        <v>550</v>
      </c>
      <c r="G92" s="38" t="s">
        <v>19</v>
      </c>
      <c r="H92" s="31" t="s">
        <v>551</v>
      </c>
    </row>
    <row r="93" spans="2:8">
      <c r="B93" s="30" t="s">
        <v>552</v>
      </c>
      <c r="C93" s="38" t="s">
        <v>30</v>
      </c>
      <c r="D93" s="38"/>
      <c r="E93" s="38" t="s">
        <v>552</v>
      </c>
      <c r="F93" s="38" t="s">
        <v>553</v>
      </c>
      <c r="G93" s="38" t="s">
        <v>22</v>
      </c>
      <c r="H93" s="31" t="s">
        <v>554</v>
      </c>
    </row>
    <row r="94" spans="2:8">
      <c r="B94" s="30" t="s">
        <v>555</v>
      </c>
      <c r="C94" s="38" t="s">
        <v>30</v>
      </c>
      <c r="D94" s="38"/>
      <c r="E94" s="38" t="s">
        <v>809</v>
      </c>
      <c r="F94" s="38" t="s">
        <v>556</v>
      </c>
      <c r="G94" s="38" t="s">
        <v>542</v>
      </c>
      <c r="H94" s="31" t="s">
        <v>555</v>
      </c>
    </row>
    <row r="95" spans="2:8">
      <c r="B95" s="30" t="s">
        <v>557</v>
      </c>
      <c r="C95" s="38" t="s">
        <v>30</v>
      </c>
      <c r="D95" s="38"/>
      <c r="E95" s="38" t="s">
        <v>557</v>
      </c>
      <c r="F95" s="38" t="s">
        <v>558</v>
      </c>
      <c r="G95" s="38" t="s">
        <v>22</v>
      </c>
      <c r="H95" s="31" t="s">
        <v>559</v>
      </c>
    </row>
    <row r="96" spans="2:8">
      <c r="B96" s="30" t="s">
        <v>560</v>
      </c>
      <c r="C96" s="38" t="s">
        <v>30</v>
      </c>
      <c r="D96" s="38"/>
      <c r="E96" s="38" t="s">
        <v>563</v>
      </c>
      <c r="F96" s="38" t="s">
        <v>561</v>
      </c>
      <c r="G96" s="38" t="s">
        <v>562</v>
      </c>
      <c r="H96" s="31" t="s">
        <v>563</v>
      </c>
    </row>
    <row r="97" spans="2:8">
      <c r="B97" s="30" t="s">
        <v>265</v>
      </c>
      <c r="C97" s="38" t="s">
        <v>30</v>
      </c>
      <c r="D97" s="38" t="s">
        <v>27</v>
      </c>
      <c r="E97" s="38" t="s">
        <v>810</v>
      </c>
      <c r="F97" s="38" t="s">
        <v>564</v>
      </c>
      <c r="G97" s="38" t="s">
        <v>19</v>
      </c>
      <c r="H97" s="31" t="s">
        <v>565</v>
      </c>
    </row>
    <row r="98" spans="2:8">
      <c r="B98" s="30" t="s">
        <v>566</v>
      </c>
      <c r="C98" s="38" t="s">
        <v>30</v>
      </c>
      <c r="D98" s="38"/>
      <c r="E98" s="38" t="s">
        <v>811</v>
      </c>
      <c r="F98" s="38" t="s">
        <v>567</v>
      </c>
      <c r="G98" s="38" t="s">
        <v>19</v>
      </c>
      <c r="H98" s="31" t="s">
        <v>566</v>
      </c>
    </row>
    <row r="99" spans="2:8">
      <c r="B99" s="30" t="s">
        <v>568</v>
      </c>
      <c r="C99" s="38" t="s">
        <v>30</v>
      </c>
      <c r="D99" s="38"/>
      <c r="E99" s="38" t="s">
        <v>568</v>
      </c>
      <c r="F99" s="38" t="s">
        <v>568</v>
      </c>
      <c r="G99" s="38" t="s">
        <v>19</v>
      </c>
      <c r="H99" s="31" t="s">
        <v>569</v>
      </c>
    </row>
    <row r="100" spans="2:8">
      <c r="B100" s="30" t="s">
        <v>570</v>
      </c>
      <c r="C100" s="38" t="s">
        <v>30</v>
      </c>
      <c r="D100" s="38"/>
      <c r="E100" s="38" t="s">
        <v>812</v>
      </c>
      <c r="F100" s="38" t="s">
        <v>571</v>
      </c>
      <c r="G100" s="38" t="s">
        <v>22</v>
      </c>
      <c r="H100" s="31" t="s">
        <v>572</v>
      </c>
    </row>
    <row r="101" spans="2:8">
      <c r="B101" s="30" t="s">
        <v>573</v>
      </c>
      <c r="C101" s="38" t="s">
        <v>30</v>
      </c>
      <c r="D101" s="38"/>
      <c r="E101" s="38" t="s">
        <v>573</v>
      </c>
      <c r="F101" s="38" t="s">
        <v>574</v>
      </c>
      <c r="G101" s="38" t="s">
        <v>22</v>
      </c>
      <c r="H101" s="31" t="s">
        <v>575</v>
      </c>
    </row>
    <row r="102" spans="2:8">
      <c r="B102" s="30" t="s">
        <v>576</v>
      </c>
      <c r="C102" s="38" t="s">
        <v>30</v>
      </c>
      <c r="D102" s="38" t="s">
        <v>27</v>
      </c>
      <c r="E102" s="38" t="s">
        <v>813</v>
      </c>
      <c r="F102" s="38" t="s">
        <v>576</v>
      </c>
      <c r="G102" s="38" t="s">
        <v>22</v>
      </c>
      <c r="H102" s="31" t="s">
        <v>577</v>
      </c>
    </row>
    <row r="103" spans="2:8">
      <c r="B103" s="30" t="s">
        <v>250</v>
      </c>
      <c r="C103" s="38" t="s">
        <v>30</v>
      </c>
      <c r="D103" s="38" t="s">
        <v>27</v>
      </c>
      <c r="E103" s="38" t="s">
        <v>814</v>
      </c>
      <c r="F103" s="38" t="s">
        <v>250</v>
      </c>
      <c r="G103" s="38" t="s">
        <v>19</v>
      </c>
      <c r="H103" s="31" t="s">
        <v>578</v>
      </c>
    </row>
    <row r="104" spans="2:8">
      <c r="B104" s="30" t="s">
        <v>5033</v>
      </c>
      <c r="C104" s="38" t="s">
        <v>30</v>
      </c>
      <c r="D104" s="38"/>
      <c r="E104" s="38" t="s">
        <v>5033</v>
      </c>
      <c r="F104" s="38" t="s">
        <v>579</v>
      </c>
      <c r="G104" s="38" t="s">
        <v>360</v>
      </c>
      <c r="H104" s="31" t="s">
        <v>5032</v>
      </c>
    </row>
    <row r="105" spans="2:8">
      <c r="B105" s="30" t="s">
        <v>580</v>
      </c>
      <c r="C105" s="38" t="s">
        <v>30</v>
      </c>
      <c r="D105" s="38"/>
      <c r="E105" s="38" t="s">
        <v>815</v>
      </c>
      <c r="F105" s="38" t="s">
        <v>581</v>
      </c>
      <c r="G105" s="38" t="s">
        <v>19</v>
      </c>
      <c r="H105" s="31" t="s">
        <v>582</v>
      </c>
    </row>
    <row r="106" spans="2:8">
      <c r="B106" s="30" t="s">
        <v>583</v>
      </c>
      <c r="C106" s="38" t="s">
        <v>30</v>
      </c>
      <c r="D106" s="38"/>
      <c r="E106" s="38" t="s">
        <v>816</v>
      </c>
      <c r="F106" s="38" t="s">
        <v>584</v>
      </c>
      <c r="G106" s="38" t="s">
        <v>492</v>
      </c>
      <c r="H106" s="31" t="s">
        <v>583</v>
      </c>
    </row>
    <row r="107" spans="2:8">
      <c r="B107" s="30" t="s">
        <v>585</v>
      </c>
      <c r="C107" s="38" t="s">
        <v>30</v>
      </c>
      <c r="D107" s="38"/>
      <c r="E107" s="38" t="s">
        <v>817</v>
      </c>
      <c r="F107" s="38" t="s">
        <v>586</v>
      </c>
      <c r="G107" s="38" t="s">
        <v>442</v>
      </c>
      <c r="H107" s="31" t="s">
        <v>587</v>
      </c>
    </row>
    <row r="108" spans="2:8">
      <c r="B108" s="30" t="s">
        <v>588</v>
      </c>
      <c r="C108" s="38" t="s">
        <v>30</v>
      </c>
      <c r="D108" s="38"/>
      <c r="E108" s="38" t="s">
        <v>818</v>
      </c>
      <c r="F108" s="38" t="s">
        <v>589</v>
      </c>
      <c r="G108" s="38" t="s">
        <v>390</v>
      </c>
      <c r="H108" s="31" t="s">
        <v>590</v>
      </c>
    </row>
    <row r="109" spans="2:8">
      <c r="B109" s="30" t="s">
        <v>591</v>
      </c>
      <c r="C109" s="38" t="s">
        <v>30</v>
      </c>
      <c r="D109" s="38"/>
      <c r="E109" s="38" t="s">
        <v>593</v>
      </c>
      <c r="F109" s="38" t="s">
        <v>592</v>
      </c>
      <c r="G109" s="38" t="s">
        <v>382</v>
      </c>
      <c r="H109" s="31" t="s">
        <v>593</v>
      </c>
    </row>
    <row r="110" spans="2:8">
      <c r="B110" s="30" t="s">
        <v>594</v>
      </c>
      <c r="C110" s="38" t="s">
        <v>30</v>
      </c>
      <c r="D110" s="38"/>
      <c r="E110" s="38" t="s">
        <v>594</v>
      </c>
      <c r="F110" s="38" t="s">
        <v>595</v>
      </c>
      <c r="G110" s="38" t="s">
        <v>19</v>
      </c>
      <c r="H110" s="31" t="s">
        <v>596</v>
      </c>
    </row>
    <row r="111" spans="2:8">
      <c r="B111" s="30" t="s">
        <v>597</v>
      </c>
      <c r="C111" s="38" t="s">
        <v>30</v>
      </c>
      <c r="D111" s="38"/>
      <c r="E111" s="38" t="s">
        <v>597</v>
      </c>
      <c r="F111" s="38" t="s">
        <v>598</v>
      </c>
      <c r="G111" s="38" t="s">
        <v>19</v>
      </c>
      <c r="H111" s="31" t="s">
        <v>599</v>
      </c>
    </row>
    <row r="112" spans="2:8">
      <c r="B112" s="30" t="s">
        <v>600</v>
      </c>
      <c r="C112" s="38" t="s">
        <v>30</v>
      </c>
      <c r="D112" s="38"/>
      <c r="E112" s="38" t="s">
        <v>602</v>
      </c>
      <c r="F112" s="38" t="s">
        <v>601</v>
      </c>
      <c r="G112" s="38" t="s">
        <v>19</v>
      </c>
      <c r="H112" s="31" t="s">
        <v>602</v>
      </c>
    </row>
    <row r="113" spans="2:8">
      <c r="B113" s="30" t="s">
        <v>603</v>
      </c>
      <c r="C113" s="38" t="s">
        <v>30</v>
      </c>
      <c r="D113" s="38"/>
      <c r="E113" s="38" t="s">
        <v>819</v>
      </c>
      <c r="F113" s="38" t="s">
        <v>604</v>
      </c>
      <c r="G113" s="38" t="s">
        <v>360</v>
      </c>
      <c r="H113" s="31" t="s">
        <v>605</v>
      </c>
    </row>
    <row r="114" spans="2:8">
      <c r="B114" s="30" t="s">
        <v>606</v>
      </c>
      <c r="C114" s="38" t="s">
        <v>30</v>
      </c>
      <c r="D114" s="38"/>
      <c r="E114" s="38" t="s">
        <v>820</v>
      </c>
      <c r="F114" s="38" t="s">
        <v>607</v>
      </c>
      <c r="G114" s="38" t="s">
        <v>382</v>
      </c>
      <c r="H114" s="31" t="s">
        <v>608</v>
      </c>
    </row>
    <row r="115" spans="2:8">
      <c r="B115" s="30" t="s">
        <v>609</v>
      </c>
      <c r="C115" s="38" t="s">
        <v>30</v>
      </c>
      <c r="D115" s="38"/>
      <c r="E115" s="38" t="s">
        <v>821</v>
      </c>
      <c r="F115" s="38" t="s">
        <v>610</v>
      </c>
      <c r="G115" s="38" t="s">
        <v>19</v>
      </c>
      <c r="H115" s="31" t="s">
        <v>611</v>
      </c>
    </row>
    <row r="116" spans="2:8">
      <c r="B116" s="30" t="s">
        <v>614</v>
      </c>
      <c r="C116" s="38" t="s">
        <v>30</v>
      </c>
      <c r="D116" s="38"/>
      <c r="E116" s="38" t="s">
        <v>822</v>
      </c>
      <c r="F116" s="38" t="s">
        <v>614</v>
      </c>
      <c r="G116" s="38" t="s">
        <v>22</v>
      </c>
      <c r="H116" s="31" t="s">
        <v>615</v>
      </c>
    </row>
    <row r="117" spans="2:8">
      <c r="B117" s="30" t="s">
        <v>612</v>
      </c>
      <c r="C117" s="38" t="s">
        <v>30</v>
      </c>
      <c r="D117" s="38" t="s">
        <v>27</v>
      </c>
      <c r="E117" s="38" t="s">
        <v>823</v>
      </c>
      <c r="F117" s="38" t="s">
        <v>612</v>
      </c>
      <c r="G117" s="38" t="s">
        <v>19</v>
      </c>
      <c r="H117" s="31" t="s">
        <v>613</v>
      </c>
    </row>
    <row r="118" spans="2:8">
      <c r="B118" s="30" t="s">
        <v>616</v>
      </c>
      <c r="C118" s="38" t="s">
        <v>30</v>
      </c>
      <c r="D118" s="38"/>
      <c r="E118" s="38" t="s">
        <v>824</v>
      </c>
      <c r="F118" s="38" t="s">
        <v>616</v>
      </c>
      <c r="G118" s="38" t="s">
        <v>19</v>
      </c>
      <c r="H118" s="31" t="s">
        <v>617</v>
      </c>
    </row>
    <row r="119" spans="2:8">
      <c r="B119" s="30" t="s">
        <v>620</v>
      </c>
      <c r="C119" s="38" t="s">
        <v>30</v>
      </c>
      <c r="D119" s="38" t="s">
        <v>27</v>
      </c>
      <c r="E119" s="38" t="s">
        <v>825</v>
      </c>
      <c r="F119" s="38" t="s">
        <v>620</v>
      </c>
      <c r="G119" s="38" t="s">
        <v>19</v>
      </c>
      <c r="H119" s="31" t="s">
        <v>621</v>
      </c>
    </row>
    <row r="120" spans="2:8">
      <c r="B120" s="30" t="s">
        <v>618</v>
      </c>
      <c r="C120" s="38" t="s">
        <v>30</v>
      </c>
      <c r="D120" s="38" t="s">
        <v>27</v>
      </c>
      <c r="E120" s="38" t="s">
        <v>826</v>
      </c>
      <c r="F120" s="38" t="s">
        <v>618</v>
      </c>
      <c r="G120" s="38" t="s">
        <v>19</v>
      </c>
      <c r="H120" s="31" t="s">
        <v>619</v>
      </c>
    </row>
    <row r="121" spans="2:8">
      <c r="B121" s="30" t="s">
        <v>622</v>
      </c>
      <c r="C121" s="38" t="s">
        <v>30</v>
      </c>
      <c r="D121" s="38" t="s">
        <v>27</v>
      </c>
      <c r="E121" s="38" t="s">
        <v>827</v>
      </c>
      <c r="F121" s="38" t="s">
        <v>623</v>
      </c>
      <c r="G121" s="38" t="s">
        <v>22</v>
      </c>
      <c r="H121" s="31" t="s">
        <v>624</v>
      </c>
    </row>
    <row r="122" spans="2:8">
      <c r="B122" s="30" t="s">
        <v>263</v>
      </c>
      <c r="C122" s="38" t="s">
        <v>30</v>
      </c>
      <c r="D122" s="38" t="s">
        <v>27</v>
      </c>
      <c r="E122" s="38" t="s">
        <v>828</v>
      </c>
      <c r="F122" s="38" t="s">
        <v>625</v>
      </c>
      <c r="G122" s="38" t="s">
        <v>22</v>
      </c>
      <c r="H122" s="31" t="s">
        <v>626</v>
      </c>
    </row>
    <row r="123" spans="2:8">
      <c r="B123" s="30" t="s">
        <v>627</v>
      </c>
      <c r="C123" s="38" t="s">
        <v>30</v>
      </c>
      <c r="D123" s="38"/>
      <c r="E123" s="38" t="s">
        <v>829</v>
      </c>
      <c r="F123" s="38" t="s">
        <v>628</v>
      </c>
      <c r="G123" s="38" t="s">
        <v>22</v>
      </c>
      <c r="H123" s="31" t="s">
        <v>629</v>
      </c>
    </row>
    <row r="124" spans="2:8">
      <c r="B124" s="30" t="s">
        <v>630</v>
      </c>
      <c r="C124" s="38" t="s">
        <v>30</v>
      </c>
      <c r="D124" s="38"/>
      <c r="E124" s="38" t="s">
        <v>830</v>
      </c>
      <c r="F124" s="38" t="s">
        <v>831</v>
      </c>
      <c r="G124" s="38" t="s">
        <v>19</v>
      </c>
      <c r="H124" s="31" t="s">
        <v>631</v>
      </c>
    </row>
    <row r="125" spans="2:8">
      <c r="B125" s="30" t="s">
        <v>632</v>
      </c>
      <c r="C125" s="38" t="s">
        <v>30</v>
      </c>
      <c r="D125" s="38" t="s">
        <v>27</v>
      </c>
      <c r="E125" s="38" t="s">
        <v>832</v>
      </c>
      <c r="F125" s="38" t="s">
        <v>633</v>
      </c>
      <c r="G125" s="38" t="s">
        <v>22</v>
      </c>
      <c r="H125" s="31" t="s">
        <v>634</v>
      </c>
    </row>
    <row r="126" spans="2:8">
      <c r="B126" s="30" t="s">
        <v>641</v>
      </c>
      <c r="C126" s="38" t="s">
        <v>30</v>
      </c>
      <c r="D126" s="38"/>
      <c r="E126" s="38" t="s">
        <v>641</v>
      </c>
      <c r="F126" s="38" t="s">
        <v>642</v>
      </c>
      <c r="G126" s="38" t="s">
        <v>643</v>
      </c>
      <c r="H126" s="31" t="s">
        <v>644</v>
      </c>
    </row>
    <row r="127" spans="2:8">
      <c r="B127" s="30" t="s">
        <v>645</v>
      </c>
      <c r="C127" s="38" t="s">
        <v>30</v>
      </c>
      <c r="D127" s="38"/>
      <c r="E127" s="38" t="s">
        <v>645</v>
      </c>
      <c r="F127" s="38" t="s">
        <v>646</v>
      </c>
      <c r="G127" s="38" t="s">
        <v>643</v>
      </c>
      <c r="H127" s="31" t="s">
        <v>647</v>
      </c>
    </row>
    <row r="128" spans="2:8">
      <c r="B128" s="30" t="s">
        <v>638</v>
      </c>
      <c r="C128" s="38" t="s">
        <v>30</v>
      </c>
      <c r="D128" s="38"/>
      <c r="E128" s="38" t="s">
        <v>638</v>
      </c>
      <c r="F128" s="38" t="s">
        <v>639</v>
      </c>
      <c r="G128" s="38" t="s">
        <v>472</v>
      </c>
      <c r="H128" s="31" t="s">
        <v>640</v>
      </c>
    </row>
    <row r="129" spans="2:8">
      <c r="B129" s="30" t="s">
        <v>5034</v>
      </c>
      <c r="C129" s="38" t="s">
        <v>30</v>
      </c>
      <c r="D129" s="38"/>
      <c r="E129" s="38" t="s">
        <v>5034</v>
      </c>
      <c r="F129" s="38" t="s">
        <v>754</v>
      </c>
      <c r="G129" s="38" t="s">
        <v>442</v>
      </c>
      <c r="H129" s="31" t="s">
        <v>5035</v>
      </c>
    </row>
    <row r="130" spans="2:8">
      <c r="B130" s="30" t="s">
        <v>648</v>
      </c>
      <c r="C130" s="38" t="s">
        <v>30</v>
      </c>
      <c r="D130" s="38"/>
      <c r="E130" s="38" t="s">
        <v>648</v>
      </c>
      <c r="F130" s="38" t="s">
        <v>649</v>
      </c>
      <c r="G130" s="38" t="s">
        <v>442</v>
      </c>
      <c r="H130" s="31" t="s">
        <v>650</v>
      </c>
    </row>
    <row r="131" spans="2:8">
      <c r="B131" s="30" t="s">
        <v>5036</v>
      </c>
      <c r="C131" s="38" t="s">
        <v>30</v>
      </c>
      <c r="D131" s="38"/>
      <c r="E131" s="38" t="s">
        <v>5036</v>
      </c>
      <c r="F131" s="38" t="s">
        <v>681</v>
      </c>
      <c r="G131" s="38" t="s">
        <v>442</v>
      </c>
      <c r="H131" s="31" t="s">
        <v>5039</v>
      </c>
    </row>
    <row r="132" spans="2:8">
      <c r="B132" s="30" t="s">
        <v>5037</v>
      </c>
      <c r="C132" s="38" t="s">
        <v>30</v>
      </c>
      <c r="D132" s="38"/>
      <c r="E132" s="38" t="s">
        <v>5038</v>
      </c>
      <c r="F132" s="38" t="s">
        <v>755</v>
      </c>
      <c r="G132" s="38" t="s">
        <v>442</v>
      </c>
      <c r="H132" s="31" t="s">
        <v>5037</v>
      </c>
    </row>
    <row r="133" spans="2:8">
      <c r="B133" s="30" t="s">
        <v>651</v>
      </c>
      <c r="C133" s="38" t="s">
        <v>30</v>
      </c>
      <c r="D133" s="38"/>
      <c r="E133" s="38" t="s">
        <v>651</v>
      </c>
      <c r="F133" s="38" t="s">
        <v>652</v>
      </c>
      <c r="G133" s="38" t="s">
        <v>495</v>
      </c>
      <c r="H133" s="31" t="s">
        <v>653</v>
      </c>
    </row>
    <row r="134" spans="2:8">
      <c r="B134" s="30" t="s">
        <v>654</v>
      </c>
      <c r="C134" s="38" t="s">
        <v>30</v>
      </c>
      <c r="D134" s="38"/>
      <c r="E134" s="38" t="s">
        <v>654</v>
      </c>
      <c r="F134" s="38" t="s">
        <v>655</v>
      </c>
      <c r="G134" s="38" t="s">
        <v>495</v>
      </c>
      <c r="H134" s="31" t="s">
        <v>656</v>
      </c>
    </row>
    <row r="135" spans="2:8">
      <c r="B135" s="30" t="s">
        <v>657</v>
      </c>
      <c r="C135" s="38" t="s">
        <v>30</v>
      </c>
      <c r="D135" s="38"/>
      <c r="E135" s="38" t="s">
        <v>833</v>
      </c>
      <c r="F135" s="38" t="s">
        <v>658</v>
      </c>
      <c r="G135" s="38" t="s">
        <v>659</v>
      </c>
      <c r="H135" s="31" t="s">
        <v>657</v>
      </c>
    </row>
    <row r="136" spans="2:8">
      <c r="B136" s="30" t="s">
        <v>660</v>
      </c>
      <c r="C136" s="38" t="s">
        <v>30</v>
      </c>
      <c r="D136" s="38"/>
      <c r="E136" s="38" t="s">
        <v>660</v>
      </c>
      <c r="F136" s="38" t="s">
        <v>661</v>
      </c>
      <c r="G136" s="38" t="s">
        <v>19</v>
      </c>
      <c r="H136" s="31" t="s">
        <v>662</v>
      </c>
    </row>
    <row r="137" spans="2:8">
      <c r="B137" s="30" t="s">
        <v>663</v>
      </c>
      <c r="C137" s="38" t="s">
        <v>30</v>
      </c>
      <c r="D137" s="38"/>
      <c r="E137" s="38" t="s">
        <v>834</v>
      </c>
      <c r="F137" s="38" t="s">
        <v>664</v>
      </c>
      <c r="G137" s="38" t="s">
        <v>665</v>
      </c>
      <c r="H137" s="31" t="s">
        <v>663</v>
      </c>
    </row>
    <row r="138" spans="2:8">
      <c r="B138" s="30" t="s">
        <v>666</v>
      </c>
      <c r="C138" s="38" t="s">
        <v>30</v>
      </c>
      <c r="D138" s="38"/>
      <c r="E138" s="38" t="s">
        <v>666</v>
      </c>
      <c r="F138" s="38" t="s">
        <v>667</v>
      </c>
      <c r="G138" s="38" t="s">
        <v>19</v>
      </c>
      <c r="H138" s="31" t="s">
        <v>666</v>
      </c>
    </row>
    <row r="139" spans="2:8">
      <c r="B139" s="30" t="s">
        <v>668</v>
      </c>
      <c r="C139" s="38" t="s">
        <v>30</v>
      </c>
      <c r="D139" s="38"/>
      <c r="E139" s="38" t="s">
        <v>835</v>
      </c>
      <c r="F139" s="38" t="s">
        <v>669</v>
      </c>
      <c r="G139" s="38" t="s">
        <v>670</v>
      </c>
      <c r="H139" s="31" t="s">
        <v>668</v>
      </c>
    </row>
    <row r="140" spans="2:8">
      <c r="B140" s="30" t="s">
        <v>671</v>
      </c>
      <c r="C140" s="38" t="s">
        <v>30</v>
      </c>
      <c r="D140" s="38"/>
      <c r="E140" s="38" t="s">
        <v>671</v>
      </c>
      <c r="F140" s="38" t="s">
        <v>672</v>
      </c>
      <c r="G140" s="38" t="s">
        <v>442</v>
      </c>
      <c r="H140" s="31" t="s">
        <v>673</v>
      </c>
    </row>
    <row r="141" spans="2:8">
      <c r="B141" s="30" t="s">
        <v>674</v>
      </c>
      <c r="C141" s="38" t="s">
        <v>30</v>
      </c>
      <c r="D141" s="38"/>
      <c r="E141" s="38" t="s">
        <v>674</v>
      </c>
      <c r="F141" s="38" t="s">
        <v>675</v>
      </c>
      <c r="G141" s="38" t="s">
        <v>665</v>
      </c>
      <c r="H141" s="31" t="s">
        <v>676</v>
      </c>
    </row>
    <row r="142" spans="2:8">
      <c r="B142" s="30" t="s">
        <v>677</v>
      </c>
      <c r="C142" s="38" t="s">
        <v>30</v>
      </c>
      <c r="D142" s="38"/>
      <c r="E142" s="38" t="s">
        <v>677</v>
      </c>
      <c r="F142" s="38" t="s">
        <v>678</v>
      </c>
      <c r="G142" s="38" t="s">
        <v>19</v>
      </c>
      <c r="H142" s="31" t="s">
        <v>679</v>
      </c>
    </row>
    <row r="143" spans="2:8">
      <c r="B143" s="30" t="s">
        <v>680</v>
      </c>
      <c r="C143" s="38" t="s">
        <v>30</v>
      </c>
      <c r="D143" s="38"/>
      <c r="E143" s="38" t="s">
        <v>680</v>
      </c>
      <c r="F143" s="38" t="s">
        <v>681</v>
      </c>
      <c r="G143" s="38" t="s">
        <v>442</v>
      </c>
      <c r="H143" s="31" t="s">
        <v>682</v>
      </c>
    </row>
    <row r="144" spans="2:8">
      <c r="B144" s="30" t="s">
        <v>683</v>
      </c>
      <c r="C144" s="38" t="s">
        <v>30</v>
      </c>
      <c r="D144" s="38"/>
      <c r="E144" s="38" t="s">
        <v>683</v>
      </c>
      <c r="F144" s="38" t="s">
        <v>684</v>
      </c>
      <c r="G144" s="38" t="s">
        <v>19</v>
      </c>
      <c r="H144" s="31" t="s">
        <v>685</v>
      </c>
    </row>
    <row r="145" spans="2:8">
      <c r="B145" s="30" t="s">
        <v>686</v>
      </c>
      <c r="C145" s="38" t="s">
        <v>30</v>
      </c>
      <c r="D145" s="38"/>
      <c r="E145" s="38" t="s">
        <v>686</v>
      </c>
      <c r="F145" s="38" t="s">
        <v>687</v>
      </c>
      <c r="G145" s="38" t="s">
        <v>687</v>
      </c>
      <c r="H145" s="31" t="s">
        <v>686</v>
      </c>
    </row>
    <row r="146" spans="2:8">
      <c r="B146" s="30" t="s">
        <v>688</v>
      </c>
      <c r="C146" s="38" t="s">
        <v>30</v>
      </c>
      <c r="D146" s="38"/>
      <c r="E146" s="38" t="s">
        <v>688</v>
      </c>
      <c r="F146" s="38" t="s">
        <v>689</v>
      </c>
      <c r="G146" s="38" t="s">
        <v>360</v>
      </c>
      <c r="H146" s="31" t="s">
        <v>690</v>
      </c>
    </row>
    <row r="147" spans="2:8">
      <c r="B147" s="30" t="s">
        <v>691</v>
      </c>
      <c r="C147" s="38" t="s">
        <v>30</v>
      </c>
      <c r="D147" s="38"/>
      <c r="E147" s="38" t="s">
        <v>836</v>
      </c>
      <c r="F147" s="38" t="s">
        <v>692</v>
      </c>
      <c r="G147" s="38" t="s">
        <v>442</v>
      </c>
      <c r="H147" s="31" t="s">
        <v>691</v>
      </c>
    </row>
    <row r="148" spans="2:8">
      <c r="B148" s="30" t="s">
        <v>693</v>
      </c>
      <c r="C148" s="38" t="s">
        <v>30</v>
      </c>
      <c r="D148" s="38"/>
      <c r="E148" s="38" t="s">
        <v>693</v>
      </c>
      <c r="F148" s="38" t="s">
        <v>694</v>
      </c>
      <c r="G148" s="38" t="s">
        <v>665</v>
      </c>
      <c r="H148" s="31" t="s">
        <v>695</v>
      </c>
    </row>
    <row r="149" spans="2:8">
      <c r="B149" s="30" t="s">
        <v>696</v>
      </c>
      <c r="C149" s="38" t="s">
        <v>30</v>
      </c>
      <c r="D149" s="38"/>
      <c r="E149" s="38" t="s">
        <v>696</v>
      </c>
      <c r="F149" s="38" t="s">
        <v>697</v>
      </c>
      <c r="G149" s="38" t="s">
        <v>428</v>
      </c>
      <c r="H149" s="31" t="s">
        <v>698</v>
      </c>
    </row>
    <row r="150" spans="2:8">
      <c r="B150" s="30" t="s">
        <v>699</v>
      </c>
      <c r="C150" s="38" t="s">
        <v>30</v>
      </c>
      <c r="D150" s="38"/>
      <c r="E150" s="38" t="s">
        <v>699</v>
      </c>
      <c r="F150" s="38" t="s">
        <v>700</v>
      </c>
      <c r="G150" s="38" t="s">
        <v>382</v>
      </c>
      <c r="H150" s="31" t="s">
        <v>701</v>
      </c>
    </row>
    <row r="151" spans="2:8">
      <c r="B151" s="30" t="s">
        <v>702</v>
      </c>
      <c r="C151" s="38" t="s">
        <v>30</v>
      </c>
      <c r="D151" s="38"/>
      <c r="E151" s="38" t="s">
        <v>702</v>
      </c>
      <c r="F151" s="38" t="s">
        <v>703</v>
      </c>
      <c r="G151" s="38" t="s">
        <v>19</v>
      </c>
      <c r="H151" s="31" t="s">
        <v>704</v>
      </c>
    </row>
    <row r="152" spans="2:8">
      <c r="B152" s="30" t="s">
        <v>705</v>
      </c>
      <c r="C152" s="38" t="s">
        <v>30</v>
      </c>
      <c r="D152" s="38"/>
      <c r="E152" s="38" t="s">
        <v>705</v>
      </c>
      <c r="F152" s="38" t="s">
        <v>706</v>
      </c>
      <c r="G152" s="38" t="s">
        <v>19</v>
      </c>
      <c r="H152" s="31" t="s">
        <v>707</v>
      </c>
    </row>
    <row r="153" spans="2:8">
      <c r="B153" s="30" t="s">
        <v>708</v>
      </c>
      <c r="C153" s="38" t="s">
        <v>30</v>
      </c>
      <c r="D153" s="38"/>
      <c r="E153" s="38" t="s">
        <v>708</v>
      </c>
      <c r="F153" s="38" t="s">
        <v>524</v>
      </c>
      <c r="G153" s="38" t="s">
        <v>360</v>
      </c>
      <c r="H153" s="31" t="s">
        <v>709</v>
      </c>
    </row>
    <row r="154" spans="2:8">
      <c r="B154" s="30" t="s">
        <v>710</v>
      </c>
      <c r="C154" s="38" t="s">
        <v>30</v>
      </c>
      <c r="D154" s="38"/>
      <c r="E154" s="38" t="s">
        <v>710</v>
      </c>
      <c r="F154" s="38" t="s">
        <v>711</v>
      </c>
      <c r="G154" s="38" t="s">
        <v>22</v>
      </c>
      <c r="H154" s="31" t="s">
        <v>712</v>
      </c>
    </row>
    <row r="155" spans="2:8">
      <c r="B155" s="30" t="s">
        <v>713</v>
      </c>
      <c r="C155" s="38" t="s">
        <v>30</v>
      </c>
      <c r="D155" s="38"/>
      <c r="E155" s="38" t="s">
        <v>713</v>
      </c>
      <c r="F155" s="38" t="s">
        <v>714</v>
      </c>
      <c r="G155" s="38" t="s">
        <v>22</v>
      </c>
      <c r="H155" s="31" t="s">
        <v>715</v>
      </c>
    </row>
    <row r="156" spans="2:8">
      <c r="B156" s="30" t="s">
        <v>716</v>
      </c>
      <c r="C156" s="38" t="s">
        <v>30</v>
      </c>
      <c r="D156" s="38"/>
      <c r="E156" s="38" t="s">
        <v>716</v>
      </c>
      <c r="F156" s="38" t="s">
        <v>717</v>
      </c>
      <c r="G156" s="38" t="s">
        <v>369</v>
      </c>
      <c r="H156" s="31" t="s">
        <v>716</v>
      </c>
    </row>
    <row r="157" spans="2:8">
      <c r="B157" s="30" t="s">
        <v>718</v>
      </c>
      <c r="C157" s="38" t="s">
        <v>30</v>
      </c>
      <c r="D157" s="38"/>
      <c r="E157" s="38" t="s">
        <v>718</v>
      </c>
      <c r="F157" s="38" t="s">
        <v>719</v>
      </c>
      <c r="G157" s="38" t="s">
        <v>719</v>
      </c>
      <c r="H157" s="31" t="s">
        <v>720</v>
      </c>
    </row>
    <row r="158" spans="2:8">
      <c r="B158" s="30" t="s">
        <v>721</v>
      </c>
      <c r="C158" s="38" t="s">
        <v>30</v>
      </c>
      <c r="D158" s="38"/>
      <c r="E158" s="38" t="s">
        <v>721</v>
      </c>
      <c r="F158" s="38" t="s">
        <v>722</v>
      </c>
      <c r="G158" s="38" t="s">
        <v>19</v>
      </c>
      <c r="H158" s="31" t="s">
        <v>723</v>
      </c>
    </row>
    <row r="159" spans="2:8">
      <c r="B159" s="30" t="s">
        <v>724</v>
      </c>
      <c r="C159" s="38" t="s">
        <v>30</v>
      </c>
      <c r="D159" s="38"/>
      <c r="E159" s="38" t="s">
        <v>724</v>
      </c>
      <c r="F159" s="38" t="s">
        <v>725</v>
      </c>
      <c r="G159" s="38" t="s">
        <v>22</v>
      </c>
      <c r="H159" s="31" t="s">
        <v>726</v>
      </c>
    </row>
    <row r="160" spans="2:8">
      <c r="B160" s="30" t="s">
        <v>727</v>
      </c>
      <c r="C160" s="38" t="s">
        <v>30</v>
      </c>
      <c r="D160" s="38"/>
      <c r="E160" s="38" t="s">
        <v>727</v>
      </c>
      <c r="F160" s="38" t="s">
        <v>728</v>
      </c>
      <c r="G160" s="38" t="s">
        <v>19</v>
      </c>
      <c r="H160" s="31" t="s">
        <v>729</v>
      </c>
    </row>
    <row r="161" spans="2:8">
      <c r="B161" s="30" t="s">
        <v>730</v>
      </c>
      <c r="C161" s="38" t="s">
        <v>30</v>
      </c>
      <c r="D161" s="38"/>
      <c r="E161" s="38" t="s">
        <v>837</v>
      </c>
      <c r="F161" s="38" t="s">
        <v>731</v>
      </c>
      <c r="G161" s="38" t="s">
        <v>659</v>
      </c>
      <c r="H161" s="31" t="s">
        <v>730</v>
      </c>
    </row>
    <row r="162" spans="2:8">
      <c r="B162" s="30" t="s">
        <v>732</v>
      </c>
      <c r="C162" s="38" t="s">
        <v>30</v>
      </c>
      <c r="D162" s="38"/>
      <c r="E162" s="38" t="s">
        <v>732</v>
      </c>
      <c r="F162" s="38" t="s">
        <v>733</v>
      </c>
      <c r="G162" s="38" t="s">
        <v>19</v>
      </c>
      <c r="H162" s="31" t="s">
        <v>734</v>
      </c>
    </row>
    <row r="163" spans="2:8">
      <c r="B163" s="30" t="s">
        <v>735</v>
      </c>
      <c r="C163" s="38" t="s">
        <v>30</v>
      </c>
      <c r="D163" s="38"/>
      <c r="E163" s="38" t="s">
        <v>735</v>
      </c>
      <c r="F163" s="38" t="s">
        <v>838</v>
      </c>
      <c r="G163" s="38" t="s">
        <v>19</v>
      </c>
      <c r="H163" s="31" t="s">
        <v>736</v>
      </c>
    </row>
    <row r="164" spans="2:8">
      <c r="B164" s="30" t="s">
        <v>737</v>
      </c>
      <c r="C164" s="38" t="s">
        <v>30</v>
      </c>
      <c r="D164" s="38"/>
      <c r="E164" s="38" t="s">
        <v>839</v>
      </c>
      <c r="F164" s="38" t="s">
        <v>738</v>
      </c>
      <c r="G164" s="38" t="s">
        <v>442</v>
      </c>
      <c r="H164" s="31" t="s">
        <v>737</v>
      </c>
    </row>
    <row r="165" spans="2:8">
      <c r="B165" s="30" t="s">
        <v>739</v>
      </c>
      <c r="C165" s="38" t="s">
        <v>30</v>
      </c>
      <c r="D165" s="38"/>
      <c r="E165" s="38" t="s">
        <v>739</v>
      </c>
      <c r="F165" s="38" t="s">
        <v>740</v>
      </c>
      <c r="G165" s="38" t="s">
        <v>442</v>
      </c>
      <c r="H165" s="31" t="s">
        <v>741</v>
      </c>
    </row>
    <row r="166" spans="2:8">
      <c r="B166" s="30" t="s">
        <v>742</v>
      </c>
      <c r="C166" s="38" t="s">
        <v>30</v>
      </c>
      <c r="D166" s="38"/>
      <c r="E166" s="38" t="s">
        <v>742</v>
      </c>
      <c r="F166" s="38" t="s">
        <v>743</v>
      </c>
      <c r="G166" s="38" t="s">
        <v>19</v>
      </c>
      <c r="H166" s="31" t="s">
        <v>744</v>
      </c>
    </row>
    <row r="167" spans="2:8">
      <c r="B167" s="30" t="s">
        <v>745</v>
      </c>
      <c r="C167" s="38" t="s">
        <v>30</v>
      </c>
      <c r="D167" s="38"/>
      <c r="E167" s="38" t="s">
        <v>745</v>
      </c>
      <c r="F167" s="38" t="s">
        <v>746</v>
      </c>
      <c r="G167" s="38" t="s">
        <v>19</v>
      </c>
      <c r="H167" s="31" t="s">
        <v>747</v>
      </c>
    </row>
    <row r="168" spans="2:8">
      <c r="B168" s="30" t="s">
        <v>748</v>
      </c>
      <c r="C168" s="38" t="s">
        <v>30</v>
      </c>
      <c r="D168" s="38"/>
      <c r="E168" s="38" t="s">
        <v>748</v>
      </c>
      <c r="F168" s="38" t="s">
        <v>749</v>
      </c>
      <c r="G168" s="38" t="s">
        <v>19</v>
      </c>
      <c r="H168" s="31" t="s">
        <v>750</v>
      </c>
    </row>
    <row r="169" spans="2:8">
      <c r="B169" s="30" t="s">
        <v>751</v>
      </c>
      <c r="C169" s="38" t="s">
        <v>30</v>
      </c>
      <c r="D169" s="38"/>
      <c r="E169" s="38" t="s">
        <v>751</v>
      </c>
      <c r="F169" s="38" t="s">
        <v>752</v>
      </c>
      <c r="G169" s="38" t="s">
        <v>665</v>
      </c>
      <c r="H169" s="31" t="s">
        <v>753</v>
      </c>
    </row>
    <row r="170" spans="2:8">
      <c r="B170" s="30" t="s">
        <v>635</v>
      </c>
      <c r="C170" s="38" t="s">
        <v>30</v>
      </c>
      <c r="D170" s="38" t="s">
        <v>27</v>
      </c>
      <c r="E170" s="38" t="s">
        <v>840</v>
      </c>
      <c r="F170" s="38" t="s">
        <v>636</v>
      </c>
      <c r="G170" s="38" t="s">
        <v>22</v>
      </c>
      <c r="H170" s="31" t="s">
        <v>637</v>
      </c>
    </row>
    <row r="171" spans="2:8">
      <c r="B171" s="30" t="s">
        <v>756</v>
      </c>
      <c r="C171" s="38" t="s">
        <v>30</v>
      </c>
      <c r="D171" s="38"/>
      <c r="E171" s="38" t="s">
        <v>841</v>
      </c>
      <c r="F171" s="38" t="s">
        <v>757</v>
      </c>
      <c r="G171" s="38" t="s">
        <v>528</v>
      </c>
      <c r="H171" s="31" t="s">
        <v>756</v>
      </c>
    </row>
    <row r="172" spans="2:8">
      <c r="B172" s="30" t="s">
        <v>758</v>
      </c>
      <c r="C172" s="38" t="s">
        <v>30</v>
      </c>
      <c r="D172" s="38"/>
      <c r="E172" s="38" t="s">
        <v>758</v>
      </c>
      <c r="F172" s="38" t="s">
        <v>759</v>
      </c>
      <c r="G172" s="38" t="s">
        <v>19</v>
      </c>
      <c r="H172" s="31" t="s">
        <v>760</v>
      </c>
    </row>
    <row r="173" spans="2:8">
      <c r="B173" s="32" t="s">
        <v>761</v>
      </c>
      <c r="C173" s="39" t="s">
        <v>30</v>
      </c>
      <c r="D173" s="39"/>
      <c r="E173" s="39" t="s">
        <v>842</v>
      </c>
      <c r="F173" s="39" t="s">
        <v>762</v>
      </c>
      <c r="G173" s="39" t="s">
        <v>492</v>
      </c>
      <c r="H173" s="34" t="s">
        <v>761</v>
      </c>
    </row>
  </sheetData>
  <sortState ref="B697:F1337">
    <sortCondition ref="B696"/>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B2:D272"/>
  <sheetViews>
    <sheetView topLeftCell="A122" workbookViewId="0">
      <selection activeCell="D129" sqref="D129"/>
    </sheetView>
  </sheetViews>
  <sheetFormatPr baseColWidth="10" defaultRowHeight="15" x14ac:dyDescent="0"/>
  <cols>
    <col min="1" max="1" width="2.33203125" customWidth="1"/>
    <col min="2" max="2" width="37.83203125" customWidth="1"/>
    <col min="3" max="4" width="14.1640625" customWidth="1"/>
  </cols>
  <sheetData>
    <row r="2" spans="2:4">
      <c r="B2" s="1" t="s">
        <v>2</v>
      </c>
      <c r="C2" s="1" t="s">
        <v>0</v>
      </c>
      <c r="D2" s="1" t="s">
        <v>1</v>
      </c>
    </row>
    <row r="3" spans="2:4">
      <c r="B3" t="s">
        <v>344</v>
      </c>
      <c r="C3">
        <v>40.449785400000003</v>
      </c>
      <c r="D3">
        <v>-79.909794899999994</v>
      </c>
    </row>
    <row r="4" spans="2:4">
      <c r="B4" t="s">
        <v>843</v>
      </c>
      <c r="C4">
        <v>38.804835500000003</v>
      </c>
      <c r="D4">
        <v>-77.046921400000002</v>
      </c>
    </row>
    <row r="5" spans="2:4">
      <c r="B5" t="s">
        <v>422</v>
      </c>
      <c r="C5">
        <v>33.901112500000004</v>
      </c>
      <c r="D5">
        <v>35.481616000000002</v>
      </c>
    </row>
    <row r="6" spans="2:4">
      <c r="B6" t="s">
        <v>844</v>
      </c>
      <c r="C6">
        <v>61.2180556</v>
      </c>
      <c r="D6">
        <v>-149.9002778</v>
      </c>
    </row>
    <row r="7" spans="2:4">
      <c r="B7" t="s">
        <v>347</v>
      </c>
      <c r="C7">
        <v>40.335319300000002</v>
      </c>
      <c r="D7">
        <v>-74.095676100000006</v>
      </c>
    </row>
    <row r="8" spans="2:4">
      <c r="B8" t="s">
        <v>339</v>
      </c>
      <c r="C8">
        <v>27.6848907</v>
      </c>
      <c r="D8">
        <v>-97.377088700000002</v>
      </c>
    </row>
    <row r="9" spans="2:4">
      <c r="B9" t="s">
        <v>425</v>
      </c>
      <c r="C9">
        <v>33.424239900000003</v>
      </c>
      <c r="D9">
        <v>-111.92805269999999</v>
      </c>
    </row>
    <row r="10" spans="2:4">
      <c r="B10" t="s">
        <v>3</v>
      </c>
      <c r="C10">
        <v>38.908858000000002</v>
      </c>
      <c r="D10">
        <v>-77.043734999999998</v>
      </c>
    </row>
    <row r="11" spans="2:4">
      <c r="B11" t="s">
        <v>845</v>
      </c>
      <c r="C11">
        <v>41.047800000000002</v>
      </c>
      <c r="D11">
        <v>28.988074999999998</v>
      </c>
    </row>
    <row r="12" spans="2:4">
      <c r="B12" t="s">
        <v>342</v>
      </c>
      <c r="C12">
        <v>40.3973552</v>
      </c>
      <c r="D12">
        <v>-74.135695900000002</v>
      </c>
    </row>
    <row r="13" spans="2:4">
      <c r="B13" t="s">
        <v>846</v>
      </c>
      <c r="C13">
        <v>37.983916999999998</v>
      </c>
      <c r="D13">
        <v>23.729359899999999</v>
      </c>
    </row>
    <row r="14" spans="2:4">
      <c r="B14" t="s">
        <v>847</v>
      </c>
      <c r="C14">
        <v>33.748995399999998</v>
      </c>
      <c r="D14">
        <v>-84.387982399999999</v>
      </c>
    </row>
    <row r="15" spans="2:4">
      <c r="B15" t="s">
        <v>4</v>
      </c>
      <c r="C15">
        <v>39.285604999999997</v>
      </c>
      <c r="D15">
        <v>-76.616375300000001</v>
      </c>
    </row>
    <row r="16" spans="2:4">
      <c r="B16" t="s">
        <v>848</v>
      </c>
      <c r="C16">
        <v>12.971598699999999</v>
      </c>
      <c r="D16">
        <v>77.594562699999997</v>
      </c>
    </row>
    <row r="17" spans="2:4">
      <c r="B17" t="s">
        <v>429</v>
      </c>
      <c r="C17">
        <v>32.069198900000004</v>
      </c>
      <c r="D17">
        <v>34.843087599999997</v>
      </c>
    </row>
    <row r="18" spans="2:4">
      <c r="B18" t="s">
        <v>849</v>
      </c>
      <c r="C18">
        <v>41.385063899999999</v>
      </c>
      <c r="D18">
        <v>2.1734035</v>
      </c>
    </row>
    <row r="19" spans="2:4">
      <c r="B19" t="s">
        <v>349</v>
      </c>
      <c r="C19">
        <v>38.586708999999999</v>
      </c>
      <c r="D19">
        <v>-89.946577000000005</v>
      </c>
    </row>
    <row r="20" spans="2:4">
      <c r="B20" t="s">
        <v>850</v>
      </c>
      <c r="C20">
        <v>39.909539700000003</v>
      </c>
      <c r="D20">
        <v>116.42926559999999</v>
      </c>
    </row>
    <row r="21" spans="2:4">
      <c r="B21" t="s">
        <v>851</v>
      </c>
      <c r="C21">
        <v>39.904210999999997</v>
      </c>
      <c r="D21">
        <v>116.40739499999999</v>
      </c>
    </row>
    <row r="22" spans="2:4">
      <c r="B22" t="s">
        <v>496</v>
      </c>
      <c r="C22">
        <v>41.502217999999999</v>
      </c>
      <c r="D22">
        <v>2.1042169999999998</v>
      </c>
    </row>
    <row r="23" spans="2:4">
      <c r="B23" t="s">
        <v>852</v>
      </c>
      <c r="C23">
        <v>52.520777799999998</v>
      </c>
      <c r="D23">
        <v>13.416514599999999</v>
      </c>
    </row>
    <row r="24" spans="2:4">
      <c r="B24" t="s">
        <v>351</v>
      </c>
      <c r="C24">
        <v>47.522654000000003</v>
      </c>
      <c r="D24">
        <v>-122.310947</v>
      </c>
    </row>
    <row r="25" spans="2:4">
      <c r="B25" t="s">
        <v>435</v>
      </c>
      <c r="C25">
        <v>44.808374999999998</v>
      </c>
      <c r="D25">
        <v>-0.59670500000000004</v>
      </c>
    </row>
    <row r="26" spans="2:4">
      <c r="B26" t="s">
        <v>438</v>
      </c>
      <c r="C26">
        <v>42.3504997</v>
      </c>
      <c r="D26">
        <v>-71.1053991</v>
      </c>
    </row>
    <row r="27" spans="2:4">
      <c r="B27" t="s">
        <v>853</v>
      </c>
      <c r="C27">
        <v>42.350656700000002</v>
      </c>
      <c r="D27">
        <v>-71.040987700000002</v>
      </c>
    </row>
    <row r="28" spans="2:4">
      <c r="B28" t="s">
        <v>854</v>
      </c>
      <c r="C28">
        <v>42.360082499999997</v>
      </c>
      <c r="D28">
        <v>-71.058880099999996</v>
      </c>
    </row>
    <row r="29" spans="2:4">
      <c r="B29" t="s">
        <v>5</v>
      </c>
      <c r="C29">
        <v>50.931294700000002</v>
      </c>
      <c r="D29">
        <v>-1.2810664</v>
      </c>
    </row>
    <row r="30" spans="2:4">
      <c r="B30" t="s">
        <v>353</v>
      </c>
      <c r="C30">
        <v>33.636510999999999</v>
      </c>
      <c r="D30">
        <v>-117.8483171</v>
      </c>
    </row>
    <row r="31" spans="2:4">
      <c r="B31" t="s">
        <v>855</v>
      </c>
      <c r="C31">
        <v>47.497911999999999</v>
      </c>
      <c r="D31">
        <v>19.040234999999999</v>
      </c>
    </row>
    <row r="32" spans="2:4">
      <c r="B32" t="s">
        <v>856</v>
      </c>
      <c r="C32">
        <v>-34.603684399999999</v>
      </c>
      <c r="D32">
        <v>-58.381559099999997</v>
      </c>
    </row>
    <row r="33" spans="2:4">
      <c r="B33" t="s">
        <v>432</v>
      </c>
      <c r="C33">
        <v>39.964764700000003</v>
      </c>
      <c r="D33">
        <v>116.35720600000001</v>
      </c>
    </row>
    <row r="34" spans="2:4">
      <c r="B34" t="s">
        <v>451</v>
      </c>
      <c r="C34">
        <v>34.137657599999997</v>
      </c>
      <c r="D34">
        <v>-118.125269</v>
      </c>
    </row>
    <row r="35" spans="2:4">
      <c r="B35" t="s">
        <v>857</v>
      </c>
      <c r="C35">
        <v>52.204266599999997</v>
      </c>
      <c r="D35">
        <v>0.1149085</v>
      </c>
    </row>
    <row r="36" spans="2:4">
      <c r="B36" t="s">
        <v>858</v>
      </c>
      <c r="C36">
        <v>43.552847</v>
      </c>
      <c r="D36">
        <v>7.0173690000000004</v>
      </c>
    </row>
    <row r="37" spans="2:4">
      <c r="B37" t="s">
        <v>859</v>
      </c>
      <c r="C37">
        <v>-33.924868500000002</v>
      </c>
      <c r="D37">
        <v>18.424055299999999</v>
      </c>
    </row>
    <row r="38" spans="2:4">
      <c r="B38" t="s">
        <v>860</v>
      </c>
      <c r="C38">
        <v>51.477060999999999</v>
      </c>
      <c r="D38">
        <v>-3.175287</v>
      </c>
    </row>
    <row r="39" spans="2:4">
      <c r="B39" t="s">
        <v>6</v>
      </c>
      <c r="C39">
        <v>51.4866271</v>
      </c>
      <c r="D39">
        <v>-3.1788641000000002</v>
      </c>
    </row>
    <row r="40" spans="2:4">
      <c r="B40" t="s">
        <v>439</v>
      </c>
      <c r="C40">
        <v>40.4424925</v>
      </c>
      <c r="D40">
        <v>-79.942552800000001</v>
      </c>
    </row>
    <row r="41" spans="2:4">
      <c r="B41" t="s">
        <v>448</v>
      </c>
      <c r="C41">
        <v>52.356521999999998</v>
      </c>
      <c r="D41">
        <v>4.9521154000000003</v>
      </c>
    </row>
    <row r="42" spans="2:4">
      <c r="B42" t="s">
        <v>331</v>
      </c>
      <c r="C42">
        <v>39.2617701</v>
      </c>
      <c r="D42">
        <v>-75.926260299999996</v>
      </c>
    </row>
    <row r="43" spans="2:4">
      <c r="B43" t="s">
        <v>861</v>
      </c>
      <c r="C43">
        <v>41.878113599999999</v>
      </c>
      <c r="D43">
        <v>-87.629798199999996</v>
      </c>
    </row>
    <row r="44" spans="2:4">
      <c r="B44" t="s">
        <v>862</v>
      </c>
      <c r="C44">
        <v>41.878113599999999</v>
      </c>
      <c r="D44">
        <v>-87.629798199999996</v>
      </c>
    </row>
    <row r="45" spans="2:4">
      <c r="B45" t="s">
        <v>455</v>
      </c>
      <c r="C45">
        <v>39.908085800000002</v>
      </c>
      <c r="D45">
        <v>116.25070100000001</v>
      </c>
    </row>
    <row r="46" spans="2:4">
      <c r="B46" t="s">
        <v>357</v>
      </c>
      <c r="C46">
        <v>37.408299499999998</v>
      </c>
      <c r="D46">
        <v>-121.9534926</v>
      </c>
    </row>
    <row r="47" spans="2:4">
      <c r="B47" t="s">
        <v>863</v>
      </c>
      <c r="C47">
        <v>51.527795500000003</v>
      </c>
      <c r="D47">
        <v>-0.10233100000000001</v>
      </c>
    </row>
    <row r="48" spans="2:4">
      <c r="B48" t="s">
        <v>458</v>
      </c>
      <c r="C48">
        <v>51.527795500000003</v>
      </c>
      <c r="D48">
        <v>-0.10233100000000001</v>
      </c>
    </row>
    <row r="49" spans="2:4">
      <c r="B49" t="s">
        <v>440</v>
      </c>
      <c r="C49">
        <v>41.9007079</v>
      </c>
      <c r="D49">
        <v>12.512548000000001</v>
      </c>
    </row>
    <row r="50" spans="2:4">
      <c r="B50" t="s">
        <v>864</v>
      </c>
      <c r="C50">
        <v>50.937531</v>
      </c>
      <c r="D50">
        <v>6.9602785999999996</v>
      </c>
    </row>
    <row r="51" spans="2:4">
      <c r="B51" t="s">
        <v>460</v>
      </c>
      <c r="C51">
        <v>40.8075355</v>
      </c>
      <c r="D51">
        <v>-73.962572699999996</v>
      </c>
    </row>
    <row r="52" spans="2:4">
      <c r="B52" t="s">
        <v>865</v>
      </c>
      <c r="C52">
        <v>55.676096800000003</v>
      </c>
      <c r="D52">
        <v>12.568337100000001</v>
      </c>
    </row>
    <row r="53" spans="2:4">
      <c r="B53" t="s">
        <v>462</v>
      </c>
      <c r="C53">
        <v>42.453449200000001</v>
      </c>
      <c r="D53">
        <v>-76.473502699999997</v>
      </c>
    </row>
    <row r="54" spans="2:4">
      <c r="B54" t="s">
        <v>464</v>
      </c>
      <c r="C54">
        <v>52.074388999999996</v>
      </c>
      <c r="D54">
        <v>-0.62922500000000003</v>
      </c>
    </row>
    <row r="55" spans="2:4">
      <c r="B55" t="s">
        <v>355</v>
      </c>
      <c r="C55">
        <v>42.932955399999997</v>
      </c>
      <c r="D55">
        <v>-78.721804800000001</v>
      </c>
    </row>
    <row r="56" spans="2:4">
      <c r="B56" t="s">
        <v>866</v>
      </c>
      <c r="C56">
        <v>32.776664199999999</v>
      </c>
      <c r="D56">
        <v>-96.796987900000005</v>
      </c>
    </row>
    <row r="57" spans="2:4">
      <c r="B57" t="s">
        <v>605</v>
      </c>
      <c r="C57">
        <v>49.874777999999999</v>
      </c>
      <c r="D57">
        <v>8.6561400000000006</v>
      </c>
    </row>
    <row r="58" spans="2:4">
      <c r="B58" t="s">
        <v>361</v>
      </c>
      <c r="C58">
        <v>52.512979199999997</v>
      </c>
      <c r="D58">
        <v>13.320029399999999</v>
      </c>
    </row>
    <row r="59" spans="2:4">
      <c r="B59" t="s">
        <v>364</v>
      </c>
      <c r="C59">
        <v>37.4079628</v>
      </c>
      <c r="D59">
        <v>-122.1462858</v>
      </c>
    </row>
    <row r="60" spans="2:4">
      <c r="B60" t="s">
        <v>867</v>
      </c>
      <c r="C60">
        <v>25.285447300000001</v>
      </c>
      <c r="D60">
        <v>51.531039800000002</v>
      </c>
    </row>
    <row r="61" spans="2:4">
      <c r="B61" t="s">
        <v>333</v>
      </c>
      <c r="C61">
        <v>50.859133100000001</v>
      </c>
      <c r="D61">
        <v>-1.126808</v>
      </c>
    </row>
    <row r="62" spans="2:4">
      <c r="B62" t="s">
        <v>366</v>
      </c>
      <c r="C62">
        <v>51.514915799999997</v>
      </c>
      <c r="D62">
        <v>-2.574932</v>
      </c>
    </row>
    <row r="63" spans="2:4">
      <c r="B63" t="s">
        <v>868</v>
      </c>
      <c r="C63">
        <v>47.485504900000002</v>
      </c>
      <c r="D63">
        <v>19.074466300000001</v>
      </c>
    </row>
    <row r="64" spans="2:4">
      <c r="B64" t="s">
        <v>469</v>
      </c>
      <c r="C64">
        <v>55.944515799999998</v>
      </c>
      <c r="D64">
        <v>-3.1892412999999999</v>
      </c>
    </row>
    <row r="65" spans="2:4">
      <c r="B65" t="s">
        <v>869</v>
      </c>
      <c r="C65">
        <v>55.953251999999999</v>
      </c>
      <c r="D65">
        <v>-3.1882670000000002</v>
      </c>
    </row>
    <row r="66" spans="2:4">
      <c r="B66" t="s">
        <v>329</v>
      </c>
      <c r="C66">
        <v>34.9223</v>
      </c>
      <c r="D66">
        <v>-117.889</v>
      </c>
    </row>
    <row r="67" spans="2:4">
      <c r="B67" t="s">
        <v>465</v>
      </c>
      <c r="C67">
        <v>46.519055700000003</v>
      </c>
      <c r="D67">
        <v>6.5667575999999999</v>
      </c>
    </row>
    <row r="68" spans="2:4">
      <c r="B68" t="s">
        <v>870</v>
      </c>
      <c r="C68">
        <v>38.713315199999997</v>
      </c>
      <c r="D68">
        <v>-9.3936557999999994</v>
      </c>
    </row>
    <row r="69" spans="2:4">
      <c r="B69" t="s">
        <v>367</v>
      </c>
      <c r="C69">
        <v>47.375722600000003</v>
      </c>
      <c r="D69">
        <v>8.5479406999999998</v>
      </c>
    </row>
    <row r="70" spans="2:4">
      <c r="B70" t="s">
        <v>871</v>
      </c>
      <c r="C70">
        <v>38.846223600000002</v>
      </c>
      <c r="D70">
        <v>-77.306373300000004</v>
      </c>
    </row>
    <row r="71" spans="2:4">
      <c r="B71" t="s">
        <v>473</v>
      </c>
      <c r="C71">
        <v>-27.6002039</v>
      </c>
      <c r="D71">
        <v>-48.519983500000002</v>
      </c>
    </row>
    <row r="72" spans="2:4">
      <c r="B72" t="s">
        <v>372</v>
      </c>
      <c r="C72">
        <v>42.350939400000001</v>
      </c>
      <c r="D72">
        <v>-71.071548699999994</v>
      </c>
    </row>
    <row r="73" spans="2:4">
      <c r="B73" t="s">
        <v>476</v>
      </c>
      <c r="C73">
        <v>25.757195500000002</v>
      </c>
      <c r="D73">
        <v>-80.375832799999998</v>
      </c>
    </row>
    <row r="74" spans="2:4">
      <c r="B74" t="s">
        <v>872</v>
      </c>
      <c r="C74">
        <v>29.3013479</v>
      </c>
      <c r="D74">
        <v>-94.7976958</v>
      </c>
    </row>
    <row r="75" spans="2:4">
      <c r="B75" t="s">
        <v>873</v>
      </c>
      <c r="C75">
        <v>28.342193999999999</v>
      </c>
      <c r="D75">
        <v>-81.526477</v>
      </c>
    </row>
    <row r="76" spans="2:4">
      <c r="B76" t="s">
        <v>874</v>
      </c>
      <c r="C76">
        <v>38.8309353</v>
      </c>
      <c r="D76">
        <v>-77.307353699999993</v>
      </c>
    </row>
    <row r="77" spans="2:4">
      <c r="B77" t="s">
        <v>477</v>
      </c>
      <c r="C77">
        <v>38.899714500000002</v>
      </c>
      <c r="D77">
        <v>-77.048599199999998</v>
      </c>
    </row>
    <row r="78" spans="2:4">
      <c r="B78" t="s">
        <v>480</v>
      </c>
      <c r="C78" t="s">
        <v>875</v>
      </c>
      <c r="D78">
        <v>-84.396285000000006</v>
      </c>
    </row>
    <row r="79" spans="2:4">
      <c r="B79" t="s">
        <v>629</v>
      </c>
      <c r="C79">
        <v>55.872121100000001</v>
      </c>
      <c r="D79">
        <v>-4.2882005000000003</v>
      </c>
    </row>
    <row r="80" spans="2:4">
      <c r="B80" t="s">
        <v>876</v>
      </c>
      <c r="C80">
        <v>38.8995447</v>
      </c>
      <c r="D80">
        <v>-77.026407699999993</v>
      </c>
    </row>
    <row r="81" spans="2:4">
      <c r="B81" t="s">
        <v>483</v>
      </c>
      <c r="C81">
        <v>23.2002509</v>
      </c>
      <c r="D81">
        <v>113.2898677</v>
      </c>
    </row>
    <row r="82" spans="2:4">
      <c r="B82" t="s">
        <v>486</v>
      </c>
      <c r="C82">
        <v>20.059265799999999</v>
      </c>
      <c r="D82">
        <v>110.33839829999999</v>
      </c>
    </row>
    <row r="83" spans="2:4">
      <c r="B83" t="s">
        <v>877</v>
      </c>
      <c r="C83">
        <v>30.274084999999999</v>
      </c>
      <c r="D83">
        <v>120.15506999999999</v>
      </c>
    </row>
    <row r="84" spans="2:4">
      <c r="B84" t="s">
        <v>878</v>
      </c>
      <c r="C84">
        <v>21.289654299999999</v>
      </c>
      <c r="D84">
        <v>-157.8366322</v>
      </c>
    </row>
    <row r="85" spans="2:4">
      <c r="B85" t="s">
        <v>374</v>
      </c>
      <c r="C85">
        <v>33.980178799999997</v>
      </c>
      <c r="D85">
        <v>-118.39419030000001</v>
      </c>
    </row>
    <row r="86" spans="2:4">
      <c r="B86" t="s">
        <v>879</v>
      </c>
      <c r="C86">
        <v>49.398752399999999</v>
      </c>
      <c r="D86">
        <v>8.6724335000000004</v>
      </c>
    </row>
    <row r="87" spans="2:4">
      <c r="B87" t="s">
        <v>489</v>
      </c>
      <c r="C87">
        <v>51.196869999999997</v>
      </c>
      <c r="D87">
        <v>6.790667</v>
      </c>
    </row>
    <row r="88" spans="2:4">
      <c r="B88" t="s">
        <v>880</v>
      </c>
      <c r="C88">
        <v>21.282437999999999</v>
      </c>
      <c r="D88">
        <v>-157.83752200000001</v>
      </c>
    </row>
    <row r="89" spans="2:4">
      <c r="B89" t="s">
        <v>376</v>
      </c>
      <c r="C89">
        <v>44.9514219</v>
      </c>
      <c r="D89">
        <v>-93.270155200000005</v>
      </c>
    </row>
    <row r="90" spans="2:4">
      <c r="B90" t="s">
        <v>881</v>
      </c>
      <c r="C90">
        <v>22.396428</v>
      </c>
      <c r="D90">
        <v>114.109497</v>
      </c>
    </row>
    <row r="91" spans="2:4">
      <c r="B91" t="s">
        <v>490</v>
      </c>
      <c r="C91">
        <v>37.550976900000002</v>
      </c>
      <c r="D91">
        <v>126.92570069999999</v>
      </c>
    </row>
    <row r="92" spans="2:4">
      <c r="B92" t="s">
        <v>882</v>
      </c>
      <c r="C92">
        <v>21.306944399999999</v>
      </c>
      <c r="D92">
        <v>-157.8583333</v>
      </c>
    </row>
    <row r="93" spans="2:4">
      <c r="B93" t="s">
        <v>883</v>
      </c>
      <c r="C93">
        <v>29.7604267</v>
      </c>
      <c r="D93">
        <v>-95.369802800000002</v>
      </c>
    </row>
    <row r="94" spans="2:4">
      <c r="B94" t="s">
        <v>884</v>
      </c>
      <c r="C94">
        <v>17.385044000000001</v>
      </c>
      <c r="D94">
        <v>78.486671000000001</v>
      </c>
    </row>
    <row r="95" spans="2:4">
      <c r="B95" t="s">
        <v>7</v>
      </c>
      <c r="C95">
        <v>51.023866400000003</v>
      </c>
      <c r="D95">
        <v>-1.4008731999999999</v>
      </c>
    </row>
    <row r="96" spans="2:4">
      <c r="B96" t="s">
        <v>885</v>
      </c>
      <c r="C96">
        <v>41.018746700000001</v>
      </c>
      <c r="D96">
        <v>-73.921753100000004</v>
      </c>
    </row>
    <row r="97" spans="2:4">
      <c r="B97" t="s">
        <v>380</v>
      </c>
      <c r="C97">
        <v>13.048009800000001</v>
      </c>
      <c r="D97">
        <v>77.622013100000004</v>
      </c>
    </row>
    <row r="98" spans="2:4">
      <c r="B98" t="s">
        <v>381</v>
      </c>
      <c r="C98">
        <v>40.045166100000003</v>
      </c>
      <c r="D98">
        <v>116.2907048</v>
      </c>
    </row>
    <row r="99" spans="2:4">
      <c r="B99" t="s">
        <v>379</v>
      </c>
      <c r="C99">
        <v>28.544582800000001</v>
      </c>
      <c r="D99">
        <v>77.148099099999996</v>
      </c>
    </row>
    <row r="100" spans="2:4">
      <c r="B100" t="s">
        <v>8</v>
      </c>
      <c r="C100">
        <v>41.210721900000003</v>
      </c>
      <c r="D100">
        <v>-73.803172799999999</v>
      </c>
    </row>
    <row r="101" spans="2:4">
      <c r="B101" t="s">
        <v>383</v>
      </c>
      <c r="C101">
        <v>47.375722600000003</v>
      </c>
      <c r="D101">
        <v>8.5479406999999998</v>
      </c>
    </row>
    <row r="102" spans="2:4">
      <c r="B102" t="s">
        <v>499</v>
      </c>
      <c r="C102">
        <v>40.407052700000001</v>
      </c>
      <c r="D102">
        <v>-3.8356447</v>
      </c>
    </row>
    <row r="103" spans="2:4">
      <c r="B103" t="s">
        <v>508</v>
      </c>
      <c r="C103">
        <v>51.498799699999999</v>
      </c>
      <c r="D103">
        <v>-0.17487720000000001</v>
      </c>
    </row>
    <row r="104" spans="2:4">
      <c r="B104" t="s">
        <v>886</v>
      </c>
      <c r="C104">
        <v>51.498799699999999</v>
      </c>
      <c r="D104">
        <v>-0.17487720000000001</v>
      </c>
    </row>
    <row r="105" spans="2:4">
      <c r="B105" t="s">
        <v>502</v>
      </c>
      <c r="C105">
        <v>48.837781900000003</v>
      </c>
      <c r="D105">
        <v>2.1028251</v>
      </c>
    </row>
    <row r="106" spans="2:4">
      <c r="B106" t="s">
        <v>5029</v>
      </c>
      <c r="C106">
        <v>43.615572399999998</v>
      </c>
      <c r="D106">
        <v>7.0711250000000003</v>
      </c>
    </row>
    <row r="107" spans="2:4">
      <c r="B107" t="s">
        <v>391</v>
      </c>
      <c r="C107">
        <v>1.2996402</v>
      </c>
      <c r="D107">
        <v>103.7879476</v>
      </c>
    </row>
    <row r="108" spans="2:4">
      <c r="B108" t="s">
        <v>514</v>
      </c>
      <c r="C108">
        <v>42.0266187</v>
      </c>
      <c r="D108">
        <v>-93.646465399999997</v>
      </c>
    </row>
    <row r="109" spans="2:4">
      <c r="B109" t="s">
        <v>506</v>
      </c>
      <c r="C109">
        <v>48.309851999999999</v>
      </c>
      <c r="D109">
        <v>16.259695900000001</v>
      </c>
    </row>
    <row r="110" spans="2:4">
      <c r="B110" t="s">
        <v>887</v>
      </c>
      <c r="C110">
        <v>41.045833000000002</v>
      </c>
      <c r="D110">
        <v>28.988333000000001</v>
      </c>
    </row>
    <row r="111" spans="2:4">
      <c r="B111" t="s">
        <v>888</v>
      </c>
      <c r="C111">
        <v>41.008237600000001</v>
      </c>
      <c r="D111">
        <v>28.9783589</v>
      </c>
    </row>
    <row r="112" spans="2:4">
      <c r="B112" t="s">
        <v>517</v>
      </c>
      <c r="C112">
        <v>45.064780200000001</v>
      </c>
      <c r="D112">
        <v>7.6585140999999997</v>
      </c>
    </row>
    <row r="113" spans="2:4">
      <c r="B113" t="s">
        <v>520</v>
      </c>
      <c r="C113">
        <v>43.824335599999998</v>
      </c>
      <c r="D113">
        <v>125.28982000000001</v>
      </c>
    </row>
    <row r="114" spans="2:4">
      <c r="B114" t="s">
        <v>522</v>
      </c>
      <c r="C114">
        <v>39.197443700000001</v>
      </c>
      <c r="D114">
        <v>-96.584724899999998</v>
      </c>
    </row>
    <row r="115" spans="2:4">
      <c r="B115" t="s">
        <v>525</v>
      </c>
      <c r="C115">
        <v>49.011919900000002</v>
      </c>
      <c r="D115">
        <v>8.4170303000000004</v>
      </c>
    </row>
    <row r="116" spans="2:4">
      <c r="B116" t="s">
        <v>526</v>
      </c>
      <c r="C116">
        <v>59.406342100000003</v>
      </c>
      <c r="D116">
        <v>13.582395399999999</v>
      </c>
    </row>
    <row r="117" spans="2:4">
      <c r="B117" t="s">
        <v>531</v>
      </c>
      <c r="C117">
        <v>51.511486400000003</v>
      </c>
      <c r="D117">
        <v>-0.115997</v>
      </c>
    </row>
    <row r="118" spans="2:4">
      <c r="B118" t="s">
        <v>889</v>
      </c>
      <c r="C118">
        <v>36.169941199999997</v>
      </c>
      <c r="D118">
        <v>-115.1398296</v>
      </c>
    </row>
    <row r="119" spans="2:4">
      <c r="B119" t="s">
        <v>534</v>
      </c>
      <c r="C119">
        <v>51.338573799999999</v>
      </c>
      <c r="D119">
        <v>12.3784615</v>
      </c>
    </row>
    <row r="120" spans="2:4">
      <c r="B120" t="s">
        <v>394</v>
      </c>
      <c r="C120">
        <v>51.745737599999998</v>
      </c>
      <c r="D120">
        <v>-0.32705800000000002</v>
      </c>
    </row>
    <row r="121" spans="2:4">
      <c r="B121" t="s">
        <v>890</v>
      </c>
      <c r="C121">
        <v>51.507350899999999</v>
      </c>
      <c r="D121">
        <v>-0.12775829999999999</v>
      </c>
    </row>
    <row r="122" spans="2:4">
      <c r="B122" t="s">
        <v>536</v>
      </c>
      <c r="C122">
        <v>35.844058199999999</v>
      </c>
      <c r="D122">
        <v>-106.287162</v>
      </c>
    </row>
    <row r="123" spans="2:4">
      <c r="B123" t="s">
        <v>891</v>
      </c>
      <c r="C123">
        <v>46.003677799999998</v>
      </c>
      <c r="D123">
        <v>8.9510520000000007</v>
      </c>
    </row>
    <row r="124" spans="2:4">
      <c r="B124" t="s">
        <v>892</v>
      </c>
      <c r="C124">
        <v>50.851368200000003</v>
      </c>
      <c r="D124">
        <v>5.6909725</v>
      </c>
    </row>
    <row r="125" spans="2:4">
      <c r="B125" t="s">
        <v>893</v>
      </c>
      <c r="C125">
        <v>22.198744999999999</v>
      </c>
      <c r="D125">
        <v>113.543873</v>
      </c>
    </row>
    <row r="126" spans="2:4">
      <c r="B126" t="s">
        <v>894</v>
      </c>
      <c r="C126">
        <v>49.487459200000004</v>
      </c>
      <c r="D126">
        <v>8.4660395000000008</v>
      </c>
    </row>
    <row r="127" spans="2:4">
      <c r="B127" t="s">
        <v>895</v>
      </c>
      <c r="C127">
        <v>33.980289300000003</v>
      </c>
      <c r="D127">
        <v>-118.45174489999999</v>
      </c>
    </row>
    <row r="128" spans="2:4">
      <c r="B128" t="s">
        <v>896</v>
      </c>
      <c r="C128">
        <v>38.924935900000001</v>
      </c>
      <c r="D128">
        <v>-77.053349400000002</v>
      </c>
    </row>
    <row r="129" spans="2:4">
      <c r="B129" t="s">
        <v>539</v>
      </c>
      <c r="C129">
        <v>42.360090999999997</v>
      </c>
      <c r="D129">
        <v>-71.094160000000002</v>
      </c>
    </row>
    <row r="130" spans="2:4">
      <c r="B130" t="s">
        <v>897</v>
      </c>
      <c r="C130">
        <v>20.798362600000001</v>
      </c>
      <c r="D130">
        <v>-156.33192529999999</v>
      </c>
    </row>
    <row r="131" spans="2:4">
      <c r="B131" t="s">
        <v>898</v>
      </c>
      <c r="C131">
        <v>25.7616798</v>
      </c>
      <c r="D131">
        <v>-80.1917902</v>
      </c>
    </row>
    <row r="132" spans="2:4">
      <c r="B132" t="s">
        <v>397</v>
      </c>
      <c r="C132">
        <v>52.194879899999997</v>
      </c>
      <c r="D132">
        <v>0.13499079999999999</v>
      </c>
    </row>
    <row r="133" spans="2:4">
      <c r="B133" t="s">
        <v>335</v>
      </c>
      <c r="C133">
        <v>51.503934399999999</v>
      </c>
      <c r="D133">
        <v>-0.1250339</v>
      </c>
    </row>
    <row r="134" spans="2:4">
      <c r="B134" t="s">
        <v>899</v>
      </c>
      <c r="C134">
        <v>43.737411000000002</v>
      </c>
      <c r="D134">
        <v>7.4208160000000003</v>
      </c>
    </row>
    <row r="135" spans="2:4">
      <c r="B135" t="s">
        <v>900</v>
      </c>
      <c r="C135">
        <v>45.501688899999998</v>
      </c>
      <c r="D135">
        <v>-73.567256</v>
      </c>
    </row>
    <row r="136" spans="2:4">
      <c r="B136" t="s">
        <v>901</v>
      </c>
      <c r="C136">
        <v>45.501688899999998</v>
      </c>
      <c r="D136">
        <v>-73.567256</v>
      </c>
    </row>
    <row r="137" spans="2:4">
      <c r="B137" t="s">
        <v>540</v>
      </c>
      <c r="C137">
        <v>35.692433600000001</v>
      </c>
      <c r="D137">
        <v>139.7581921</v>
      </c>
    </row>
    <row r="138" spans="2:4">
      <c r="B138" t="s">
        <v>902</v>
      </c>
      <c r="C138">
        <v>29.951065799999999</v>
      </c>
      <c r="D138">
        <v>-90.071532300000001</v>
      </c>
    </row>
    <row r="139" spans="2:4">
      <c r="B139" t="s">
        <v>545</v>
      </c>
      <c r="C139">
        <v>40.729513400000002</v>
      </c>
      <c r="D139">
        <v>-73.996460900000002</v>
      </c>
    </row>
    <row r="140" spans="2:4">
      <c r="B140" t="s">
        <v>903</v>
      </c>
      <c r="C140">
        <v>40.712783700000003</v>
      </c>
      <c r="D140">
        <v>-74.005941300000003</v>
      </c>
    </row>
    <row r="141" spans="2:4">
      <c r="B141" t="s">
        <v>904</v>
      </c>
      <c r="C141">
        <v>43.0895577</v>
      </c>
      <c r="D141">
        <v>-79.084943600000003</v>
      </c>
    </row>
    <row r="142" spans="2:4">
      <c r="B142" t="s">
        <v>400</v>
      </c>
      <c r="C142">
        <v>37.419165300000003</v>
      </c>
      <c r="D142">
        <v>-122.144777</v>
      </c>
    </row>
    <row r="143" spans="2:4">
      <c r="B143" t="s">
        <v>548</v>
      </c>
      <c r="C143">
        <v>35.784663299999998</v>
      </c>
      <c r="D143">
        <v>-78.682094599999999</v>
      </c>
    </row>
    <row r="144" spans="2:4">
      <c r="B144" t="s">
        <v>551</v>
      </c>
      <c r="C144">
        <v>40.014190499999998</v>
      </c>
      <c r="D144">
        <v>-83.030914300000006</v>
      </c>
    </row>
    <row r="145" spans="2:4">
      <c r="B145" t="s">
        <v>554</v>
      </c>
      <c r="C145">
        <v>52.024747300000001</v>
      </c>
      <c r="D145">
        <v>-0.70824799999999999</v>
      </c>
    </row>
    <row r="146" spans="2:4">
      <c r="B146" t="s">
        <v>905</v>
      </c>
      <c r="C146">
        <v>28.361030499999998</v>
      </c>
      <c r="D146">
        <v>-81.509687200000002</v>
      </c>
    </row>
    <row r="147" spans="2:4">
      <c r="B147" t="s">
        <v>906</v>
      </c>
      <c r="C147">
        <v>28.538335499999999</v>
      </c>
      <c r="D147">
        <v>-81.379236500000005</v>
      </c>
    </row>
    <row r="148" spans="2:4">
      <c r="B148" t="s">
        <v>555</v>
      </c>
      <c r="C148">
        <v>34.822013900000002</v>
      </c>
      <c r="D148">
        <v>135.52446760000001</v>
      </c>
    </row>
    <row r="149" spans="2:4">
      <c r="B149" t="s">
        <v>559</v>
      </c>
      <c r="C149">
        <v>51.756634099999999</v>
      </c>
      <c r="D149">
        <v>-1.2547037000000001</v>
      </c>
    </row>
    <row r="150" spans="2:4">
      <c r="B150" t="s">
        <v>563</v>
      </c>
      <c r="C150">
        <v>41.029482299999998</v>
      </c>
      <c r="D150">
        <v>29.2585202</v>
      </c>
    </row>
    <row r="151" spans="2:4">
      <c r="B151" t="s">
        <v>907</v>
      </c>
      <c r="C151">
        <v>41.011307799999997</v>
      </c>
      <c r="D151">
        <v>-73.9132927</v>
      </c>
    </row>
    <row r="152" spans="2:4">
      <c r="B152" t="s">
        <v>402</v>
      </c>
      <c r="C152">
        <v>37.402512700000003</v>
      </c>
      <c r="D152">
        <v>-122.1479373</v>
      </c>
    </row>
    <row r="153" spans="2:4">
      <c r="B153" t="s">
        <v>908</v>
      </c>
      <c r="C153">
        <v>48.856614</v>
      </c>
      <c r="D153">
        <v>2.3522219</v>
      </c>
    </row>
    <row r="154" spans="2:4">
      <c r="B154" t="s">
        <v>565</v>
      </c>
      <c r="C154">
        <v>40.7982133</v>
      </c>
      <c r="D154">
        <v>-77.859908399999995</v>
      </c>
    </row>
    <row r="155" spans="2:4">
      <c r="B155" t="s">
        <v>909</v>
      </c>
      <c r="C155">
        <v>30.421309000000001</v>
      </c>
      <c r="D155">
        <v>87.216914900000006</v>
      </c>
    </row>
    <row r="156" spans="2:4">
      <c r="B156" t="s">
        <v>566</v>
      </c>
      <c r="C156">
        <v>34.041404499999999</v>
      </c>
      <c r="D156">
        <v>118.7095814</v>
      </c>
    </row>
    <row r="157" spans="2:4">
      <c r="B157" t="s">
        <v>910</v>
      </c>
      <c r="C157">
        <v>33.448377100000002</v>
      </c>
      <c r="D157">
        <v>-112.0740373</v>
      </c>
    </row>
    <row r="158" spans="2:4">
      <c r="B158" t="s">
        <v>911</v>
      </c>
      <c r="C158">
        <v>43.722838600000003</v>
      </c>
      <c r="D158">
        <v>10.401688800000001</v>
      </c>
    </row>
    <row r="159" spans="2:4">
      <c r="B159" t="s">
        <v>569</v>
      </c>
      <c r="C159">
        <v>40.357297600000003</v>
      </c>
      <c r="D159">
        <v>-74.667222600000002</v>
      </c>
    </row>
    <row r="160" spans="2:4">
      <c r="B160" t="s">
        <v>572</v>
      </c>
      <c r="C160">
        <v>51.524067100000003</v>
      </c>
      <c r="D160">
        <v>-4.0374500000000001E-2</v>
      </c>
    </row>
    <row r="161" spans="2:4">
      <c r="B161" t="s">
        <v>575</v>
      </c>
      <c r="C161">
        <v>54.584408699999997</v>
      </c>
      <c r="D161">
        <v>-5.9340494000000001</v>
      </c>
    </row>
    <row r="162" spans="2:4">
      <c r="B162" t="s">
        <v>578</v>
      </c>
      <c r="C162">
        <v>42.730172000000003</v>
      </c>
      <c r="D162">
        <v>-73.678802599999997</v>
      </c>
    </row>
    <row r="163" spans="2:4">
      <c r="B163" t="s">
        <v>912</v>
      </c>
      <c r="C163">
        <v>-22.906846699999999</v>
      </c>
      <c r="D163">
        <v>-43.1728965</v>
      </c>
    </row>
    <row r="164" spans="2:4">
      <c r="B164" t="s">
        <v>404</v>
      </c>
      <c r="C164">
        <v>50.999415999999997</v>
      </c>
      <c r="D164">
        <v>-1.519833</v>
      </c>
    </row>
    <row r="165" spans="2:4">
      <c r="B165" t="s">
        <v>577</v>
      </c>
      <c r="C165">
        <v>51.425673000000003</v>
      </c>
      <c r="D165">
        <v>-0.56306250000000002</v>
      </c>
    </row>
    <row r="166" spans="2:4">
      <c r="B166" t="s">
        <v>5032</v>
      </c>
      <c r="C166">
        <v>51.445665900000002</v>
      </c>
      <c r="D166">
        <v>7.2616092999999999</v>
      </c>
    </row>
    <row r="167" spans="2:4">
      <c r="B167" t="s">
        <v>582</v>
      </c>
      <c r="C167">
        <v>40.500818600000002</v>
      </c>
      <c r="D167">
        <v>-74.447399099999998</v>
      </c>
    </row>
    <row r="168" spans="2:4">
      <c r="B168" t="s">
        <v>913</v>
      </c>
      <c r="C168">
        <v>44.953702900000003</v>
      </c>
      <c r="D168">
        <v>-93.089957799999993</v>
      </c>
    </row>
    <row r="169" spans="2:4">
      <c r="B169" t="s">
        <v>9</v>
      </c>
      <c r="C169">
        <v>40.9613376</v>
      </c>
      <c r="D169">
        <v>-5.6669251000000003</v>
      </c>
    </row>
    <row r="170" spans="2:4">
      <c r="B170" t="s">
        <v>914</v>
      </c>
      <c r="C170">
        <v>32.706560000000003</v>
      </c>
      <c r="D170">
        <v>-117.16184</v>
      </c>
    </row>
    <row r="171" spans="2:4">
      <c r="B171" t="s">
        <v>915</v>
      </c>
      <c r="C171">
        <v>32.715738000000002</v>
      </c>
      <c r="D171">
        <v>-117.1610838</v>
      </c>
    </row>
    <row r="172" spans="2:4">
      <c r="B172" t="s">
        <v>916</v>
      </c>
      <c r="C172">
        <v>37.774929499999999</v>
      </c>
      <c r="D172">
        <v>-122.4194155</v>
      </c>
    </row>
    <row r="173" spans="2:4">
      <c r="B173" t="s">
        <v>917</v>
      </c>
      <c r="C173">
        <v>37.329844299999998</v>
      </c>
      <c r="D173">
        <v>-121.8888075</v>
      </c>
    </row>
    <row r="174" spans="2:4">
      <c r="B174" t="s">
        <v>583</v>
      </c>
      <c r="C174">
        <v>37.602637999999999</v>
      </c>
      <c r="D174">
        <v>126.955252</v>
      </c>
    </row>
    <row r="175" spans="2:4">
      <c r="B175" t="s">
        <v>918</v>
      </c>
      <c r="C175">
        <v>34.420830500000001</v>
      </c>
      <c r="D175">
        <v>-119.69819010000001</v>
      </c>
    </row>
    <row r="176" spans="2:4">
      <c r="B176" t="s">
        <v>919</v>
      </c>
      <c r="C176">
        <v>36.3931562</v>
      </c>
      <c r="D176">
        <v>25.461509199999998</v>
      </c>
    </row>
    <row r="177" spans="2:4">
      <c r="B177" t="s">
        <v>920</v>
      </c>
      <c r="C177">
        <v>47.606209499999999</v>
      </c>
      <c r="D177">
        <v>-122.3320708</v>
      </c>
    </row>
    <row r="178" spans="2:4">
      <c r="B178" t="s">
        <v>921</v>
      </c>
      <c r="C178">
        <v>47.606209499999999</v>
      </c>
      <c r="D178">
        <v>-122.3320708</v>
      </c>
    </row>
    <row r="179" spans="2:4">
      <c r="B179" t="s">
        <v>922</v>
      </c>
      <c r="C179">
        <v>37.566535000000002</v>
      </c>
      <c r="D179">
        <v>126.9779692</v>
      </c>
    </row>
    <row r="180" spans="2:4">
      <c r="B180" t="s">
        <v>923</v>
      </c>
      <c r="C180">
        <v>31.230416000000002</v>
      </c>
      <c r="D180">
        <v>121.47370100000001</v>
      </c>
    </row>
    <row r="181" spans="2:4">
      <c r="B181" t="s">
        <v>924</v>
      </c>
      <c r="C181">
        <v>43.651161999999999</v>
      </c>
      <c r="D181">
        <v>-79.384507999999997</v>
      </c>
    </row>
    <row r="182" spans="2:4">
      <c r="B182" t="s">
        <v>925</v>
      </c>
      <c r="C182">
        <v>22.295262000000001</v>
      </c>
      <c r="D182">
        <v>114.172601</v>
      </c>
    </row>
    <row r="183" spans="2:4">
      <c r="B183" t="s">
        <v>590</v>
      </c>
      <c r="C183">
        <v>1.2965675999999999</v>
      </c>
      <c r="D183">
        <v>103.85211839999999</v>
      </c>
    </row>
    <row r="184" spans="2:4">
      <c r="B184" t="s">
        <v>926</v>
      </c>
      <c r="C184">
        <v>37.521231399999998</v>
      </c>
      <c r="D184">
        <v>126.9183058</v>
      </c>
    </row>
    <row r="185" spans="2:4">
      <c r="B185" t="s">
        <v>593</v>
      </c>
      <c r="C185">
        <v>30.698826</v>
      </c>
      <c r="D185">
        <v>104.054862</v>
      </c>
    </row>
    <row r="186" spans="2:4">
      <c r="B186" t="s">
        <v>411</v>
      </c>
      <c r="C186">
        <v>34.022351899999997</v>
      </c>
      <c r="D186">
        <v>-118.285117</v>
      </c>
    </row>
    <row r="187" spans="2:4">
      <c r="B187" t="s">
        <v>409</v>
      </c>
      <c r="C187">
        <v>37.4572541</v>
      </c>
      <c r="D187">
        <v>-122.1759112</v>
      </c>
    </row>
    <row r="188" spans="2:4">
      <c r="B188" t="s">
        <v>596</v>
      </c>
      <c r="C188">
        <v>37.427474500000002</v>
      </c>
      <c r="D188">
        <v>-122.169719</v>
      </c>
    </row>
    <row r="189" spans="2:4">
      <c r="B189" t="s">
        <v>599</v>
      </c>
      <c r="C189">
        <v>40.744322599999997</v>
      </c>
      <c r="D189">
        <v>-74.025868200000005</v>
      </c>
    </row>
    <row r="190" spans="2:4">
      <c r="B190" t="s">
        <v>602</v>
      </c>
      <c r="C190">
        <v>42.358907500000001</v>
      </c>
      <c r="D190">
        <v>-71.061796099999995</v>
      </c>
    </row>
    <row r="191" spans="2:4">
      <c r="B191" t="s">
        <v>927</v>
      </c>
      <c r="C191">
        <v>1.2939108699999999</v>
      </c>
      <c r="D191">
        <v>103.85342684</v>
      </c>
    </row>
    <row r="192" spans="2:4">
      <c r="B192" t="s">
        <v>928</v>
      </c>
      <c r="C192">
        <v>-33.867486900000003</v>
      </c>
      <c r="D192">
        <v>151.20699020000001</v>
      </c>
    </row>
    <row r="193" spans="2:4">
      <c r="B193" t="s">
        <v>406</v>
      </c>
      <c r="C193">
        <v>51.262276999999997</v>
      </c>
      <c r="D193">
        <v>-2.287452</v>
      </c>
    </row>
    <row r="194" spans="2:4">
      <c r="B194" t="s">
        <v>929</v>
      </c>
      <c r="C194">
        <v>25.033179700000002</v>
      </c>
      <c r="D194">
        <v>121.5608466</v>
      </c>
    </row>
    <row r="195" spans="2:4">
      <c r="B195" t="s">
        <v>413</v>
      </c>
      <c r="C195">
        <v>33.922051400000001</v>
      </c>
      <c r="D195">
        <v>-118.3922376</v>
      </c>
    </row>
    <row r="196" spans="2:4">
      <c r="B196" t="s">
        <v>444</v>
      </c>
      <c r="C196">
        <v>40.750605999999998</v>
      </c>
      <c r="D196">
        <v>-73.973460700000004</v>
      </c>
    </row>
    <row r="197" spans="2:4">
      <c r="B197" t="s">
        <v>414</v>
      </c>
      <c r="C197">
        <v>38.816769000000001</v>
      </c>
      <c r="D197">
        <v>-104.7600746</v>
      </c>
    </row>
    <row r="198" spans="2:4">
      <c r="B198" t="s">
        <v>930</v>
      </c>
      <c r="C198">
        <v>35.689487499999998</v>
      </c>
      <c r="D198">
        <v>139.69170639999999</v>
      </c>
    </row>
    <row r="199" spans="2:4">
      <c r="B199" t="s">
        <v>931</v>
      </c>
      <c r="C199">
        <v>43.653225999999997</v>
      </c>
      <c r="D199">
        <v>-79.383184299999996</v>
      </c>
    </row>
    <row r="200" spans="2:4">
      <c r="B200" t="s">
        <v>608</v>
      </c>
      <c r="C200">
        <v>39.9996674</v>
      </c>
      <c r="D200">
        <v>116.3264439</v>
      </c>
    </row>
    <row r="201" spans="2:4">
      <c r="B201" t="s">
        <v>932</v>
      </c>
      <c r="C201">
        <v>45.070339300000001</v>
      </c>
      <c r="D201">
        <v>7.6868639999999999</v>
      </c>
    </row>
    <row r="202" spans="2:4">
      <c r="B202" t="s">
        <v>611</v>
      </c>
      <c r="C202">
        <v>37.871899200000001</v>
      </c>
      <c r="D202">
        <v>-122.2585399</v>
      </c>
    </row>
    <row r="203" spans="2:4">
      <c r="B203" t="s">
        <v>617</v>
      </c>
      <c r="C203">
        <v>32.880060399999998</v>
      </c>
      <c r="D203">
        <v>-117.2340135</v>
      </c>
    </row>
    <row r="204" spans="2:4">
      <c r="B204" t="s">
        <v>511</v>
      </c>
      <c r="C204">
        <v>47.283653299999997</v>
      </c>
      <c r="D204">
        <v>11.5173808</v>
      </c>
    </row>
    <row r="205" spans="2:4">
      <c r="B205" t="s">
        <v>644</v>
      </c>
      <c r="C205">
        <v>38.753001900000001</v>
      </c>
      <c r="D205">
        <v>-9.1567471999999999</v>
      </c>
    </row>
    <row r="206" spans="2:4">
      <c r="B206" t="s">
        <v>647</v>
      </c>
      <c r="C206">
        <v>41.559393399999998</v>
      </c>
      <c r="D206">
        <v>-8.3972496999999997</v>
      </c>
    </row>
    <row r="207" spans="2:4">
      <c r="B207" t="s">
        <v>640</v>
      </c>
      <c r="C207">
        <v>-19.9235486</v>
      </c>
      <c r="D207">
        <v>-43.966384099999999</v>
      </c>
    </row>
    <row r="208" spans="2:4">
      <c r="B208" t="s">
        <v>5035</v>
      </c>
      <c r="C208">
        <v>45.518383700000001</v>
      </c>
      <c r="D208">
        <v>9.2134041</v>
      </c>
    </row>
    <row r="209" spans="2:4">
      <c r="B209" t="s">
        <v>650</v>
      </c>
      <c r="C209">
        <v>40.845439599999999</v>
      </c>
      <c r="D209">
        <v>14.2578438</v>
      </c>
    </row>
    <row r="210" spans="2:4">
      <c r="B210" t="s">
        <v>5039</v>
      </c>
      <c r="C210">
        <v>37.510278800000002</v>
      </c>
      <c r="D210">
        <v>15.074907899999999</v>
      </c>
    </row>
    <row r="211" spans="2:4">
      <c r="B211" t="s">
        <v>5037</v>
      </c>
      <c r="C211">
        <v>43.7776426</v>
      </c>
      <c r="D211">
        <v>11.259765</v>
      </c>
    </row>
    <row r="212" spans="2:4">
      <c r="B212" t="s">
        <v>653</v>
      </c>
      <c r="C212">
        <v>41.388361500000002</v>
      </c>
      <c r="D212">
        <v>2.1477091000000001</v>
      </c>
    </row>
    <row r="213" spans="2:4">
      <c r="B213" t="s">
        <v>5040</v>
      </c>
      <c r="C213">
        <v>39.481158000000001</v>
      </c>
      <c r="D213">
        <v>-0.34072400000000003</v>
      </c>
    </row>
    <row r="214" spans="2:4">
      <c r="B214" t="s">
        <v>656</v>
      </c>
      <c r="C214">
        <v>41.379049799999997</v>
      </c>
      <c r="D214">
        <v>2.1795632</v>
      </c>
    </row>
    <row r="215" spans="2:4">
      <c r="B215" t="s">
        <v>657</v>
      </c>
      <c r="C215">
        <v>50.669721699999997</v>
      </c>
      <c r="D215">
        <v>4.6149338000000002</v>
      </c>
    </row>
    <row r="216" spans="2:4">
      <c r="B216" t="s">
        <v>615</v>
      </c>
      <c r="C216">
        <v>51.524559199999999</v>
      </c>
      <c r="D216">
        <v>-0.1340401</v>
      </c>
    </row>
    <row r="217" spans="2:4">
      <c r="B217" t="s">
        <v>624</v>
      </c>
      <c r="C217">
        <v>57.164760000000001</v>
      </c>
      <c r="D217">
        <v>-2.1015256999999998</v>
      </c>
    </row>
    <row r="218" spans="2:4">
      <c r="B218" t="s">
        <v>662</v>
      </c>
      <c r="C218">
        <v>33.214023300000001</v>
      </c>
      <c r="D218">
        <v>-87.539141799999996</v>
      </c>
    </row>
    <row r="219" spans="2:4">
      <c r="B219" t="s">
        <v>663</v>
      </c>
      <c r="C219">
        <v>53.523218900000003</v>
      </c>
      <c r="D219">
        <v>-113.5263186</v>
      </c>
    </row>
    <row r="220" spans="2:4">
      <c r="B220" t="s">
        <v>666</v>
      </c>
      <c r="C220">
        <v>32.2318851</v>
      </c>
      <c r="D220">
        <v>-110.9501094</v>
      </c>
    </row>
    <row r="221" spans="2:4">
      <c r="B221" t="s">
        <v>668</v>
      </c>
      <c r="C221">
        <v>-36.852337800000001</v>
      </c>
      <c r="D221">
        <v>174.7691073</v>
      </c>
    </row>
    <row r="222" spans="2:4">
      <c r="B222" t="s">
        <v>673</v>
      </c>
      <c r="C222">
        <v>44.496231799999997</v>
      </c>
      <c r="D222">
        <v>11.354157000000001</v>
      </c>
    </row>
    <row r="223" spans="2:4">
      <c r="B223" t="s">
        <v>676</v>
      </c>
      <c r="C223">
        <v>51.078159900000003</v>
      </c>
      <c r="D223">
        <v>-114.1358007</v>
      </c>
    </row>
    <row r="224" spans="2:4">
      <c r="B224" t="s">
        <v>679</v>
      </c>
      <c r="C224">
        <v>34.413962900000001</v>
      </c>
      <c r="D224">
        <v>-119.848947</v>
      </c>
    </row>
    <row r="225" spans="2:4">
      <c r="B225" t="s">
        <v>613</v>
      </c>
      <c r="C225">
        <v>34.068921000000003</v>
      </c>
      <c r="D225">
        <v>-118.4451811</v>
      </c>
    </row>
    <row r="226" spans="2:4">
      <c r="B226" t="s">
        <v>626</v>
      </c>
      <c r="C226">
        <v>52.204266599999997</v>
      </c>
      <c r="D226">
        <v>0.1149085</v>
      </c>
    </row>
    <row r="227" spans="2:4">
      <c r="B227" t="s">
        <v>682</v>
      </c>
      <c r="C227">
        <v>37.503564699999998</v>
      </c>
      <c r="D227">
        <v>15.0864981</v>
      </c>
    </row>
    <row r="228" spans="2:4">
      <c r="B228" t="s">
        <v>685</v>
      </c>
      <c r="C228">
        <v>28.6024274</v>
      </c>
      <c r="D228">
        <v>-81.200059899999999</v>
      </c>
    </row>
    <row r="229" spans="2:4">
      <c r="B229" t="s">
        <v>686</v>
      </c>
      <c r="C229">
        <v>35.160001399999999</v>
      </c>
      <c r="D229">
        <v>33.377017500000001</v>
      </c>
    </row>
    <row r="230" spans="2:4">
      <c r="B230" t="s">
        <v>690</v>
      </c>
      <c r="C230">
        <v>49.597880400000001</v>
      </c>
      <c r="D230">
        <v>11.004550699999999</v>
      </c>
    </row>
    <row r="231" spans="2:4">
      <c r="B231" t="s">
        <v>691</v>
      </c>
      <c r="C231">
        <v>43.7776426</v>
      </c>
      <c r="D231">
        <v>11.259765</v>
      </c>
    </row>
    <row r="232" spans="2:4">
      <c r="B232" t="s">
        <v>695</v>
      </c>
      <c r="C232">
        <v>43.533225600000002</v>
      </c>
      <c r="D232">
        <v>-80.226930100000004</v>
      </c>
    </row>
    <row r="233" spans="2:4">
      <c r="B233" t="s">
        <v>698</v>
      </c>
      <c r="C233">
        <v>32.7614296</v>
      </c>
      <c r="D233">
        <v>35.019518400000003</v>
      </c>
    </row>
    <row r="234" spans="2:4">
      <c r="B234" t="s">
        <v>701</v>
      </c>
      <c r="C234">
        <v>22.282998899999999</v>
      </c>
      <c r="D234">
        <v>114.1370848</v>
      </c>
    </row>
    <row r="235" spans="2:4">
      <c r="B235" t="s">
        <v>704</v>
      </c>
      <c r="C235">
        <v>41.874917600000003</v>
      </c>
      <c r="D235">
        <v>-87.658342899999994</v>
      </c>
    </row>
    <row r="236" spans="2:4">
      <c r="B236" t="s">
        <v>631</v>
      </c>
      <c r="C236">
        <v>40.101952300000001</v>
      </c>
      <c r="D236">
        <v>-88.227161499999994</v>
      </c>
    </row>
    <row r="237" spans="2:4">
      <c r="B237" t="s">
        <v>707</v>
      </c>
      <c r="C237">
        <v>38.954343899999998</v>
      </c>
      <c r="D237">
        <v>-95.255796099999998</v>
      </c>
    </row>
    <row r="238" spans="2:4">
      <c r="B238" t="s">
        <v>709</v>
      </c>
      <c r="C238">
        <v>49.011919900000002</v>
      </c>
      <c r="D238">
        <v>8.4170303000000004</v>
      </c>
    </row>
    <row r="239" spans="2:4">
      <c r="B239" t="s">
        <v>712</v>
      </c>
      <c r="C239">
        <v>51.298535999999999</v>
      </c>
      <c r="D239">
        <v>1.0716289999999999</v>
      </c>
    </row>
    <row r="240" spans="2:4">
      <c r="B240" t="s">
        <v>715</v>
      </c>
      <c r="C240">
        <v>53.405935999999997</v>
      </c>
      <c r="D240">
        <v>-2.9655722</v>
      </c>
    </row>
    <row r="241" spans="2:4">
      <c r="B241" t="s">
        <v>716</v>
      </c>
      <c r="C241">
        <v>46.010960300000001</v>
      </c>
      <c r="D241">
        <v>8.9582572000000003</v>
      </c>
    </row>
    <row r="242" spans="2:4">
      <c r="B242" t="s">
        <v>720</v>
      </c>
      <c r="C242">
        <v>49.504254000000003</v>
      </c>
      <c r="D242">
        <v>5.9483860000000002</v>
      </c>
    </row>
    <row r="243" spans="2:4">
      <c r="B243" t="s">
        <v>619</v>
      </c>
      <c r="C243">
        <v>39.2551135</v>
      </c>
      <c r="D243">
        <v>-76.711195599999996</v>
      </c>
    </row>
    <row r="244" spans="2:4">
      <c r="B244" t="s">
        <v>11</v>
      </c>
      <c r="C244">
        <v>38.986463700000002</v>
      </c>
      <c r="D244">
        <v>-76.954310300000003</v>
      </c>
    </row>
    <row r="245" spans="2:4">
      <c r="B245" t="s">
        <v>621</v>
      </c>
      <c r="C245">
        <v>42.391156899999999</v>
      </c>
      <c r="D245">
        <v>-72.526712099999997</v>
      </c>
    </row>
    <row r="246" spans="2:4">
      <c r="B246" t="s">
        <v>723</v>
      </c>
      <c r="C246">
        <v>35.118369999999999</v>
      </c>
      <c r="D246">
        <v>-89.940639000000004</v>
      </c>
    </row>
    <row r="247" spans="2:4">
      <c r="B247" t="s">
        <v>726</v>
      </c>
      <c r="C247">
        <v>42.278043599999997</v>
      </c>
      <c r="D247">
        <v>-83.738224099999996</v>
      </c>
    </row>
    <row r="248" spans="2:4">
      <c r="B248" t="s">
        <v>729</v>
      </c>
      <c r="C248">
        <v>44.973990000000001</v>
      </c>
      <c r="D248">
        <v>-93.227728499999998</v>
      </c>
    </row>
    <row r="249" spans="2:4">
      <c r="B249" t="s">
        <v>730</v>
      </c>
      <c r="C249">
        <v>50.466560000000001</v>
      </c>
      <c r="D249">
        <v>4.8601099999999997</v>
      </c>
    </row>
    <row r="250" spans="2:4">
      <c r="B250" t="s">
        <v>734</v>
      </c>
      <c r="C250">
        <v>35.904912199999998</v>
      </c>
      <c r="D250">
        <v>-79.046913399999994</v>
      </c>
    </row>
    <row r="251" spans="2:4">
      <c r="B251" t="s">
        <v>736</v>
      </c>
      <c r="C251">
        <v>41.705571599999999</v>
      </c>
      <c r="D251">
        <v>-86.235338799999994</v>
      </c>
    </row>
    <row r="252" spans="2:4">
      <c r="B252" t="s">
        <v>737</v>
      </c>
      <c r="C252">
        <v>45.406765999999998</v>
      </c>
      <c r="D252">
        <v>11.8774462</v>
      </c>
    </row>
    <row r="253" spans="2:4">
      <c r="B253" t="s">
        <v>741</v>
      </c>
      <c r="C253">
        <v>43.716723500000001</v>
      </c>
      <c r="D253">
        <v>10.3988593</v>
      </c>
    </row>
    <row r="254" spans="2:4">
      <c r="B254" t="s">
        <v>744</v>
      </c>
      <c r="C254">
        <v>40.444353300000003</v>
      </c>
      <c r="D254">
        <v>-79.960835000000003</v>
      </c>
    </row>
    <row r="255" spans="2:4">
      <c r="B255" t="s">
        <v>587</v>
      </c>
      <c r="C255">
        <v>41.9037626</v>
      </c>
      <c r="D255">
        <v>12.5144384</v>
      </c>
    </row>
    <row r="256" spans="2:4">
      <c r="B256" t="s">
        <v>634</v>
      </c>
      <c r="C256">
        <v>50.935741999999998</v>
      </c>
      <c r="D256">
        <v>-1.3966381000000001</v>
      </c>
    </row>
    <row r="257" spans="2:4">
      <c r="B257" t="s">
        <v>747</v>
      </c>
      <c r="C257">
        <v>34.022351899999997</v>
      </c>
      <c r="D257">
        <v>-118.285117</v>
      </c>
    </row>
    <row r="258" spans="2:4">
      <c r="B258" t="s">
        <v>750</v>
      </c>
      <c r="C258">
        <v>30.2849185</v>
      </c>
      <c r="D258">
        <v>-97.734056699999996</v>
      </c>
    </row>
    <row r="259" spans="2:4">
      <c r="B259" t="s">
        <v>753</v>
      </c>
      <c r="C259">
        <v>43.662891700000003</v>
      </c>
      <c r="D259">
        <v>-79.395656399999993</v>
      </c>
    </row>
    <row r="260" spans="2:4">
      <c r="B260" t="s">
        <v>933</v>
      </c>
      <c r="C260">
        <v>51.4958259</v>
      </c>
      <c r="D260">
        <v>-3.2122687000000001</v>
      </c>
    </row>
    <row r="261" spans="2:4">
      <c r="B261" t="s">
        <v>637</v>
      </c>
      <c r="C261">
        <v>53.9436757</v>
      </c>
      <c r="D261">
        <v>-1.0562431000000001</v>
      </c>
    </row>
    <row r="262" spans="2:4">
      <c r="B262" t="s">
        <v>756</v>
      </c>
      <c r="C262">
        <v>59.850900500000002</v>
      </c>
      <c r="D262">
        <v>17.630009300000001</v>
      </c>
    </row>
    <row r="263" spans="2:4">
      <c r="B263" t="s">
        <v>337</v>
      </c>
      <c r="C263">
        <v>38.871856800000003</v>
      </c>
      <c r="D263">
        <v>-77.056266899999997</v>
      </c>
    </row>
    <row r="264" spans="2:4">
      <c r="B264" t="s">
        <v>10</v>
      </c>
      <c r="C264">
        <v>41.391837199999998</v>
      </c>
      <c r="D264">
        <v>-73.962503299999995</v>
      </c>
    </row>
    <row r="265" spans="2:4">
      <c r="B265" t="s">
        <v>934</v>
      </c>
      <c r="C265">
        <v>39.469907499999998</v>
      </c>
      <c r="D265">
        <v>-0.37628810000000001</v>
      </c>
    </row>
    <row r="266" spans="2:4">
      <c r="B266" t="s">
        <v>935</v>
      </c>
      <c r="C266">
        <v>49.282729099999997</v>
      </c>
      <c r="D266">
        <v>-123.1207375</v>
      </c>
    </row>
    <row r="267" spans="2:4">
      <c r="B267" t="s">
        <v>418</v>
      </c>
      <c r="C267">
        <v>52.356975499999997</v>
      </c>
      <c r="D267">
        <v>0.1481005</v>
      </c>
    </row>
    <row r="268" spans="2:4">
      <c r="B268" t="s">
        <v>760</v>
      </c>
      <c r="C268">
        <v>37.548987199999999</v>
      </c>
      <c r="D268">
        <v>-77.453428599999995</v>
      </c>
    </row>
    <row r="269" spans="2:4">
      <c r="B269" t="s">
        <v>936</v>
      </c>
      <c r="C269">
        <v>42.376485199999998</v>
      </c>
      <c r="D269">
        <v>-71.235611300000002</v>
      </c>
    </row>
    <row r="270" spans="2:4">
      <c r="B270" t="s">
        <v>937</v>
      </c>
      <c r="C270">
        <v>38.907192299999998</v>
      </c>
      <c r="D270">
        <v>-77.036870699999994</v>
      </c>
    </row>
    <row r="271" spans="2:4">
      <c r="B271" t="s">
        <v>938</v>
      </c>
      <c r="C271">
        <v>41.033986200000001</v>
      </c>
      <c r="D271">
        <v>-73.762909699999994</v>
      </c>
    </row>
    <row r="272" spans="2:4">
      <c r="B272" t="s">
        <v>761</v>
      </c>
      <c r="C272">
        <v>37.565784000000001</v>
      </c>
      <c r="D272">
        <v>126.93857199999999</v>
      </c>
    </row>
  </sheetData>
  <sortState ref="B14:D553">
    <sortCondition ref="B14"/>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B2:E33"/>
  <sheetViews>
    <sheetView workbookViewId="0"/>
  </sheetViews>
  <sheetFormatPr baseColWidth="10" defaultRowHeight="15" x14ac:dyDescent="0"/>
  <cols>
    <col min="1" max="1" width="2.33203125" customWidth="1"/>
    <col min="2" max="2" width="18.83203125" customWidth="1"/>
    <col min="3" max="3" width="85" customWidth="1"/>
    <col min="4" max="4" width="14.1640625" customWidth="1"/>
    <col min="5" max="5" width="47.1640625" customWidth="1"/>
  </cols>
  <sheetData>
    <row r="2" spans="2:5">
      <c r="B2" s="1" t="s">
        <v>2</v>
      </c>
      <c r="C2" s="1" t="s">
        <v>14</v>
      </c>
      <c r="D2" s="1" t="s">
        <v>31</v>
      </c>
      <c r="E2" s="1" t="s">
        <v>35</v>
      </c>
    </row>
    <row r="3" spans="2:5">
      <c r="B3" t="s">
        <v>4202</v>
      </c>
      <c r="C3" t="s">
        <v>4203</v>
      </c>
      <c r="E3" t="s">
        <v>4204</v>
      </c>
    </row>
    <row r="4" spans="2:5">
      <c r="B4" t="s">
        <v>38</v>
      </c>
      <c r="C4" t="s">
        <v>218</v>
      </c>
      <c r="D4" t="s">
        <v>41</v>
      </c>
    </row>
    <row r="5" spans="2:5">
      <c r="B5" t="s">
        <v>4205</v>
      </c>
      <c r="C5" t="s">
        <v>4206</v>
      </c>
      <c r="E5" t="s">
        <v>4207</v>
      </c>
    </row>
    <row r="6" spans="2:5">
      <c r="B6" t="s">
        <v>4208</v>
      </c>
      <c r="C6" t="s">
        <v>4209</v>
      </c>
      <c r="E6" t="s">
        <v>4210</v>
      </c>
    </row>
    <row r="7" spans="2:5">
      <c r="B7" t="s">
        <v>4211</v>
      </c>
      <c r="C7" t="s">
        <v>4212</v>
      </c>
      <c r="E7" t="s">
        <v>4213</v>
      </c>
    </row>
    <row r="8" spans="2:5">
      <c r="B8" t="s">
        <v>4214</v>
      </c>
      <c r="C8" t="s">
        <v>4215</v>
      </c>
      <c r="E8" t="s">
        <v>4216</v>
      </c>
    </row>
    <row r="9" spans="2:5">
      <c r="B9" t="s">
        <v>4217</v>
      </c>
      <c r="C9" t="s">
        <v>4218</v>
      </c>
      <c r="E9" t="s">
        <v>4219</v>
      </c>
    </row>
    <row r="10" spans="2:5">
      <c r="B10" t="s">
        <v>4220</v>
      </c>
      <c r="C10" t="s">
        <v>4221</v>
      </c>
      <c r="E10" t="s">
        <v>4222</v>
      </c>
    </row>
    <row r="11" spans="2:5">
      <c r="B11" t="s">
        <v>4223</v>
      </c>
      <c r="C11" t="s">
        <v>4224</v>
      </c>
      <c r="E11" t="s">
        <v>4225</v>
      </c>
    </row>
    <row r="12" spans="2:5">
      <c r="B12" t="s">
        <v>4226</v>
      </c>
      <c r="C12" t="s">
        <v>4227</v>
      </c>
      <c r="E12" t="s">
        <v>4228</v>
      </c>
    </row>
    <row r="13" spans="2:5">
      <c r="B13" t="s">
        <v>4229</v>
      </c>
      <c r="C13" t="s">
        <v>4230</v>
      </c>
      <c r="E13" t="s">
        <v>4231</v>
      </c>
    </row>
    <row r="14" spans="2:5">
      <c r="B14" t="s">
        <v>4232</v>
      </c>
      <c r="C14" t="s">
        <v>4233</v>
      </c>
      <c r="E14" t="s">
        <v>4234</v>
      </c>
    </row>
    <row r="15" spans="2:5">
      <c r="B15" t="s">
        <v>39</v>
      </c>
      <c r="C15" t="s">
        <v>219</v>
      </c>
      <c r="D15" t="s">
        <v>40</v>
      </c>
    </row>
    <row r="16" spans="2:5">
      <c r="B16" t="s">
        <v>4235</v>
      </c>
      <c r="C16" t="s">
        <v>4236</v>
      </c>
      <c r="E16" t="s">
        <v>4237</v>
      </c>
    </row>
    <row r="17" spans="2:5">
      <c r="B17" t="s">
        <v>4238</v>
      </c>
      <c r="C17" t="s">
        <v>4239</v>
      </c>
      <c r="E17" t="s">
        <v>4240</v>
      </c>
    </row>
    <row r="18" spans="2:5">
      <c r="B18" t="s">
        <v>4241</v>
      </c>
      <c r="C18" t="s">
        <v>4242</v>
      </c>
      <c r="E18" t="s">
        <v>4243</v>
      </c>
    </row>
    <row r="19" spans="2:5">
      <c r="B19" t="s">
        <v>4244</v>
      </c>
      <c r="C19" t="s">
        <v>4245</v>
      </c>
      <c r="E19" t="s">
        <v>4246</v>
      </c>
    </row>
    <row r="20" spans="2:5">
      <c r="B20" t="s">
        <v>4247</v>
      </c>
      <c r="C20" t="s">
        <v>4248</v>
      </c>
      <c r="E20" t="s">
        <v>4249</v>
      </c>
    </row>
    <row r="21" spans="2:5">
      <c r="B21" t="s">
        <v>4250</v>
      </c>
      <c r="C21" t="s">
        <v>4251</v>
      </c>
      <c r="E21" t="s">
        <v>4252</v>
      </c>
    </row>
    <row r="22" spans="2:5">
      <c r="B22" t="s">
        <v>4253</v>
      </c>
      <c r="C22" t="s">
        <v>4254</v>
      </c>
      <c r="E22" t="s">
        <v>4255</v>
      </c>
    </row>
    <row r="23" spans="2:5">
      <c r="B23" t="s">
        <v>4256</v>
      </c>
      <c r="C23" t="s">
        <v>4257</v>
      </c>
      <c r="E23" t="s">
        <v>4258</v>
      </c>
    </row>
    <row r="24" spans="2:5">
      <c r="B24" t="s">
        <v>4259</v>
      </c>
      <c r="C24" t="s">
        <v>4260</v>
      </c>
    </row>
    <row r="25" spans="2:5">
      <c r="B25" t="s">
        <v>4261</v>
      </c>
      <c r="C25" t="s">
        <v>4262</v>
      </c>
      <c r="E25" t="s">
        <v>4263</v>
      </c>
    </row>
    <row r="26" spans="2:5">
      <c r="B26" t="s">
        <v>4264</v>
      </c>
      <c r="C26" t="s">
        <v>4265</v>
      </c>
      <c r="E26" t="s">
        <v>4266</v>
      </c>
    </row>
    <row r="27" spans="2:5">
      <c r="B27" t="s">
        <v>4267</v>
      </c>
      <c r="C27" t="s">
        <v>4268</v>
      </c>
      <c r="E27" t="s">
        <v>4269</v>
      </c>
    </row>
    <row r="28" spans="2:5">
      <c r="B28" t="s">
        <v>4270</v>
      </c>
      <c r="C28" t="s">
        <v>4271</v>
      </c>
      <c r="E28" t="s">
        <v>4272</v>
      </c>
    </row>
    <row r="29" spans="2:5">
      <c r="B29" t="s">
        <v>4273</v>
      </c>
      <c r="C29" t="s">
        <v>4274</v>
      </c>
      <c r="E29" t="s">
        <v>4275</v>
      </c>
    </row>
    <row r="30" spans="2:5">
      <c r="B30" t="s">
        <v>4276</v>
      </c>
      <c r="C30" t="s">
        <v>4277</v>
      </c>
      <c r="E30" t="s">
        <v>4278</v>
      </c>
    </row>
    <row r="31" spans="2:5">
      <c r="B31" t="s">
        <v>50</v>
      </c>
      <c r="C31" t="s">
        <v>234</v>
      </c>
      <c r="E31" t="s">
        <v>235</v>
      </c>
    </row>
    <row r="32" spans="2:5">
      <c r="B32" t="s">
        <v>4279</v>
      </c>
      <c r="C32" t="s">
        <v>4280</v>
      </c>
      <c r="E32" t="s">
        <v>4281</v>
      </c>
    </row>
    <row r="33" spans="2:5">
      <c r="B33" t="s">
        <v>4282</v>
      </c>
      <c r="C33" t="s">
        <v>4283</v>
      </c>
      <c r="E33" t="s">
        <v>4284</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B2:I159"/>
  <sheetViews>
    <sheetView workbookViewId="0"/>
  </sheetViews>
  <sheetFormatPr baseColWidth="10" defaultRowHeight="15" x14ac:dyDescent="0"/>
  <cols>
    <col min="1" max="1" width="2.33203125" customWidth="1"/>
    <col min="2" max="2" width="18.83203125" customWidth="1"/>
    <col min="3" max="3" width="70.83203125" customWidth="1"/>
    <col min="4" max="4" width="37.83203125" customWidth="1"/>
    <col min="5" max="6" width="18.83203125" customWidth="1"/>
    <col min="7" max="7" width="37.83203125" customWidth="1"/>
    <col min="8" max="8" width="18.83203125" customWidth="1"/>
  </cols>
  <sheetData>
    <row r="2" spans="2:9">
      <c r="B2" s="35" t="s">
        <v>2</v>
      </c>
      <c r="C2" s="40" t="s">
        <v>32</v>
      </c>
      <c r="D2" s="40" t="s">
        <v>17</v>
      </c>
      <c r="E2" s="40" t="s">
        <v>33</v>
      </c>
      <c r="F2" s="40" t="s">
        <v>34</v>
      </c>
      <c r="G2" s="40" t="s">
        <v>35</v>
      </c>
      <c r="H2" s="40" t="s">
        <v>36</v>
      </c>
      <c r="I2" s="36" t="s">
        <v>37</v>
      </c>
    </row>
    <row r="3" spans="2:9">
      <c r="B3" s="28" t="s">
        <v>4285</v>
      </c>
      <c r="C3" s="37" t="s">
        <v>4286</v>
      </c>
      <c r="D3" s="37" t="s">
        <v>878</v>
      </c>
      <c r="E3" s="37" t="s">
        <v>4287</v>
      </c>
      <c r="F3" s="37" t="s">
        <v>4288</v>
      </c>
      <c r="G3" s="37" t="s">
        <v>4289</v>
      </c>
      <c r="H3" s="37" t="s">
        <v>4202</v>
      </c>
      <c r="I3" s="61" t="s">
        <v>943</v>
      </c>
    </row>
    <row r="4" spans="2:9">
      <c r="B4" s="30" t="s">
        <v>4290</v>
      </c>
      <c r="C4" s="38" t="s">
        <v>4291</v>
      </c>
      <c r="D4" s="38" t="s">
        <v>870</v>
      </c>
      <c r="E4" s="38" t="s">
        <v>4292</v>
      </c>
      <c r="F4" s="38" t="s">
        <v>4293</v>
      </c>
      <c r="G4" s="38" t="s">
        <v>4294</v>
      </c>
      <c r="H4" s="38" t="s">
        <v>4202</v>
      </c>
      <c r="I4" s="62" t="s">
        <v>956</v>
      </c>
    </row>
    <row r="5" spans="2:9">
      <c r="B5" s="30" t="s">
        <v>4295</v>
      </c>
      <c r="C5" s="38" t="s">
        <v>4296</v>
      </c>
      <c r="D5" s="38" t="s">
        <v>868</v>
      </c>
      <c r="E5" s="38" t="s">
        <v>4297</v>
      </c>
      <c r="F5" s="38" t="s">
        <v>4298</v>
      </c>
      <c r="G5" s="38" t="s">
        <v>4299</v>
      </c>
      <c r="H5" s="38" t="s">
        <v>4202</v>
      </c>
      <c r="I5" s="62" t="s">
        <v>967</v>
      </c>
    </row>
    <row r="6" spans="2:9">
      <c r="B6" s="30" t="s">
        <v>4300</v>
      </c>
      <c r="C6" s="38" t="s">
        <v>4301</v>
      </c>
      <c r="D6" s="38" t="s">
        <v>924</v>
      </c>
      <c r="E6" s="38" t="s">
        <v>4302</v>
      </c>
      <c r="F6" s="38" t="s">
        <v>4303</v>
      </c>
      <c r="G6" s="38" t="s">
        <v>4304</v>
      </c>
      <c r="H6" s="38" t="s">
        <v>4202</v>
      </c>
      <c r="I6" s="62" t="s">
        <v>979</v>
      </c>
    </row>
    <row r="7" spans="2:9">
      <c r="B7" s="30" t="s">
        <v>4305</v>
      </c>
      <c r="C7" s="38" t="s">
        <v>4306</v>
      </c>
      <c r="D7" s="38" t="s">
        <v>929</v>
      </c>
      <c r="E7" s="38" t="s">
        <v>4307</v>
      </c>
      <c r="F7" s="38" t="s">
        <v>4308</v>
      </c>
      <c r="G7" s="38" t="s">
        <v>4309</v>
      </c>
      <c r="H7" s="38" t="s">
        <v>4202</v>
      </c>
      <c r="I7" s="31" t="s">
        <v>991</v>
      </c>
    </row>
    <row r="8" spans="2:9">
      <c r="B8" s="30" t="s">
        <v>4310</v>
      </c>
      <c r="C8" s="38" t="s">
        <v>4311</v>
      </c>
      <c r="D8" s="38" t="s">
        <v>5040</v>
      </c>
      <c r="E8" s="38" t="s">
        <v>4312</v>
      </c>
      <c r="F8" s="38" t="s">
        <v>4313</v>
      </c>
      <c r="G8" s="38" t="s">
        <v>4314</v>
      </c>
      <c r="H8" s="38" t="s">
        <v>4202</v>
      </c>
      <c r="I8" s="31" t="s">
        <v>1003</v>
      </c>
    </row>
    <row r="9" spans="2:9">
      <c r="B9" s="30" t="s">
        <v>4315</v>
      </c>
      <c r="C9" s="38" t="s">
        <v>4316</v>
      </c>
      <c r="D9" s="38" t="s">
        <v>913</v>
      </c>
      <c r="E9" s="38" t="s">
        <v>4317</v>
      </c>
      <c r="F9" s="38" t="s">
        <v>4318</v>
      </c>
      <c r="G9" s="38" t="s">
        <v>4319</v>
      </c>
      <c r="H9" s="38" t="s">
        <v>4202</v>
      </c>
      <c r="I9" s="31" t="s">
        <v>1013</v>
      </c>
    </row>
    <row r="10" spans="2:9">
      <c r="B10" s="32" t="s">
        <v>4320</v>
      </c>
      <c r="C10" s="39" t="s">
        <v>4321</v>
      </c>
      <c r="D10" s="39" t="s">
        <v>887</v>
      </c>
      <c r="E10" s="39" t="s">
        <v>4322</v>
      </c>
      <c r="F10" s="39" t="s">
        <v>4323</v>
      </c>
      <c r="G10" s="39" t="s">
        <v>4324</v>
      </c>
      <c r="H10" s="39" t="s">
        <v>4202</v>
      </c>
      <c r="I10" s="34" t="s">
        <v>1034</v>
      </c>
    </row>
    <row r="11" spans="2:9">
      <c r="B11" s="30" t="s">
        <v>4325</v>
      </c>
      <c r="C11" s="38" t="s">
        <v>4326</v>
      </c>
      <c r="D11" s="38" t="s">
        <v>11</v>
      </c>
      <c r="E11" s="38" t="s">
        <v>4327</v>
      </c>
      <c r="F11" s="38" t="s">
        <v>4328</v>
      </c>
      <c r="G11" s="38" t="s">
        <v>4329</v>
      </c>
      <c r="H11" s="38" t="s">
        <v>38</v>
      </c>
      <c r="I11" s="31" t="s">
        <v>946</v>
      </c>
    </row>
    <row r="12" spans="2:9">
      <c r="B12" s="30" t="s">
        <v>4330</v>
      </c>
      <c r="C12" s="38" t="s">
        <v>4331</v>
      </c>
      <c r="D12" s="38" t="s">
        <v>886</v>
      </c>
      <c r="E12" s="38" t="s">
        <v>4332</v>
      </c>
      <c r="F12" s="38" t="s">
        <v>4333</v>
      </c>
      <c r="G12" s="38" t="s">
        <v>4334</v>
      </c>
      <c r="H12" s="38" t="s">
        <v>38</v>
      </c>
      <c r="I12" s="31" t="s">
        <v>960</v>
      </c>
    </row>
    <row r="13" spans="2:9">
      <c r="B13" s="30" t="s">
        <v>4335</v>
      </c>
      <c r="C13" s="38" t="s">
        <v>4336</v>
      </c>
      <c r="D13" s="38" t="s">
        <v>11</v>
      </c>
      <c r="E13" s="38" t="s">
        <v>4337</v>
      </c>
      <c r="F13" s="38" t="s">
        <v>4338</v>
      </c>
      <c r="G13" s="38" t="s">
        <v>4339</v>
      </c>
      <c r="H13" s="38" t="s">
        <v>38</v>
      </c>
      <c r="I13" s="31" t="s">
        <v>971</v>
      </c>
    </row>
    <row r="14" spans="2:9">
      <c r="B14" s="30" t="s">
        <v>4340</v>
      </c>
      <c r="C14" s="38" t="s">
        <v>4341</v>
      </c>
      <c r="D14" s="38" t="s">
        <v>886</v>
      </c>
      <c r="E14" s="38" t="s">
        <v>4342</v>
      </c>
      <c r="F14" s="38" t="s">
        <v>4343</v>
      </c>
      <c r="G14" s="38" t="s">
        <v>4344</v>
      </c>
      <c r="H14" s="38" t="s">
        <v>38</v>
      </c>
      <c r="I14" s="31" t="s">
        <v>983</v>
      </c>
    </row>
    <row r="15" spans="2:9">
      <c r="B15" s="30" t="s">
        <v>4345</v>
      </c>
      <c r="C15" s="38" t="s">
        <v>4346</v>
      </c>
      <c r="D15" s="38" t="s">
        <v>11</v>
      </c>
      <c r="E15" s="38" t="s">
        <v>4347</v>
      </c>
      <c r="F15" s="38" t="s">
        <v>4348</v>
      </c>
      <c r="G15" s="38" t="s">
        <v>4349</v>
      </c>
      <c r="H15" s="38" t="s">
        <v>38</v>
      </c>
      <c r="I15" s="31" t="s">
        <v>995</v>
      </c>
    </row>
    <row r="16" spans="2:9">
      <c r="B16" s="30" t="s">
        <v>42</v>
      </c>
      <c r="C16" s="38" t="s">
        <v>206</v>
      </c>
      <c r="D16" s="38" t="s">
        <v>5</v>
      </c>
      <c r="E16" s="38" t="s">
        <v>207</v>
      </c>
      <c r="F16" s="38" t="s">
        <v>208</v>
      </c>
      <c r="G16" s="38" t="s">
        <v>43</v>
      </c>
      <c r="H16" s="38" t="s">
        <v>38</v>
      </c>
      <c r="I16" s="31" t="s">
        <v>224</v>
      </c>
    </row>
    <row r="17" spans="2:9">
      <c r="B17" s="30" t="s">
        <v>4350</v>
      </c>
      <c r="C17" s="38" t="s">
        <v>4351</v>
      </c>
      <c r="D17" s="38" t="s">
        <v>885</v>
      </c>
      <c r="E17" s="38" t="s">
        <v>4352</v>
      </c>
      <c r="F17" s="38" t="s">
        <v>4353</v>
      </c>
      <c r="G17" s="38" t="s">
        <v>4354</v>
      </c>
      <c r="H17" s="38" t="s">
        <v>38</v>
      </c>
      <c r="I17" s="31" t="s">
        <v>131</v>
      </c>
    </row>
    <row r="18" spans="2:9">
      <c r="B18" s="30" t="s">
        <v>4355</v>
      </c>
      <c r="C18" s="38" t="s">
        <v>4356</v>
      </c>
      <c r="D18" s="38" t="s">
        <v>860</v>
      </c>
      <c r="E18" s="38" t="s">
        <v>4357</v>
      </c>
      <c r="F18" s="38" t="s">
        <v>4358</v>
      </c>
      <c r="G18" s="38" t="s">
        <v>4359</v>
      </c>
      <c r="H18" s="38" t="s">
        <v>38</v>
      </c>
      <c r="I18" s="31" t="s">
        <v>1026</v>
      </c>
    </row>
    <row r="19" spans="2:9">
      <c r="B19" s="32" t="s">
        <v>44</v>
      </c>
      <c r="C19" s="39" t="s">
        <v>209</v>
      </c>
      <c r="D19" s="39" t="s">
        <v>11</v>
      </c>
      <c r="E19" s="39" t="s">
        <v>210</v>
      </c>
      <c r="F19" s="39" t="s">
        <v>211</v>
      </c>
      <c r="G19" s="39" t="s">
        <v>45</v>
      </c>
      <c r="H19" s="39" t="s">
        <v>38</v>
      </c>
      <c r="I19" s="34" t="s">
        <v>225</v>
      </c>
    </row>
    <row r="20" spans="2:9">
      <c r="B20" s="30" t="s">
        <v>4360</v>
      </c>
      <c r="C20" s="38" t="s">
        <v>4361</v>
      </c>
      <c r="D20" s="38" t="s">
        <v>882</v>
      </c>
      <c r="E20" s="38" t="s">
        <v>4362</v>
      </c>
      <c r="F20" s="38" t="s">
        <v>4362</v>
      </c>
      <c r="G20" s="38" t="s">
        <v>4363</v>
      </c>
      <c r="H20" s="38" t="s">
        <v>4205</v>
      </c>
      <c r="I20" s="31" t="s">
        <v>943</v>
      </c>
    </row>
    <row r="21" spans="2:9">
      <c r="B21" s="30" t="s">
        <v>4364</v>
      </c>
      <c r="C21" s="38" t="s">
        <v>4365</v>
      </c>
      <c r="D21" s="38" t="s">
        <v>870</v>
      </c>
      <c r="E21" s="38" t="s">
        <v>4292</v>
      </c>
      <c r="F21" s="38" t="s">
        <v>4292</v>
      </c>
      <c r="G21" s="38" t="s">
        <v>4366</v>
      </c>
      <c r="H21" s="38" t="s">
        <v>4205</v>
      </c>
      <c r="I21" s="31" t="s">
        <v>956</v>
      </c>
    </row>
    <row r="22" spans="2:9">
      <c r="B22" s="30" t="s">
        <v>4367</v>
      </c>
      <c r="C22" s="38" t="s">
        <v>4368</v>
      </c>
      <c r="D22" s="38" t="s">
        <v>855</v>
      </c>
      <c r="E22" s="38" t="s">
        <v>4369</v>
      </c>
      <c r="F22" s="38" t="s">
        <v>4369</v>
      </c>
      <c r="G22" s="38" t="s">
        <v>4370</v>
      </c>
      <c r="H22" s="38" t="s">
        <v>4205</v>
      </c>
      <c r="I22" s="31" t="s">
        <v>967</v>
      </c>
    </row>
    <row r="23" spans="2:9">
      <c r="B23" s="30" t="s">
        <v>4371</v>
      </c>
      <c r="C23" s="38" t="s">
        <v>4372</v>
      </c>
      <c r="D23" s="38" t="s">
        <v>931</v>
      </c>
      <c r="E23" s="38" t="s">
        <v>4302</v>
      </c>
      <c r="F23" s="38" t="s">
        <v>4302</v>
      </c>
      <c r="G23" s="38" t="s">
        <v>4373</v>
      </c>
      <c r="H23" s="38" t="s">
        <v>4205</v>
      </c>
      <c r="I23" s="31" t="s">
        <v>979</v>
      </c>
    </row>
    <row r="24" spans="2:9">
      <c r="B24" s="30" t="s">
        <v>4374</v>
      </c>
      <c r="C24" s="38" t="s">
        <v>4375</v>
      </c>
      <c r="D24" s="38" t="s">
        <v>913</v>
      </c>
      <c r="E24" s="38" t="s">
        <v>4317</v>
      </c>
      <c r="F24" s="38" t="s">
        <v>4318</v>
      </c>
      <c r="G24" s="38" t="s">
        <v>4376</v>
      </c>
      <c r="H24" s="38" t="s">
        <v>4205</v>
      </c>
      <c r="I24" s="31" t="s">
        <v>1013</v>
      </c>
    </row>
    <row r="25" spans="2:9">
      <c r="B25" s="30" t="s">
        <v>4377</v>
      </c>
      <c r="C25" s="38" t="s">
        <v>4378</v>
      </c>
      <c r="D25" s="38" t="s">
        <v>908</v>
      </c>
      <c r="E25" s="38" t="s">
        <v>4379</v>
      </c>
      <c r="F25" s="38" t="s">
        <v>4379</v>
      </c>
      <c r="G25" s="38" t="s">
        <v>4380</v>
      </c>
      <c r="H25" s="38" t="s">
        <v>4205</v>
      </c>
      <c r="I25" s="31" t="s">
        <v>1023</v>
      </c>
    </row>
    <row r="26" spans="2:9">
      <c r="B26" s="32" t="s">
        <v>4381</v>
      </c>
      <c r="C26" s="39" t="s">
        <v>4382</v>
      </c>
      <c r="D26" s="39" t="s">
        <v>888</v>
      </c>
      <c r="E26" s="39" t="s">
        <v>4322</v>
      </c>
      <c r="F26" s="39" t="s">
        <v>4383</v>
      </c>
      <c r="G26" s="39" t="s">
        <v>4384</v>
      </c>
      <c r="H26" s="39" t="s">
        <v>4205</v>
      </c>
      <c r="I26" s="34" t="s">
        <v>1034</v>
      </c>
    </row>
    <row r="27" spans="2:9">
      <c r="B27" s="30" t="s">
        <v>4385</v>
      </c>
      <c r="C27" s="38" t="s">
        <v>4386</v>
      </c>
      <c r="D27" s="38" t="s">
        <v>906</v>
      </c>
      <c r="E27" s="38" t="s">
        <v>4387</v>
      </c>
      <c r="F27" s="38" t="s">
        <v>4388</v>
      </c>
      <c r="G27" s="38"/>
      <c r="H27" s="38" t="s">
        <v>4208</v>
      </c>
      <c r="I27" s="31" t="s">
        <v>963</v>
      </c>
    </row>
    <row r="28" spans="2:9">
      <c r="B28" s="32" t="s">
        <v>4389</v>
      </c>
      <c r="C28" s="39" t="s">
        <v>4390</v>
      </c>
      <c r="D28" s="39" t="s">
        <v>906</v>
      </c>
      <c r="E28" s="39" t="s">
        <v>4391</v>
      </c>
      <c r="F28" s="39" t="s">
        <v>4392</v>
      </c>
      <c r="G28" s="39"/>
      <c r="H28" s="39" t="s">
        <v>4208</v>
      </c>
      <c r="I28" s="34" t="s">
        <v>985</v>
      </c>
    </row>
    <row r="29" spans="2:9">
      <c r="B29" s="30" t="s">
        <v>4393</v>
      </c>
      <c r="C29" s="38" t="s">
        <v>4394</v>
      </c>
      <c r="D29" s="38" t="s">
        <v>930</v>
      </c>
      <c r="E29" s="38" t="s">
        <v>4395</v>
      </c>
      <c r="F29" s="38" t="s">
        <v>4396</v>
      </c>
      <c r="G29" s="38" t="s">
        <v>4397</v>
      </c>
      <c r="H29" s="38" t="s">
        <v>4211</v>
      </c>
      <c r="I29" s="31" t="s">
        <v>974</v>
      </c>
    </row>
    <row r="30" spans="2:9">
      <c r="B30" s="32" t="s">
        <v>4398</v>
      </c>
      <c r="C30" s="39" t="s">
        <v>4399</v>
      </c>
      <c r="D30" s="39" t="s">
        <v>848</v>
      </c>
      <c r="E30" s="39" t="s">
        <v>4400</v>
      </c>
      <c r="F30" s="39" t="s">
        <v>4401</v>
      </c>
      <c r="G30" s="39" t="s">
        <v>4402</v>
      </c>
      <c r="H30" s="39" t="s">
        <v>4211</v>
      </c>
      <c r="I30" s="63" t="s">
        <v>1019</v>
      </c>
    </row>
    <row r="31" spans="2:9">
      <c r="B31" s="30" t="s">
        <v>4403</v>
      </c>
      <c r="C31" s="38" t="s">
        <v>4404</v>
      </c>
      <c r="D31" s="38" t="s">
        <v>904</v>
      </c>
      <c r="E31" s="38" t="s">
        <v>4405</v>
      </c>
      <c r="F31" s="38" t="s">
        <v>4406</v>
      </c>
      <c r="G31" s="38" t="s">
        <v>4407</v>
      </c>
      <c r="H31" s="38" t="s">
        <v>4214</v>
      </c>
      <c r="I31" s="31" t="s">
        <v>984</v>
      </c>
    </row>
    <row r="32" spans="2:9">
      <c r="B32" s="30" t="s">
        <v>4408</v>
      </c>
      <c r="C32" s="38" t="s">
        <v>4409</v>
      </c>
      <c r="D32" s="38" t="s">
        <v>908</v>
      </c>
      <c r="E32" s="38" t="s">
        <v>4410</v>
      </c>
      <c r="F32" s="38" t="s">
        <v>4411</v>
      </c>
      <c r="G32" s="38" t="s">
        <v>4412</v>
      </c>
      <c r="H32" s="38" t="s">
        <v>4214</v>
      </c>
      <c r="I32" s="31" t="s">
        <v>996</v>
      </c>
    </row>
    <row r="33" spans="2:9">
      <c r="B33" s="32" t="s">
        <v>4413</v>
      </c>
      <c r="C33" s="39" t="s">
        <v>4414</v>
      </c>
      <c r="D33" s="39" t="s">
        <v>889</v>
      </c>
      <c r="E33" s="39" t="s">
        <v>4415</v>
      </c>
      <c r="F33" s="39" t="s">
        <v>4416</v>
      </c>
      <c r="G33" s="39" t="s">
        <v>4417</v>
      </c>
      <c r="H33" s="39" t="s">
        <v>4214</v>
      </c>
      <c r="I33" s="34" t="s">
        <v>1006</v>
      </c>
    </row>
    <row r="34" spans="2:9">
      <c r="B34" s="30" t="s">
        <v>4418</v>
      </c>
      <c r="C34" s="38" t="s">
        <v>4419</v>
      </c>
      <c r="D34" s="38" t="s">
        <v>848</v>
      </c>
      <c r="E34" s="38" t="s">
        <v>4420</v>
      </c>
      <c r="F34" s="38" t="s">
        <v>4421</v>
      </c>
      <c r="G34" s="38" t="s">
        <v>4422</v>
      </c>
      <c r="H34" s="38" t="s">
        <v>4217</v>
      </c>
      <c r="I34" s="31" t="s">
        <v>964</v>
      </c>
    </row>
    <row r="35" spans="2:9">
      <c r="B35" s="32" t="s">
        <v>4423</v>
      </c>
      <c r="C35" s="39" t="s">
        <v>4424</v>
      </c>
      <c r="D35" s="39" t="s">
        <v>848</v>
      </c>
      <c r="E35" s="39" t="s">
        <v>4425</v>
      </c>
      <c r="F35" s="39" t="s">
        <v>4426</v>
      </c>
      <c r="G35" s="39" t="s">
        <v>4427</v>
      </c>
      <c r="H35" s="39" t="s">
        <v>4217</v>
      </c>
      <c r="I35" s="34" t="s">
        <v>999</v>
      </c>
    </row>
    <row r="36" spans="2:9">
      <c r="B36" s="30" t="s">
        <v>4428</v>
      </c>
      <c r="C36" s="38" t="s">
        <v>4429</v>
      </c>
      <c r="D36" s="38" t="s">
        <v>903</v>
      </c>
      <c r="E36" s="38" t="s">
        <v>4430</v>
      </c>
      <c r="F36" s="38" t="s">
        <v>4431</v>
      </c>
      <c r="G36" s="38" t="s">
        <v>4432</v>
      </c>
      <c r="H36" s="38" t="s">
        <v>4220</v>
      </c>
      <c r="I36" s="31" t="s">
        <v>949</v>
      </c>
    </row>
    <row r="37" spans="2:9">
      <c r="B37" s="32" t="s">
        <v>4433</v>
      </c>
      <c r="C37" s="39" t="s">
        <v>4434</v>
      </c>
      <c r="D37" s="39" t="s">
        <v>879</v>
      </c>
      <c r="E37" s="39" t="s">
        <v>4435</v>
      </c>
      <c r="F37" s="39" t="s">
        <v>4436</v>
      </c>
      <c r="G37" s="39" t="s">
        <v>4437</v>
      </c>
      <c r="H37" s="39" t="s">
        <v>4220</v>
      </c>
      <c r="I37" s="34" t="s">
        <v>1040</v>
      </c>
    </row>
    <row r="38" spans="2:9">
      <c r="B38" s="28" t="s">
        <v>4438</v>
      </c>
      <c r="C38" s="37" t="s">
        <v>4439</v>
      </c>
      <c r="D38" s="37" t="s">
        <v>918</v>
      </c>
      <c r="E38" s="37" t="s">
        <v>4440</v>
      </c>
      <c r="F38" s="37" t="s">
        <v>4441</v>
      </c>
      <c r="G38" s="37" t="s">
        <v>4442</v>
      </c>
      <c r="H38" s="37" t="s">
        <v>4223</v>
      </c>
      <c r="I38" s="29" t="s">
        <v>945</v>
      </c>
    </row>
    <row r="39" spans="2:9">
      <c r="B39" s="30" t="s">
        <v>4443</v>
      </c>
      <c r="C39" s="38" t="s">
        <v>4444</v>
      </c>
      <c r="D39" s="38" t="s">
        <v>918</v>
      </c>
      <c r="E39" s="38" t="s">
        <v>4445</v>
      </c>
      <c r="F39" s="38" t="s">
        <v>4446</v>
      </c>
      <c r="G39" s="38" t="s">
        <v>4447</v>
      </c>
      <c r="H39" s="38" t="s">
        <v>4223</v>
      </c>
      <c r="I39" s="31" t="s">
        <v>982</v>
      </c>
    </row>
    <row r="40" spans="2:9">
      <c r="B40" s="30" t="s">
        <v>4448</v>
      </c>
      <c r="C40" s="38" t="s">
        <v>4449</v>
      </c>
      <c r="D40" s="38" t="s">
        <v>918</v>
      </c>
      <c r="E40" s="38" t="s">
        <v>4450</v>
      </c>
      <c r="F40" s="38" t="s">
        <v>4451</v>
      </c>
      <c r="G40" s="38" t="s">
        <v>4452</v>
      </c>
      <c r="H40" s="38" t="s">
        <v>4223</v>
      </c>
      <c r="I40" s="31" t="s">
        <v>994</v>
      </c>
    </row>
    <row r="41" spans="2:9">
      <c r="B41" s="32" t="s">
        <v>4453</v>
      </c>
      <c r="C41" s="39" t="s">
        <v>4454</v>
      </c>
      <c r="D41" s="39" t="s">
        <v>918</v>
      </c>
      <c r="E41" s="39" t="s">
        <v>4455</v>
      </c>
      <c r="F41" s="39" t="s">
        <v>4456</v>
      </c>
      <c r="G41" s="39" t="s">
        <v>4457</v>
      </c>
      <c r="H41" s="39" t="s">
        <v>4223</v>
      </c>
      <c r="I41" s="34" t="s">
        <v>1016</v>
      </c>
    </row>
    <row r="42" spans="2:9">
      <c r="B42" s="30" t="s">
        <v>4458</v>
      </c>
      <c r="C42" s="38" t="s">
        <v>4459</v>
      </c>
      <c r="D42" s="38" t="s">
        <v>919</v>
      </c>
      <c r="E42" s="38" t="s">
        <v>4460</v>
      </c>
      <c r="F42" s="38" t="s">
        <v>4461</v>
      </c>
      <c r="G42" s="38" t="s">
        <v>4462</v>
      </c>
      <c r="H42" s="38" t="s">
        <v>4226</v>
      </c>
      <c r="I42" s="31" t="s">
        <v>957</v>
      </c>
    </row>
    <row r="43" spans="2:9">
      <c r="B43" s="30" t="s">
        <v>4463</v>
      </c>
      <c r="C43" s="38" t="s">
        <v>4464</v>
      </c>
      <c r="D43" s="38" t="s">
        <v>895</v>
      </c>
      <c r="E43" s="38" t="s">
        <v>4465</v>
      </c>
      <c r="F43" s="38" t="s">
        <v>4466</v>
      </c>
      <c r="G43" s="38" t="s">
        <v>4467</v>
      </c>
      <c r="H43" s="38" t="s">
        <v>4226</v>
      </c>
      <c r="I43" s="31" t="s">
        <v>968</v>
      </c>
    </row>
    <row r="44" spans="2:9">
      <c r="B44" s="30" t="s">
        <v>4468</v>
      </c>
      <c r="C44" s="38" t="s">
        <v>4469</v>
      </c>
      <c r="D44" s="38" t="s">
        <v>918</v>
      </c>
      <c r="E44" s="38" t="s">
        <v>4470</v>
      </c>
      <c r="F44" s="38" t="s">
        <v>4471</v>
      </c>
      <c r="G44" s="38" t="s">
        <v>4472</v>
      </c>
      <c r="H44" s="38" t="s">
        <v>4226</v>
      </c>
      <c r="I44" s="31" t="s">
        <v>980</v>
      </c>
    </row>
    <row r="45" spans="2:9">
      <c r="B45" s="30" t="s">
        <v>4473</v>
      </c>
      <c r="C45" s="38" t="s">
        <v>4474</v>
      </c>
      <c r="D45" s="38" t="s">
        <v>849</v>
      </c>
      <c r="E45" s="38" t="s">
        <v>4475</v>
      </c>
      <c r="F45" s="38" t="s">
        <v>4476</v>
      </c>
      <c r="G45" s="38" t="s">
        <v>4477</v>
      </c>
      <c r="H45" s="38" t="s">
        <v>4226</v>
      </c>
      <c r="I45" s="31" t="s">
        <v>992</v>
      </c>
    </row>
    <row r="46" spans="2:9">
      <c r="B46" s="32" t="s">
        <v>4478</v>
      </c>
      <c r="C46" s="39" t="s">
        <v>4479</v>
      </c>
      <c r="D46" s="39" t="s">
        <v>877</v>
      </c>
      <c r="E46" s="39" t="s">
        <v>4480</v>
      </c>
      <c r="F46" s="39" t="s">
        <v>4481</v>
      </c>
      <c r="G46" s="39" t="s">
        <v>4482</v>
      </c>
      <c r="H46" s="39" t="s">
        <v>4226</v>
      </c>
      <c r="I46" s="34" t="s">
        <v>1002</v>
      </c>
    </row>
    <row r="47" spans="2:9">
      <c r="B47" s="30" t="s">
        <v>4483</v>
      </c>
      <c r="C47" s="38" t="s">
        <v>4484</v>
      </c>
      <c r="D47" s="38" t="s">
        <v>908</v>
      </c>
      <c r="E47" s="38" t="s">
        <v>4485</v>
      </c>
      <c r="F47" s="38" t="s">
        <v>4486</v>
      </c>
      <c r="G47" s="38"/>
      <c r="H47" s="38" t="s">
        <v>4229</v>
      </c>
      <c r="I47" s="31" t="s">
        <v>986</v>
      </c>
    </row>
    <row r="48" spans="2:9">
      <c r="B48" s="32" t="s">
        <v>4487</v>
      </c>
      <c r="C48" s="39" t="s">
        <v>4488</v>
      </c>
      <c r="D48" s="39" t="s">
        <v>892</v>
      </c>
      <c r="E48" s="39" t="s">
        <v>4489</v>
      </c>
      <c r="F48" s="39" t="s">
        <v>4490</v>
      </c>
      <c r="G48" s="39" t="s">
        <v>4491</v>
      </c>
      <c r="H48" s="39" t="s">
        <v>4229</v>
      </c>
      <c r="I48" s="34" t="s">
        <v>997</v>
      </c>
    </row>
    <row r="49" spans="2:9">
      <c r="B49" s="30" t="s">
        <v>4492</v>
      </c>
      <c r="C49" s="38" t="s">
        <v>4493</v>
      </c>
      <c r="D49" s="38" t="s">
        <v>888</v>
      </c>
      <c r="E49" s="38" t="s">
        <v>4494</v>
      </c>
      <c r="F49" s="38" t="s">
        <v>4495</v>
      </c>
      <c r="G49" s="38" t="s">
        <v>4496</v>
      </c>
      <c r="H49" s="38" t="s">
        <v>4232</v>
      </c>
      <c r="I49" s="31" t="s">
        <v>955</v>
      </c>
    </row>
    <row r="50" spans="2:9">
      <c r="B50" s="30" t="s">
        <v>4497</v>
      </c>
      <c r="C50" s="38" t="s">
        <v>4498</v>
      </c>
      <c r="D50" s="38" t="s">
        <v>899</v>
      </c>
      <c r="E50" s="38" t="s">
        <v>4499</v>
      </c>
      <c r="F50" s="38" t="s">
        <v>4500</v>
      </c>
      <c r="G50" s="38" t="s">
        <v>4501</v>
      </c>
      <c r="H50" s="38" t="s">
        <v>4232</v>
      </c>
      <c r="I50" s="31" t="s">
        <v>979</v>
      </c>
    </row>
    <row r="51" spans="2:9">
      <c r="B51" s="30" t="s">
        <v>4502</v>
      </c>
      <c r="C51" s="38" t="s">
        <v>4503</v>
      </c>
      <c r="D51" s="38" t="s">
        <v>846</v>
      </c>
      <c r="E51" s="38" t="s">
        <v>4504</v>
      </c>
      <c r="F51" s="38" t="s">
        <v>4505</v>
      </c>
      <c r="G51" s="38" t="s">
        <v>4506</v>
      </c>
      <c r="H51" s="38" t="s">
        <v>4232</v>
      </c>
      <c r="I51" s="31" t="s">
        <v>1013</v>
      </c>
    </row>
    <row r="52" spans="2:9">
      <c r="B52" s="32" t="s">
        <v>4507</v>
      </c>
      <c r="C52" s="39" t="s">
        <v>4508</v>
      </c>
      <c r="D52" s="39" t="s">
        <v>865</v>
      </c>
      <c r="E52" s="39" t="s">
        <v>4509</v>
      </c>
      <c r="F52" s="39" t="s">
        <v>4510</v>
      </c>
      <c r="G52" s="39" t="s">
        <v>4511</v>
      </c>
      <c r="H52" s="39" t="s">
        <v>4232</v>
      </c>
      <c r="I52" s="34" t="s">
        <v>1023</v>
      </c>
    </row>
    <row r="53" spans="2:9">
      <c r="B53" s="30" t="s">
        <v>4512</v>
      </c>
      <c r="C53" s="38" t="s">
        <v>4513</v>
      </c>
      <c r="D53" s="38" t="s">
        <v>864</v>
      </c>
      <c r="E53" s="38" t="s">
        <v>4514</v>
      </c>
      <c r="F53" s="38" t="s">
        <v>4515</v>
      </c>
      <c r="G53" s="38" t="s">
        <v>4516</v>
      </c>
      <c r="H53" s="38" t="s">
        <v>39</v>
      </c>
      <c r="I53" s="31" t="s">
        <v>957</v>
      </c>
    </row>
    <row r="54" spans="2:9">
      <c r="B54" s="30" t="s">
        <v>4517</v>
      </c>
      <c r="C54" s="38" t="s">
        <v>4518</v>
      </c>
      <c r="D54" s="38" t="s">
        <v>920</v>
      </c>
      <c r="E54" s="38" t="s">
        <v>4519</v>
      </c>
      <c r="F54" s="38" t="s">
        <v>4520</v>
      </c>
      <c r="G54" s="38" t="s">
        <v>4521</v>
      </c>
      <c r="H54" s="38" t="s">
        <v>39</v>
      </c>
      <c r="I54" s="31" t="s">
        <v>969</v>
      </c>
    </row>
    <row r="55" spans="2:9">
      <c r="B55" s="30" t="s">
        <v>4522</v>
      </c>
      <c r="C55" s="38" t="s">
        <v>4523</v>
      </c>
      <c r="D55" s="38" t="s">
        <v>869</v>
      </c>
      <c r="E55" s="38" t="s">
        <v>4524</v>
      </c>
      <c r="F55" s="38" t="s">
        <v>4525</v>
      </c>
      <c r="G55" s="38" t="s">
        <v>4526</v>
      </c>
      <c r="H55" s="38" t="s">
        <v>39</v>
      </c>
      <c r="I55" s="31" t="s">
        <v>981</v>
      </c>
    </row>
    <row r="56" spans="2:9">
      <c r="B56" s="30" t="s">
        <v>4527</v>
      </c>
      <c r="C56" s="38" t="s">
        <v>4528</v>
      </c>
      <c r="D56" s="38" t="s">
        <v>862</v>
      </c>
      <c r="E56" s="38" t="s">
        <v>4529</v>
      </c>
      <c r="F56" s="38" t="s">
        <v>4530</v>
      </c>
      <c r="G56" s="38" t="s">
        <v>4531</v>
      </c>
      <c r="H56" s="38" t="s">
        <v>39</v>
      </c>
      <c r="I56" s="31" t="s">
        <v>993</v>
      </c>
    </row>
    <row r="57" spans="2:9">
      <c r="B57" s="30" t="s">
        <v>4532</v>
      </c>
      <c r="C57" s="38" t="s">
        <v>4533</v>
      </c>
      <c r="D57" s="38" t="s">
        <v>927</v>
      </c>
      <c r="E57" s="38" t="s">
        <v>4534</v>
      </c>
      <c r="F57" s="38" t="s">
        <v>4535</v>
      </c>
      <c r="G57" s="38" t="s">
        <v>4536</v>
      </c>
      <c r="H57" s="38" t="s">
        <v>39</v>
      </c>
      <c r="I57" s="31" t="s">
        <v>1004</v>
      </c>
    </row>
    <row r="58" spans="2:9">
      <c r="B58" s="30" t="s">
        <v>4537</v>
      </c>
      <c r="C58" s="38" t="s">
        <v>4538</v>
      </c>
      <c r="D58" s="38" t="s">
        <v>845</v>
      </c>
      <c r="E58" s="38" t="s">
        <v>4539</v>
      </c>
      <c r="F58" s="38" t="s">
        <v>4540</v>
      </c>
      <c r="G58" s="38" t="s">
        <v>4541</v>
      </c>
      <c r="H58" s="38" t="s">
        <v>39</v>
      </c>
      <c r="I58" s="31" t="s">
        <v>1015</v>
      </c>
    </row>
    <row r="59" spans="2:9">
      <c r="B59" s="30" t="s">
        <v>46</v>
      </c>
      <c r="C59" s="38" t="s">
        <v>212</v>
      </c>
      <c r="D59" s="38" t="s">
        <v>9</v>
      </c>
      <c r="E59" s="38" t="s">
        <v>213</v>
      </c>
      <c r="F59" s="38" t="s">
        <v>214</v>
      </c>
      <c r="G59" s="38" t="s">
        <v>47</v>
      </c>
      <c r="H59" s="38" t="s">
        <v>39</v>
      </c>
      <c r="I59" s="31" t="s">
        <v>226</v>
      </c>
    </row>
    <row r="60" spans="2:9">
      <c r="B60" s="32" t="s">
        <v>4542</v>
      </c>
      <c r="C60" s="39" t="s">
        <v>4543</v>
      </c>
      <c r="D60" s="39" t="s">
        <v>876</v>
      </c>
      <c r="E60" s="39" t="s">
        <v>4544</v>
      </c>
      <c r="F60" s="39" t="s">
        <v>4545</v>
      </c>
      <c r="G60" s="39" t="s">
        <v>4546</v>
      </c>
      <c r="H60" s="39" t="s">
        <v>39</v>
      </c>
      <c r="I60" s="34" t="s">
        <v>1036</v>
      </c>
    </row>
    <row r="61" spans="2:9">
      <c r="B61" s="30" t="s">
        <v>4547</v>
      </c>
      <c r="C61" s="38" t="s">
        <v>4548</v>
      </c>
      <c r="D61" s="38" t="s">
        <v>937</v>
      </c>
      <c r="E61" s="38" t="s">
        <v>4549</v>
      </c>
      <c r="F61" s="38" t="s">
        <v>4550</v>
      </c>
      <c r="G61" s="38" t="s">
        <v>4551</v>
      </c>
      <c r="H61" s="38" t="s">
        <v>4235</v>
      </c>
      <c r="I61" s="31" t="s">
        <v>948</v>
      </c>
    </row>
    <row r="62" spans="2:9">
      <c r="B62" s="30" t="s">
        <v>4552</v>
      </c>
      <c r="C62" s="38" t="s">
        <v>4553</v>
      </c>
      <c r="D62" s="38" t="s">
        <v>902</v>
      </c>
      <c r="E62" s="38" t="s">
        <v>4554</v>
      </c>
      <c r="F62" s="38" t="s">
        <v>4388</v>
      </c>
      <c r="G62" s="38" t="s">
        <v>4555</v>
      </c>
      <c r="H62" s="38" t="s">
        <v>4235</v>
      </c>
      <c r="I62" s="31" t="s">
        <v>962</v>
      </c>
    </row>
    <row r="63" spans="2:9">
      <c r="B63" s="30" t="s">
        <v>4556</v>
      </c>
      <c r="C63" s="38" t="s">
        <v>4557</v>
      </c>
      <c r="D63" s="38" t="s">
        <v>880</v>
      </c>
      <c r="E63" s="38" t="s">
        <v>4558</v>
      </c>
      <c r="F63" s="38" t="s">
        <v>4559</v>
      </c>
      <c r="G63" s="38" t="s">
        <v>4560</v>
      </c>
      <c r="H63" s="38" t="s">
        <v>4235</v>
      </c>
      <c r="I63" s="31" t="s">
        <v>973</v>
      </c>
    </row>
    <row r="64" spans="2:9">
      <c r="B64" s="30" t="s">
        <v>4561</v>
      </c>
      <c r="C64" s="38" t="s">
        <v>4562</v>
      </c>
      <c r="D64" s="38" t="s">
        <v>898</v>
      </c>
      <c r="E64" s="38" t="s">
        <v>4563</v>
      </c>
      <c r="F64" s="38" t="s">
        <v>4564</v>
      </c>
      <c r="G64" s="38" t="s">
        <v>4565</v>
      </c>
      <c r="H64" s="38" t="s">
        <v>4235</v>
      </c>
      <c r="I64" s="31" t="s">
        <v>986</v>
      </c>
    </row>
    <row r="65" spans="2:9">
      <c r="B65" s="30" t="s">
        <v>4566</v>
      </c>
      <c r="C65" s="38" t="s">
        <v>4567</v>
      </c>
      <c r="D65" s="38" t="s">
        <v>883</v>
      </c>
      <c r="E65" s="38" t="s">
        <v>4568</v>
      </c>
      <c r="F65" s="38" t="s">
        <v>4569</v>
      </c>
      <c r="G65" s="38" t="s">
        <v>4570</v>
      </c>
      <c r="H65" s="38" t="s">
        <v>4235</v>
      </c>
      <c r="I65" s="31" t="s">
        <v>998</v>
      </c>
    </row>
    <row r="66" spans="2:9">
      <c r="B66" s="32" t="s">
        <v>4571</v>
      </c>
      <c r="C66" s="39" t="s">
        <v>4572</v>
      </c>
      <c r="D66" s="39" t="s">
        <v>847</v>
      </c>
      <c r="E66" s="39" t="s">
        <v>4573</v>
      </c>
      <c r="F66" s="39" t="s">
        <v>4574</v>
      </c>
      <c r="G66" s="39" t="s">
        <v>4575</v>
      </c>
      <c r="H66" s="39" t="s">
        <v>4235</v>
      </c>
      <c r="I66" s="34" t="s">
        <v>1019</v>
      </c>
    </row>
    <row r="67" spans="2:9">
      <c r="B67" s="30" t="s">
        <v>4576</v>
      </c>
      <c r="C67" s="38" t="s">
        <v>4577</v>
      </c>
      <c r="D67" s="38" t="s">
        <v>851</v>
      </c>
      <c r="E67" s="38" t="s">
        <v>4578</v>
      </c>
      <c r="F67" s="38" t="s">
        <v>4579</v>
      </c>
      <c r="G67" s="38" t="s">
        <v>4580</v>
      </c>
      <c r="H67" s="38" t="s">
        <v>4238</v>
      </c>
      <c r="I67" s="31" t="s">
        <v>956</v>
      </c>
    </row>
    <row r="68" spans="2:9">
      <c r="B68" s="30" t="s">
        <v>4581</v>
      </c>
      <c r="C68" s="38" t="s">
        <v>4582</v>
      </c>
      <c r="D68" s="38" t="s">
        <v>859</v>
      </c>
      <c r="E68" s="38" t="s">
        <v>4583</v>
      </c>
      <c r="F68" s="38" t="s">
        <v>4584</v>
      </c>
      <c r="G68" s="38" t="s">
        <v>4585</v>
      </c>
      <c r="H68" s="38" t="s">
        <v>4238</v>
      </c>
      <c r="I68" s="31" t="s">
        <v>979</v>
      </c>
    </row>
    <row r="69" spans="2:9">
      <c r="B69" s="32" t="s">
        <v>4586</v>
      </c>
      <c r="C69" s="39" t="s">
        <v>4587</v>
      </c>
      <c r="D69" s="39" t="s">
        <v>890</v>
      </c>
      <c r="E69" s="39" t="s">
        <v>4588</v>
      </c>
      <c r="F69" s="39" t="s">
        <v>4589</v>
      </c>
      <c r="G69" s="39" t="s">
        <v>4590</v>
      </c>
      <c r="H69" s="39" t="s">
        <v>4238</v>
      </c>
      <c r="I69" s="34" t="s">
        <v>1035</v>
      </c>
    </row>
    <row r="70" spans="2:9">
      <c r="B70" s="28" t="s">
        <v>4591</v>
      </c>
      <c r="C70" s="37" t="s">
        <v>4592</v>
      </c>
      <c r="D70" s="37" t="s">
        <v>921</v>
      </c>
      <c r="E70" s="37" t="s">
        <v>4593</v>
      </c>
      <c r="F70" s="37" t="s">
        <v>4594</v>
      </c>
      <c r="G70" s="37" t="s">
        <v>4595</v>
      </c>
      <c r="H70" s="37" t="s">
        <v>4241</v>
      </c>
      <c r="I70" s="29" t="s">
        <v>957</v>
      </c>
    </row>
    <row r="71" spans="2:9">
      <c r="B71" s="30" t="s">
        <v>4596</v>
      </c>
      <c r="C71" s="38" t="s">
        <v>4597</v>
      </c>
      <c r="D71" s="38" t="s">
        <v>937</v>
      </c>
      <c r="E71" s="38" t="s">
        <v>4598</v>
      </c>
      <c r="F71" s="38" t="s">
        <v>4599</v>
      </c>
      <c r="G71" s="38" t="s">
        <v>4600</v>
      </c>
      <c r="H71" s="38" t="s">
        <v>4241</v>
      </c>
      <c r="I71" s="31" t="s">
        <v>968</v>
      </c>
    </row>
    <row r="72" spans="2:9">
      <c r="B72" s="30" t="s">
        <v>4601</v>
      </c>
      <c r="C72" s="38" t="s">
        <v>4602</v>
      </c>
      <c r="D72" s="38" t="s">
        <v>871</v>
      </c>
      <c r="E72" s="38" t="s">
        <v>4603</v>
      </c>
      <c r="F72" s="38" t="s">
        <v>4604</v>
      </c>
      <c r="G72" s="38" t="s">
        <v>4605</v>
      </c>
      <c r="H72" s="38" t="s">
        <v>4241</v>
      </c>
      <c r="I72" s="31" t="s">
        <v>1003</v>
      </c>
    </row>
    <row r="73" spans="2:9">
      <c r="B73" s="30" t="s">
        <v>4606</v>
      </c>
      <c r="C73" s="38" t="s">
        <v>4607</v>
      </c>
      <c r="D73" s="38" t="s">
        <v>843</v>
      </c>
      <c r="E73" s="38" t="s">
        <v>4608</v>
      </c>
      <c r="F73" s="38" t="s">
        <v>4609</v>
      </c>
      <c r="G73" s="38" t="s">
        <v>4610</v>
      </c>
      <c r="H73" s="38" t="s">
        <v>4241</v>
      </c>
      <c r="I73" s="31" t="s">
        <v>1014</v>
      </c>
    </row>
    <row r="74" spans="2:9">
      <c r="B74" s="32" t="s">
        <v>4611</v>
      </c>
      <c r="C74" s="39" t="s">
        <v>4612</v>
      </c>
      <c r="D74" s="39" t="s">
        <v>843</v>
      </c>
      <c r="E74" s="39" t="s">
        <v>4613</v>
      </c>
      <c r="F74" s="39" t="s">
        <v>4614</v>
      </c>
      <c r="G74" s="39" t="s">
        <v>4615</v>
      </c>
      <c r="H74" s="39" t="s">
        <v>4241</v>
      </c>
      <c r="I74" s="34" t="s">
        <v>1024</v>
      </c>
    </row>
    <row r="75" spans="2:9">
      <c r="B75" s="30" t="s">
        <v>4616</v>
      </c>
      <c r="C75" s="38" t="s">
        <v>4617</v>
      </c>
      <c r="D75" s="38" t="s">
        <v>884</v>
      </c>
      <c r="E75" s="38" t="s">
        <v>4618</v>
      </c>
      <c r="F75" s="38" t="s">
        <v>4619</v>
      </c>
      <c r="G75" s="38" t="s">
        <v>4620</v>
      </c>
      <c r="H75" s="38" t="s">
        <v>4244</v>
      </c>
      <c r="I75" s="31" t="s">
        <v>940</v>
      </c>
    </row>
    <row r="76" spans="2:9">
      <c r="B76" s="30" t="s">
        <v>4621</v>
      </c>
      <c r="C76" s="38" t="s">
        <v>4622</v>
      </c>
      <c r="D76" s="38" t="s">
        <v>849</v>
      </c>
      <c r="E76" s="38" t="s">
        <v>4623</v>
      </c>
      <c r="F76" s="38" t="s">
        <v>4624</v>
      </c>
      <c r="G76" s="38" t="s">
        <v>4625</v>
      </c>
      <c r="H76" s="38" t="s">
        <v>4244</v>
      </c>
      <c r="I76" s="31" t="s">
        <v>993</v>
      </c>
    </row>
    <row r="77" spans="2:9">
      <c r="B77" s="30" t="s">
        <v>4626</v>
      </c>
      <c r="C77" s="38" t="s">
        <v>4627</v>
      </c>
      <c r="D77" s="38" t="s">
        <v>850</v>
      </c>
      <c r="E77" s="38" t="s">
        <v>4628</v>
      </c>
      <c r="F77" s="38" t="s">
        <v>4629</v>
      </c>
      <c r="G77" s="38" t="s">
        <v>4630</v>
      </c>
      <c r="H77" s="38" t="s">
        <v>4244</v>
      </c>
      <c r="I77" s="31" t="s">
        <v>1016</v>
      </c>
    </row>
    <row r="78" spans="2:9">
      <c r="B78" s="32" t="s">
        <v>4631</v>
      </c>
      <c r="C78" s="39" t="s">
        <v>4632</v>
      </c>
      <c r="D78" s="39" t="s">
        <v>856</v>
      </c>
      <c r="E78" s="39" t="s">
        <v>4633</v>
      </c>
      <c r="F78" s="39" t="s">
        <v>4634</v>
      </c>
      <c r="G78" s="39" t="s">
        <v>4635</v>
      </c>
      <c r="H78" s="39" t="s">
        <v>4244</v>
      </c>
      <c r="I78" s="34" t="s">
        <v>1036</v>
      </c>
    </row>
    <row r="79" spans="2:9">
      <c r="B79" s="30" t="s">
        <v>4636</v>
      </c>
      <c r="C79" s="38" t="s">
        <v>4637</v>
      </c>
      <c r="D79" s="38" t="s">
        <v>844</v>
      </c>
      <c r="E79" s="38" t="s">
        <v>4638</v>
      </c>
      <c r="F79" s="38" t="s">
        <v>4639</v>
      </c>
      <c r="G79" s="38" t="s">
        <v>4640</v>
      </c>
      <c r="H79" s="38" t="s">
        <v>4247</v>
      </c>
      <c r="I79" s="31" t="s">
        <v>943</v>
      </c>
    </row>
    <row r="80" spans="2:9">
      <c r="B80" s="30" t="s">
        <v>4641</v>
      </c>
      <c r="C80" s="38" t="s">
        <v>4642</v>
      </c>
      <c r="D80" s="38" t="s">
        <v>910</v>
      </c>
      <c r="E80" s="38" t="s">
        <v>4494</v>
      </c>
      <c r="F80" s="38" t="s">
        <v>4495</v>
      </c>
      <c r="G80" s="38" t="s">
        <v>4643</v>
      </c>
      <c r="H80" s="38" t="s">
        <v>4247</v>
      </c>
      <c r="I80" s="31" t="s">
        <v>955</v>
      </c>
    </row>
    <row r="81" spans="2:9">
      <c r="B81" s="30" t="s">
        <v>4644</v>
      </c>
      <c r="C81" s="38" t="s">
        <v>4645</v>
      </c>
      <c r="D81" s="38" t="s">
        <v>912</v>
      </c>
      <c r="E81" s="38" t="s">
        <v>4646</v>
      </c>
      <c r="F81" s="38" t="s">
        <v>4647</v>
      </c>
      <c r="G81" s="38" t="s">
        <v>4648</v>
      </c>
      <c r="H81" s="38" t="s">
        <v>4247</v>
      </c>
      <c r="I81" s="31" t="s">
        <v>966</v>
      </c>
    </row>
    <row r="82" spans="2:9">
      <c r="B82" s="30" t="s">
        <v>4649</v>
      </c>
      <c r="C82" s="38" t="s">
        <v>4650</v>
      </c>
      <c r="D82" s="38" t="s">
        <v>915</v>
      </c>
      <c r="E82" s="38" t="s">
        <v>4651</v>
      </c>
      <c r="F82" s="38" t="s">
        <v>4652</v>
      </c>
      <c r="G82" s="38" t="s">
        <v>4653</v>
      </c>
      <c r="H82" s="38" t="s">
        <v>4247</v>
      </c>
      <c r="I82" s="31" t="s">
        <v>977</v>
      </c>
    </row>
    <row r="83" spans="2:9">
      <c r="B83" s="30" t="s">
        <v>4654</v>
      </c>
      <c r="C83" s="38" t="s">
        <v>4655</v>
      </c>
      <c r="D83" s="38" t="s">
        <v>923</v>
      </c>
      <c r="E83" s="38" t="s">
        <v>4656</v>
      </c>
      <c r="F83" s="38" t="s">
        <v>4657</v>
      </c>
      <c r="G83" s="38" t="s">
        <v>4658</v>
      </c>
      <c r="H83" s="38" t="s">
        <v>4247</v>
      </c>
      <c r="I83" s="31" t="s">
        <v>990</v>
      </c>
    </row>
    <row r="84" spans="2:9">
      <c r="B84" s="30" t="s">
        <v>4659</v>
      </c>
      <c r="C84" s="38" t="s">
        <v>4660</v>
      </c>
      <c r="D84" s="38" t="s">
        <v>906</v>
      </c>
      <c r="E84" s="38" t="s">
        <v>4661</v>
      </c>
      <c r="F84" s="38" t="s">
        <v>4662</v>
      </c>
      <c r="G84" s="38" t="s">
        <v>4663</v>
      </c>
      <c r="H84" s="38" t="s">
        <v>4247</v>
      </c>
      <c r="I84" s="31" t="s">
        <v>1001</v>
      </c>
    </row>
    <row r="85" spans="2:9">
      <c r="B85" s="30" t="s">
        <v>4664</v>
      </c>
      <c r="C85" s="38" t="s">
        <v>4665</v>
      </c>
      <c r="D85" s="38" t="s">
        <v>932</v>
      </c>
      <c r="E85" s="38" t="s">
        <v>4666</v>
      </c>
      <c r="F85" s="38" t="s">
        <v>4667</v>
      </c>
      <c r="G85" s="38" t="s">
        <v>4668</v>
      </c>
      <c r="H85" s="38" t="s">
        <v>4247</v>
      </c>
      <c r="I85" s="31" t="s">
        <v>1012</v>
      </c>
    </row>
    <row r="86" spans="2:9">
      <c r="B86" s="30" t="s">
        <v>4669</v>
      </c>
      <c r="C86" s="38" t="s">
        <v>4670</v>
      </c>
      <c r="D86" s="38" t="s">
        <v>931</v>
      </c>
      <c r="E86" s="38" t="s">
        <v>4671</v>
      </c>
      <c r="F86" s="38" t="s">
        <v>4672</v>
      </c>
      <c r="G86" s="38" t="s">
        <v>4673</v>
      </c>
      <c r="H86" s="38" t="s">
        <v>4247</v>
      </c>
      <c r="I86" s="31" t="s">
        <v>1022</v>
      </c>
    </row>
    <row r="87" spans="2:9">
      <c r="B87" s="30" t="s">
        <v>4674</v>
      </c>
      <c r="C87" s="38" t="s">
        <v>4675</v>
      </c>
      <c r="D87" s="38" t="s">
        <v>925</v>
      </c>
      <c r="E87" s="38" t="s">
        <v>4676</v>
      </c>
      <c r="F87" s="38" t="s">
        <v>4677</v>
      </c>
      <c r="G87" s="38" t="s">
        <v>4678</v>
      </c>
      <c r="H87" s="38" t="s">
        <v>4247</v>
      </c>
      <c r="I87" s="31" t="s">
        <v>1033</v>
      </c>
    </row>
    <row r="88" spans="2:9">
      <c r="B88" s="32" t="s">
        <v>4679</v>
      </c>
      <c r="C88" s="39" t="s">
        <v>4680</v>
      </c>
      <c r="D88" s="39" t="s">
        <v>916</v>
      </c>
      <c r="E88" s="39" t="s">
        <v>4681</v>
      </c>
      <c r="F88" s="39" t="s">
        <v>4682</v>
      </c>
      <c r="G88" s="39" t="s">
        <v>4683</v>
      </c>
      <c r="H88" s="39" t="s">
        <v>4247</v>
      </c>
      <c r="I88" s="34" t="s">
        <v>1044</v>
      </c>
    </row>
    <row r="89" spans="2:9">
      <c r="B89" s="30" t="s">
        <v>4684</v>
      </c>
      <c r="C89" s="38" t="s">
        <v>4685</v>
      </c>
      <c r="D89" s="38" t="s">
        <v>937</v>
      </c>
      <c r="E89" s="38" t="s">
        <v>4686</v>
      </c>
      <c r="F89" s="38" t="s">
        <v>4687</v>
      </c>
      <c r="G89" s="38" t="s">
        <v>4688</v>
      </c>
      <c r="H89" s="38" t="s">
        <v>4250</v>
      </c>
      <c r="I89" s="31" t="s">
        <v>972</v>
      </c>
    </row>
    <row r="90" spans="2:9">
      <c r="B90" s="30" t="s">
        <v>4689</v>
      </c>
      <c r="C90" s="38" t="s">
        <v>4690</v>
      </c>
      <c r="D90" s="38" t="s">
        <v>923</v>
      </c>
      <c r="E90" s="38" t="s">
        <v>4691</v>
      </c>
      <c r="F90" s="38" t="s">
        <v>4692</v>
      </c>
      <c r="G90" s="38" t="s">
        <v>4693</v>
      </c>
      <c r="H90" s="38" t="s">
        <v>4250</v>
      </c>
      <c r="I90" s="31" t="s">
        <v>985</v>
      </c>
    </row>
    <row r="91" spans="2:9">
      <c r="B91" s="32" t="s">
        <v>4694</v>
      </c>
      <c r="C91" s="39" t="s">
        <v>4695</v>
      </c>
      <c r="D91" s="39" t="s">
        <v>854</v>
      </c>
      <c r="E91" s="39" t="s">
        <v>4696</v>
      </c>
      <c r="F91" s="39" t="s">
        <v>4697</v>
      </c>
      <c r="G91" s="39" t="s">
        <v>4698</v>
      </c>
      <c r="H91" s="39" t="s">
        <v>4250</v>
      </c>
      <c r="I91" s="34" t="s">
        <v>1007</v>
      </c>
    </row>
    <row r="92" spans="2:9">
      <c r="B92" s="30" t="s">
        <v>4699</v>
      </c>
      <c r="C92" s="38" t="s">
        <v>4700</v>
      </c>
      <c r="D92" s="38" t="s">
        <v>936</v>
      </c>
      <c r="E92" s="38" t="s">
        <v>4701</v>
      </c>
      <c r="F92" s="38" t="s">
        <v>4702</v>
      </c>
      <c r="G92" s="38" t="s">
        <v>4703</v>
      </c>
      <c r="H92" s="38" t="s">
        <v>4253</v>
      </c>
      <c r="I92" s="31" t="s">
        <v>941</v>
      </c>
    </row>
    <row r="93" spans="2:9">
      <c r="B93" s="30" t="s">
        <v>4704</v>
      </c>
      <c r="C93" s="38" t="s">
        <v>4705</v>
      </c>
      <c r="D93" s="38" t="s">
        <v>926</v>
      </c>
      <c r="E93" s="38" t="s">
        <v>4706</v>
      </c>
      <c r="F93" s="38" t="s">
        <v>4707</v>
      </c>
      <c r="G93" s="38" t="s">
        <v>4708</v>
      </c>
      <c r="H93" s="38" t="s">
        <v>4253</v>
      </c>
      <c r="I93" s="31" t="s">
        <v>965</v>
      </c>
    </row>
    <row r="94" spans="2:9">
      <c r="B94" s="30" t="s">
        <v>4709</v>
      </c>
      <c r="C94" s="38" t="s">
        <v>4710</v>
      </c>
      <c r="D94" s="38" t="s">
        <v>935</v>
      </c>
      <c r="E94" s="38" t="s">
        <v>4711</v>
      </c>
      <c r="F94" s="38" t="s">
        <v>4712</v>
      </c>
      <c r="G94" s="38" t="s">
        <v>4713</v>
      </c>
      <c r="H94" s="38" t="s">
        <v>4253</v>
      </c>
      <c r="I94" s="31" t="s">
        <v>983</v>
      </c>
    </row>
    <row r="95" spans="2:9">
      <c r="B95" s="30" t="s">
        <v>4714</v>
      </c>
      <c r="C95" s="38" t="s">
        <v>4715</v>
      </c>
      <c r="D95" s="38" t="s">
        <v>909</v>
      </c>
      <c r="E95" s="38" t="s">
        <v>4716</v>
      </c>
      <c r="F95" s="38" t="s">
        <v>4717</v>
      </c>
      <c r="G95" s="38" t="s">
        <v>4718</v>
      </c>
      <c r="H95" s="38" t="s">
        <v>4253</v>
      </c>
      <c r="I95" s="31" t="s">
        <v>1000</v>
      </c>
    </row>
    <row r="96" spans="2:9">
      <c r="B96" s="32" t="s">
        <v>4719</v>
      </c>
      <c r="C96" s="39" t="s">
        <v>4720</v>
      </c>
      <c r="D96" s="39" t="s">
        <v>890</v>
      </c>
      <c r="E96" s="39" t="s">
        <v>4721</v>
      </c>
      <c r="F96" s="39" t="s">
        <v>4722</v>
      </c>
      <c r="G96" s="39" t="s">
        <v>4723</v>
      </c>
      <c r="H96" s="39" t="s">
        <v>4253</v>
      </c>
      <c r="I96" s="34" t="s">
        <v>1049</v>
      </c>
    </row>
    <row r="97" spans="2:9">
      <c r="B97" s="30" t="s">
        <v>4724</v>
      </c>
      <c r="C97" s="38" t="s">
        <v>4725</v>
      </c>
      <c r="D97" s="38" t="s">
        <v>935</v>
      </c>
      <c r="E97" s="38" t="s">
        <v>4726</v>
      </c>
      <c r="F97" s="38" t="s">
        <v>4727</v>
      </c>
      <c r="G97" s="38" t="s">
        <v>4728</v>
      </c>
      <c r="H97" s="38" t="s">
        <v>4256</v>
      </c>
      <c r="I97" s="31" t="s">
        <v>939</v>
      </c>
    </row>
    <row r="98" spans="2:9">
      <c r="B98" s="30" t="s">
        <v>4729</v>
      </c>
      <c r="C98" s="38" t="s">
        <v>4730</v>
      </c>
      <c r="D98" s="38" t="s">
        <v>911</v>
      </c>
      <c r="E98" s="38" t="s">
        <v>4731</v>
      </c>
      <c r="F98" s="38" t="s">
        <v>4732</v>
      </c>
      <c r="G98" s="38" t="s">
        <v>4733</v>
      </c>
      <c r="H98" s="38" t="s">
        <v>4256</v>
      </c>
      <c r="I98" s="31" t="s">
        <v>947</v>
      </c>
    </row>
    <row r="99" spans="2:9">
      <c r="B99" s="30" t="s">
        <v>4734</v>
      </c>
      <c r="C99" s="38" t="s">
        <v>4735</v>
      </c>
      <c r="D99" s="38" t="s">
        <v>847</v>
      </c>
      <c r="E99" s="38" t="s">
        <v>4736</v>
      </c>
      <c r="F99" s="38" t="s">
        <v>4737</v>
      </c>
      <c r="G99" s="38" t="s">
        <v>4738</v>
      </c>
      <c r="H99" s="38" t="s">
        <v>4256</v>
      </c>
      <c r="I99" s="31" t="s">
        <v>960</v>
      </c>
    </row>
    <row r="100" spans="2:9">
      <c r="B100" s="30" t="s">
        <v>4739</v>
      </c>
      <c r="C100" s="38" t="s">
        <v>4740</v>
      </c>
      <c r="D100" s="38" t="s">
        <v>893</v>
      </c>
      <c r="E100" s="38" t="s">
        <v>4741</v>
      </c>
      <c r="F100" s="38" t="s">
        <v>4742</v>
      </c>
      <c r="G100" s="38" t="s">
        <v>4743</v>
      </c>
      <c r="H100" s="38" t="s">
        <v>4256</v>
      </c>
      <c r="I100" s="31" t="s">
        <v>972</v>
      </c>
    </row>
    <row r="101" spans="2:9">
      <c r="B101" s="30" t="s">
        <v>4744</v>
      </c>
      <c r="C101" s="38" t="s">
        <v>4745</v>
      </c>
      <c r="D101" s="38" t="s">
        <v>916</v>
      </c>
      <c r="E101" s="38" t="s">
        <v>4746</v>
      </c>
      <c r="F101" s="38" t="s">
        <v>4747</v>
      </c>
      <c r="G101" s="38" t="s">
        <v>4748</v>
      </c>
      <c r="H101" s="38" t="s">
        <v>4256</v>
      </c>
      <c r="I101" s="31" t="s">
        <v>985</v>
      </c>
    </row>
    <row r="102" spans="2:9">
      <c r="B102" s="30" t="s">
        <v>4749</v>
      </c>
      <c r="C102" s="38" t="s">
        <v>4750</v>
      </c>
      <c r="D102" s="38" t="s">
        <v>934</v>
      </c>
      <c r="E102" s="38" t="s">
        <v>4751</v>
      </c>
      <c r="F102" s="38" t="s">
        <v>4752</v>
      </c>
      <c r="G102" s="38" t="s">
        <v>4753</v>
      </c>
      <c r="H102" s="38" t="s">
        <v>4256</v>
      </c>
      <c r="I102" s="31" t="s">
        <v>996</v>
      </c>
    </row>
    <row r="103" spans="2:9">
      <c r="B103" s="30" t="s">
        <v>4754</v>
      </c>
      <c r="C103" s="38" t="s">
        <v>4755</v>
      </c>
      <c r="D103" s="38" t="s">
        <v>4759</v>
      </c>
      <c r="E103" s="38" t="s">
        <v>4756</v>
      </c>
      <c r="F103" s="38" t="s">
        <v>4757</v>
      </c>
      <c r="G103" s="38" t="s">
        <v>4758</v>
      </c>
      <c r="H103" s="38" t="s">
        <v>4256</v>
      </c>
      <c r="I103" s="31" t="s">
        <v>131</v>
      </c>
    </row>
    <row r="104" spans="2:9">
      <c r="B104" s="32" t="s">
        <v>4760</v>
      </c>
      <c r="C104" s="39" t="s">
        <v>4761</v>
      </c>
      <c r="D104" s="39" t="s">
        <v>866</v>
      </c>
      <c r="E104" s="39" t="s">
        <v>4762</v>
      </c>
      <c r="F104" s="39" t="s">
        <v>4763</v>
      </c>
      <c r="G104" s="39" t="s">
        <v>4764</v>
      </c>
      <c r="H104" s="39" t="s">
        <v>4256</v>
      </c>
      <c r="I104" s="34" t="s">
        <v>1038</v>
      </c>
    </row>
    <row r="105" spans="2:9">
      <c r="B105" s="28" t="s">
        <v>4765</v>
      </c>
      <c r="C105" s="37" t="s">
        <v>4766</v>
      </c>
      <c r="D105" s="37" t="s">
        <v>896</v>
      </c>
      <c r="E105" s="37" t="s">
        <v>4767</v>
      </c>
      <c r="F105" s="37" t="s">
        <v>4768</v>
      </c>
      <c r="G105" s="37" t="s">
        <v>4769</v>
      </c>
      <c r="H105" s="37" t="s">
        <v>4259</v>
      </c>
      <c r="I105" s="29" t="s">
        <v>939</v>
      </c>
    </row>
    <row r="106" spans="2:9">
      <c r="B106" s="30" t="s">
        <v>4770</v>
      </c>
      <c r="C106" s="38" t="s">
        <v>4771</v>
      </c>
      <c r="D106" s="38" t="s">
        <v>873</v>
      </c>
      <c r="E106" s="38" t="s">
        <v>4772</v>
      </c>
      <c r="F106" s="38" t="s">
        <v>4773</v>
      </c>
      <c r="G106" s="38" t="s">
        <v>4774</v>
      </c>
      <c r="H106" s="38" t="s">
        <v>4259</v>
      </c>
      <c r="I106" s="31" t="s">
        <v>947</v>
      </c>
    </row>
    <row r="107" spans="2:9">
      <c r="B107" s="30" t="s">
        <v>4775</v>
      </c>
      <c r="C107" s="38" t="s">
        <v>4776</v>
      </c>
      <c r="D107" s="38" t="s">
        <v>914</v>
      </c>
      <c r="E107" s="38" t="s">
        <v>4777</v>
      </c>
      <c r="F107" s="38" t="s">
        <v>4778</v>
      </c>
      <c r="G107" s="38" t="s">
        <v>4779</v>
      </c>
      <c r="H107" s="38" t="s">
        <v>4259</v>
      </c>
      <c r="I107" s="31" t="s">
        <v>962</v>
      </c>
    </row>
    <row r="108" spans="2:9">
      <c r="B108" s="30" t="s">
        <v>4780</v>
      </c>
      <c r="C108" s="38" t="s">
        <v>4781</v>
      </c>
      <c r="D108" s="38" t="s">
        <v>853</v>
      </c>
      <c r="E108" s="38" t="s">
        <v>4782</v>
      </c>
      <c r="F108" s="38" t="s">
        <v>4783</v>
      </c>
      <c r="G108" s="38" t="s">
        <v>4784</v>
      </c>
      <c r="H108" s="38" t="s">
        <v>4259</v>
      </c>
      <c r="I108" s="31" t="s">
        <v>972</v>
      </c>
    </row>
    <row r="109" spans="2:9">
      <c r="B109" s="30" t="s">
        <v>4785</v>
      </c>
      <c r="C109" s="38" t="s">
        <v>4786</v>
      </c>
      <c r="D109" s="38" t="s">
        <v>917</v>
      </c>
      <c r="E109" s="38" t="s">
        <v>4787</v>
      </c>
      <c r="F109" s="38" t="s">
        <v>4788</v>
      </c>
      <c r="G109" s="38" t="s">
        <v>4784</v>
      </c>
      <c r="H109" s="38" t="s">
        <v>4259</v>
      </c>
      <c r="I109" s="31" t="s">
        <v>984</v>
      </c>
    </row>
    <row r="110" spans="2:9">
      <c r="B110" s="30" t="s">
        <v>4789</v>
      </c>
      <c r="C110" s="38" t="s">
        <v>4790</v>
      </c>
      <c r="D110" s="38" t="s">
        <v>4</v>
      </c>
      <c r="E110" s="38" t="s">
        <v>4791</v>
      </c>
      <c r="F110" s="38" t="s">
        <v>4792</v>
      </c>
      <c r="G110" s="38" t="s">
        <v>4793</v>
      </c>
      <c r="H110" s="38" t="s">
        <v>4259</v>
      </c>
      <c r="I110" s="31" t="s">
        <v>997</v>
      </c>
    </row>
    <row r="111" spans="2:9">
      <c r="B111" s="30" t="s">
        <v>4794</v>
      </c>
      <c r="C111" s="38" t="s">
        <v>4795</v>
      </c>
      <c r="D111" s="38" t="s">
        <v>914</v>
      </c>
      <c r="E111" s="38" t="s">
        <v>4796</v>
      </c>
      <c r="F111" s="38" t="s">
        <v>4797</v>
      </c>
      <c r="G111" s="38" t="s">
        <v>4798</v>
      </c>
      <c r="H111" s="38" t="s">
        <v>4259</v>
      </c>
      <c r="I111" s="31" t="s">
        <v>1018</v>
      </c>
    </row>
    <row r="112" spans="2:9">
      <c r="B112" s="30" t="s">
        <v>4799</v>
      </c>
      <c r="C112" s="38" t="s">
        <v>4800</v>
      </c>
      <c r="D112" s="38" t="s">
        <v>4</v>
      </c>
      <c r="E112" s="38" t="s">
        <v>4801</v>
      </c>
      <c r="F112" s="38" t="s">
        <v>4802</v>
      </c>
      <c r="G112" s="38" t="s">
        <v>4803</v>
      </c>
      <c r="H112" s="38" t="s">
        <v>4259</v>
      </c>
      <c r="I112" s="31" t="s">
        <v>1027</v>
      </c>
    </row>
    <row r="113" spans="2:9">
      <c r="B113" s="32" t="s">
        <v>4804</v>
      </c>
      <c r="C113" s="39" t="s">
        <v>4805</v>
      </c>
      <c r="D113" s="39" t="s">
        <v>4</v>
      </c>
      <c r="E113" s="39" t="s">
        <v>4806</v>
      </c>
      <c r="F113" s="39" t="s">
        <v>4807</v>
      </c>
      <c r="G113" s="39" t="s">
        <v>4808</v>
      </c>
      <c r="H113" s="39" t="s">
        <v>4259</v>
      </c>
      <c r="I113" s="34" t="s">
        <v>1038</v>
      </c>
    </row>
    <row r="114" spans="2:9">
      <c r="B114" s="30" t="s">
        <v>4809</v>
      </c>
      <c r="C114" s="38" t="s">
        <v>4810</v>
      </c>
      <c r="D114" s="38" t="s">
        <v>900</v>
      </c>
      <c r="E114" s="38" t="s">
        <v>4811</v>
      </c>
      <c r="F114" s="38" t="s">
        <v>4812</v>
      </c>
      <c r="G114" s="38" t="s">
        <v>4813</v>
      </c>
      <c r="H114" s="38" t="s">
        <v>4261</v>
      </c>
      <c r="I114" s="31" t="s">
        <v>946</v>
      </c>
    </row>
    <row r="115" spans="2:9">
      <c r="B115" s="30" t="s">
        <v>4814</v>
      </c>
      <c r="C115" s="38" t="s">
        <v>4815</v>
      </c>
      <c r="D115" s="38" t="s">
        <v>916</v>
      </c>
      <c r="E115" s="38" t="s">
        <v>4816</v>
      </c>
      <c r="F115" s="38" t="s">
        <v>4817</v>
      </c>
      <c r="G115" s="38" t="s">
        <v>4818</v>
      </c>
      <c r="H115" s="38" t="s">
        <v>4261</v>
      </c>
      <c r="I115" s="31" t="s">
        <v>960</v>
      </c>
    </row>
    <row r="116" spans="2:9">
      <c r="B116" s="30" t="s">
        <v>4819</v>
      </c>
      <c r="C116" s="38" t="s">
        <v>4820</v>
      </c>
      <c r="D116" s="38" t="s">
        <v>851</v>
      </c>
      <c r="E116" s="38" t="s">
        <v>4821</v>
      </c>
      <c r="F116" s="38" t="s">
        <v>4822</v>
      </c>
      <c r="G116" s="38" t="s">
        <v>4818</v>
      </c>
      <c r="H116" s="38" t="s">
        <v>4261</v>
      </c>
      <c r="I116" s="31" t="s">
        <v>971</v>
      </c>
    </row>
    <row r="117" spans="2:9">
      <c r="B117" s="30" t="s">
        <v>4823</v>
      </c>
      <c r="C117" s="38" t="s">
        <v>4824</v>
      </c>
      <c r="D117" s="38" t="s">
        <v>862</v>
      </c>
      <c r="E117" s="38" t="s">
        <v>4825</v>
      </c>
      <c r="F117" s="38" t="s">
        <v>4826</v>
      </c>
      <c r="G117" s="38" t="s">
        <v>4827</v>
      </c>
      <c r="H117" s="38" t="s">
        <v>4261</v>
      </c>
      <c r="I117" s="31" t="s">
        <v>983</v>
      </c>
    </row>
    <row r="118" spans="2:9">
      <c r="B118" s="30" t="s">
        <v>4828</v>
      </c>
      <c r="C118" s="38" t="s">
        <v>4829</v>
      </c>
      <c r="D118" s="38" t="s">
        <v>888</v>
      </c>
      <c r="E118" s="38" t="s">
        <v>4830</v>
      </c>
      <c r="F118" s="38" t="s">
        <v>4831</v>
      </c>
      <c r="G118" s="38" t="s">
        <v>4832</v>
      </c>
      <c r="H118" s="38" t="s">
        <v>4261</v>
      </c>
      <c r="I118" s="31" t="s">
        <v>1005</v>
      </c>
    </row>
    <row r="119" spans="2:9">
      <c r="B119" s="32" t="s">
        <v>4833</v>
      </c>
      <c r="C119" s="39" t="s">
        <v>4834</v>
      </c>
      <c r="D119" s="39" t="s">
        <v>897</v>
      </c>
      <c r="E119" s="39" t="s">
        <v>4835</v>
      </c>
      <c r="F119" s="39" t="s">
        <v>4836</v>
      </c>
      <c r="G119" s="39" t="s">
        <v>4837</v>
      </c>
      <c r="H119" s="39" t="s">
        <v>4261</v>
      </c>
      <c r="I119" s="34" t="s">
        <v>1026</v>
      </c>
    </row>
    <row r="120" spans="2:9">
      <c r="B120" s="30" t="s">
        <v>4838</v>
      </c>
      <c r="C120" s="38" t="s">
        <v>4839</v>
      </c>
      <c r="D120" s="38" t="s">
        <v>901</v>
      </c>
      <c r="E120" s="38" t="s">
        <v>4811</v>
      </c>
      <c r="F120" s="38" t="s">
        <v>4812</v>
      </c>
      <c r="G120" s="38" t="s">
        <v>4840</v>
      </c>
      <c r="H120" s="38" t="s">
        <v>4264</v>
      </c>
      <c r="I120" s="31" t="s">
        <v>946</v>
      </c>
    </row>
    <row r="121" spans="2:9">
      <c r="B121" s="30" t="s">
        <v>4841</v>
      </c>
      <c r="C121" s="38" t="s">
        <v>4842</v>
      </c>
      <c r="D121" s="38" t="s">
        <v>861</v>
      </c>
      <c r="E121" s="38" t="s">
        <v>4825</v>
      </c>
      <c r="F121" s="38" t="s">
        <v>4826</v>
      </c>
      <c r="G121" s="38" t="s">
        <v>4843</v>
      </c>
      <c r="H121" s="38" t="s">
        <v>4264</v>
      </c>
      <c r="I121" s="31" t="s">
        <v>979</v>
      </c>
    </row>
    <row r="122" spans="2:9">
      <c r="B122" s="32" t="s">
        <v>4844</v>
      </c>
      <c r="C122" s="39" t="s">
        <v>4845</v>
      </c>
      <c r="D122" s="39" t="s">
        <v>908</v>
      </c>
      <c r="E122" s="39" t="s">
        <v>4846</v>
      </c>
      <c r="F122" s="39" t="s">
        <v>4847</v>
      </c>
      <c r="G122" s="39" t="s">
        <v>4848</v>
      </c>
      <c r="H122" s="39" t="s">
        <v>4264</v>
      </c>
      <c r="I122" s="34" t="s">
        <v>991</v>
      </c>
    </row>
    <row r="123" spans="2:9">
      <c r="B123" s="30" t="s">
        <v>4849</v>
      </c>
      <c r="C123" s="38" t="s">
        <v>4850</v>
      </c>
      <c r="D123" s="38" t="s">
        <v>938</v>
      </c>
      <c r="E123" s="38" t="s">
        <v>4851</v>
      </c>
      <c r="F123" s="38" t="s">
        <v>4852</v>
      </c>
      <c r="G123" s="38" t="s">
        <v>4853</v>
      </c>
      <c r="H123" s="38" t="s">
        <v>4267</v>
      </c>
      <c r="I123" s="31" t="s">
        <v>941</v>
      </c>
    </row>
    <row r="124" spans="2:9">
      <c r="B124" s="30" t="s">
        <v>4854</v>
      </c>
      <c r="C124" s="38" t="s">
        <v>4855</v>
      </c>
      <c r="D124" s="38" t="s">
        <v>872</v>
      </c>
      <c r="E124" s="38" t="s">
        <v>4856</v>
      </c>
      <c r="F124" s="38" t="s">
        <v>4857</v>
      </c>
      <c r="G124" s="38" t="s">
        <v>4858</v>
      </c>
      <c r="H124" s="38" t="s">
        <v>4267</v>
      </c>
      <c r="I124" s="31" t="s">
        <v>965</v>
      </c>
    </row>
    <row r="125" spans="2:9">
      <c r="B125" s="30" t="s">
        <v>4859</v>
      </c>
      <c r="C125" s="38" t="s">
        <v>4860</v>
      </c>
      <c r="D125" s="38" t="s">
        <v>894</v>
      </c>
      <c r="E125" s="38" t="s">
        <v>4861</v>
      </c>
      <c r="F125" s="38" t="s">
        <v>4862</v>
      </c>
      <c r="G125" s="38" t="s">
        <v>4863</v>
      </c>
      <c r="H125" s="38" t="s">
        <v>4267</v>
      </c>
      <c r="I125" s="31" t="s">
        <v>977</v>
      </c>
    </row>
    <row r="126" spans="2:9">
      <c r="B126" s="30" t="s">
        <v>4864</v>
      </c>
      <c r="C126" s="38" t="s">
        <v>4865</v>
      </c>
      <c r="D126" s="38" t="s">
        <v>921</v>
      </c>
      <c r="E126" s="38" t="s">
        <v>4866</v>
      </c>
      <c r="F126" s="38" t="s">
        <v>4867</v>
      </c>
      <c r="G126" s="38" t="s">
        <v>4868</v>
      </c>
      <c r="H126" s="38" t="s">
        <v>4267</v>
      </c>
      <c r="I126" s="31" t="s">
        <v>989</v>
      </c>
    </row>
    <row r="127" spans="2:9">
      <c r="B127" s="30" t="s">
        <v>4869</v>
      </c>
      <c r="C127" s="38" t="s">
        <v>4870</v>
      </c>
      <c r="D127" s="38" t="s">
        <v>891</v>
      </c>
      <c r="E127" s="38" t="s">
        <v>4871</v>
      </c>
      <c r="F127" s="38" t="s">
        <v>4872</v>
      </c>
      <c r="G127" s="38" t="s">
        <v>4873</v>
      </c>
      <c r="H127" s="38" t="s">
        <v>4267</v>
      </c>
      <c r="I127" s="31" t="s">
        <v>1001</v>
      </c>
    </row>
    <row r="128" spans="2:9">
      <c r="B128" s="30" t="s">
        <v>4874</v>
      </c>
      <c r="C128" s="38" t="s">
        <v>4875</v>
      </c>
      <c r="D128" s="38" t="s">
        <v>915</v>
      </c>
      <c r="E128" s="38" t="s">
        <v>4876</v>
      </c>
      <c r="F128" s="38" t="s">
        <v>4877</v>
      </c>
      <c r="G128" s="38" t="s">
        <v>4878</v>
      </c>
      <c r="H128" s="38" t="s">
        <v>4267</v>
      </c>
      <c r="I128" s="31" t="s">
        <v>1011</v>
      </c>
    </row>
    <row r="129" spans="2:9">
      <c r="B129" s="32" t="s">
        <v>4879</v>
      </c>
      <c r="C129" s="39" t="s">
        <v>4880</v>
      </c>
      <c r="D129" s="39" t="s">
        <v>855</v>
      </c>
      <c r="E129" s="39" t="s">
        <v>4881</v>
      </c>
      <c r="F129" s="39" t="s">
        <v>4882</v>
      </c>
      <c r="G129" s="39" t="s">
        <v>4883</v>
      </c>
      <c r="H129" s="39" t="s">
        <v>4267</v>
      </c>
      <c r="I129" s="34" t="s">
        <v>1021</v>
      </c>
    </row>
    <row r="130" spans="2:9">
      <c r="B130" s="30" t="s">
        <v>4884</v>
      </c>
      <c r="C130" s="38" t="s">
        <v>4885</v>
      </c>
      <c r="D130" s="38" t="s">
        <v>858</v>
      </c>
      <c r="E130" s="38" t="s">
        <v>4886</v>
      </c>
      <c r="F130" s="38" t="s">
        <v>4333</v>
      </c>
      <c r="G130" s="38" t="s">
        <v>4887</v>
      </c>
      <c r="H130" s="38" t="s">
        <v>4270</v>
      </c>
      <c r="I130" s="31" t="s">
        <v>960</v>
      </c>
    </row>
    <row r="131" spans="2:9">
      <c r="B131" s="30" t="s">
        <v>4888</v>
      </c>
      <c r="C131" s="38" t="s">
        <v>4889</v>
      </c>
      <c r="D131" s="38" t="s">
        <v>930</v>
      </c>
      <c r="E131" s="38" t="s">
        <v>4890</v>
      </c>
      <c r="F131" s="38" t="s">
        <v>4891</v>
      </c>
      <c r="G131" s="38"/>
      <c r="H131" s="38" t="s">
        <v>4270</v>
      </c>
      <c r="I131" s="31" t="s">
        <v>971</v>
      </c>
    </row>
    <row r="132" spans="2:9">
      <c r="B132" s="30" t="s">
        <v>4892</v>
      </c>
      <c r="C132" s="38" t="s">
        <v>4893</v>
      </c>
      <c r="D132" s="38" t="s">
        <v>931</v>
      </c>
      <c r="E132" s="38" t="s">
        <v>4894</v>
      </c>
      <c r="F132" s="38" t="s">
        <v>4895</v>
      </c>
      <c r="G132" s="38" t="s">
        <v>4896</v>
      </c>
      <c r="H132" s="38" t="s">
        <v>4270</v>
      </c>
      <c r="I132" s="31" t="s">
        <v>995</v>
      </c>
    </row>
    <row r="133" spans="2:9">
      <c r="B133" s="30" t="s">
        <v>4897</v>
      </c>
      <c r="C133" s="38" t="s">
        <v>4898</v>
      </c>
      <c r="D133" s="38" t="s">
        <v>928</v>
      </c>
      <c r="E133" s="38" t="s">
        <v>4899</v>
      </c>
      <c r="F133" s="38" t="s">
        <v>4900</v>
      </c>
      <c r="G133" s="38" t="s">
        <v>4901</v>
      </c>
      <c r="H133" s="38" t="s">
        <v>4270</v>
      </c>
      <c r="I133" s="31" t="s">
        <v>224</v>
      </c>
    </row>
    <row r="134" spans="2:9">
      <c r="B134" s="32" t="s">
        <v>4902</v>
      </c>
      <c r="C134" s="39" t="s">
        <v>4903</v>
      </c>
      <c r="D134" s="39" t="s">
        <v>937</v>
      </c>
      <c r="E134" s="39" t="s">
        <v>4904</v>
      </c>
      <c r="F134" s="39" t="s">
        <v>4905</v>
      </c>
      <c r="G134" s="39" t="s">
        <v>4906</v>
      </c>
      <c r="H134" s="39" t="s">
        <v>4270</v>
      </c>
      <c r="I134" s="34" t="s">
        <v>1026</v>
      </c>
    </row>
    <row r="135" spans="2:9">
      <c r="B135" s="28" t="s">
        <v>4907</v>
      </c>
      <c r="C135" s="37" t="s">
        <v>4908</v>
      </c>
      <c r="D135" s="37" t="s">
        <v>907</v>
      </c>
      <c r="E135" s="37" t="s">
        <v>4909</v>
      </c>
      <c r="F135" s="37" t="s">
        <v>4910</v>
      </c>
      <c r="G135" s="37" t="s">
        <v>4911</v>
      </c>
      <c r="H135" s="37" t="s">
        <v>4273</v>
      </c>
      <c r="I135" s="29" t="s">
        <v>957</v>
      </c>
    </row>
    <row r="136" spans="2:9">
      <c r="B136" s="30" t="s">
        <v>4912</v>
      </c>
      <c r="C136" s="38" t="s">
        <v>4913</v>
      </c>
      <c r="D136" s="38" t="s">
        <v>508</v>
      </c>
      <c r="E136" s="38" t="s">
        <v>4914</v>
      </c>
      <c r="F136" s="38" t="s">
        <v>4915</v>
      </c>
      <c r="G136" s="38" t="s">
        <v>4916</v>
      </c>
      <c r="H136" s="38" t="s">
        <v>4273</v>
      </c>
      <c r="I136" s="31" t="s">
        <v>969</v>
      </c>
    </row>
    <row r="137" spans="2:9">
      <c r="B137" s="30" t="s">
        <v>4917</v>
      </c>
      <c r="C137" s="38" t="s">
        <v>4918</v>
      </c>
      <c r="D137" s="38" t="s">
        <v>874</v>
      </c>
      <c r="E137" s="38" t="s">
        <v>4919</v>
      </c>
      <c r="F137" s="38" t="s">
        <v>4920</v>
      </c>
      <c r="G137" s="38" t="s">
        <v>4921</v>
      </c>
      <c r="H137" s="38" t="s">
        <v>4273</v>
      </c>
      <c r="I137" s="31" t="s">
        <v>981</v>
      </c>
    </row>
    <row r="138" spans="2:9">
      <c r="B138" s="32" t="s">
        <v>4922</v>
      </c>
      <c r="C138" s="39" t="s">
        <v>4923</v>
      </c>
      <c r="D138" s="39" t="s">
        <v>911</v>
      </c>
      <c r="E138" s="39" t="s">
        <v>4924</v>
      </c>
      <c r="F138" s="39" t="s">
        <v>4925</v>
      </c>
      <c r="G138" s="39" t="s">
        <v>4926</v>
      </c>
      <c r="H138" s="39" t="s">
        <v>4273</v>
      </c>
      <c r="I138" s="34" t="s">
        <v>992</v>
      </c>
    </row>
    <row r="139" spans="2:9">
      <c r="B139" s="30" t="s">
        <v>4927</v>
      </c>
      <c r="C139" s="38" t="s">
        <v>4928</v>
      </c>
      <c r="D139" s="38" t="s">
        <v>915</v>
      </c>
      <c r="E139" s="38" t="s">
        <v>4929</v>
      </c>
      <c r="F139" s="38" t="s">
        <v>4930</v>
      </c>
      <c r="G139" s="38" t="s">
        <v>4931</v>
      </c>
      <c r="H139" s="38" t="s">
        <v>4276</v>
      </c>
      <c r="I139" s="31" t="s">
        <v>944</v>
      </c>
    </row>
    <row r="140" spans="2:9">
      <c r="B140" s="30" t="s">
        <v>4932</v>
      </c>
      <c r="C140" s="38" t="s">
        <v>4933</v>
      </c>
      <c r="D140" s="38" t="s">
        <v>916</v>
      </c>
      <c r="E140" s="38" t="s">
        <v>4934</v>
      </c>
      <c r="F140" s="38" t="s">
        <v>4935</v>
      </c>
      <c r="G140" s="38" t="s">
        <v>4936</v>
      </c>
      <c r="H140" s="38" t="s">
        <v>4276</v>
      </c>
      <c r="I140" s="31" t="s">
        <v>957</v>
      </c>
    </row>
    <row r="141" spans="2:9">
      <c r="B141" s="30" t="s">
        <v>4937</v>
      </c>
      <c r="C141" s="38" t="s">
        <v>4938</v>
      </c>
      <c r="D141" s="38" t="s">
        <v>902</v>
      </c>
      <c r="E141" s="38" t="s">
        <v>4939</v>
      </c>
      <c r="F141" s="38" t="s">
        <v>4940</v>
      </c>
      <c r="G141" s="38" t="s">
        <v>4941</v>
      </c>
      <c r="H141" s="38" t="s">
        <v>4276</v>
      </c>
      <c r="I141" s="31" t="s">
        <v>968</v>
      </c>
    </row>
    <row r="142" spans="2:9">
      <c r="B142" s="30" t="s">
        <v>4942</v>
      </c>
      <c r="C142" s="38" t="s">
        <v>4943</v>
      </c>
      <c r="D142" s="38" t="s">
        <v>854</v>
      </c>
      <c r="E142" s="38" t="s">
        <v>4470</v>
      </c>
      <c r="F142" s="38" t="s">
        <v>4944</v>
      </c>
      <c r="G142" s="38" t="s">
        <v>4945</v>
      </c>
      <c r="H142" s="38" t="s">
        <v>4276</v>
      </c>
      <c r="I142" s="31" t="s">
        <v>980</v>
      </c>
    </row>
    <row r="143" spans="2:9">
      <c r="B143" s="32" t="s">
        <v>4946</v>
      </c>
      <c r="C143" s="39" t="s">
        <v>4947</v>
      </c>
      <c r="D143" s="39" t="s">
        <v>922</v>
      </c>
      <c r="E143" s="39" t="s">
        <v>4948</v>
      </c>
      <c r="F143" s="39" t="s">
        <v>4604</v>
      </c>
      <c r="G143" s="39" t="s">
        <v>4949</v>
      </c>
      <c r="H143" s="39" t="s">
        <v>4276</v>
      </c>
      <c r="I143" s="34" t="s">
        <v>1003</v>
      </c>
    </row>
    <row r="144" spans="2:9">
      <c r="B144" s="30" t="s">
        <v>4950</v>
      </c>
      <c r="C144" s="38" t="s">
        <v>4951</v>
      </c>
      <c r="D144" s="38" t="s">
        <v>905</v>
      </c>
      <c r="E144" s="38" t="s">
        <v>4952</v>
      </c>
      <c r="F144" s="38" t="s">
        <v>4953</v>
      </c>
      <c r="G144" s="38" t="s">
        <v>4954</v>
      </c>
      <c r="H144" s="38" t="s">
        <v>50</v>
      </c>
      <c r="I144" s="31" t="s">
        <v>942</v>
      </c>
    </row>
    <row r="145" spans="2:9">
      <c r="B145" s="30" t="s">
        <v>4955</v>
      </c>
      <c r="C145" s="38" t="s">
        <v>4956</v>
      </c>
      <c r="D145" s="38" t="s">
        <v>905</v>
      </c>
      <c r="E145" s="38" t="s">
        <v>4957</v>
      </c>
      <c r="F145" s="38" t="s">
        <v>4958</v>
      </c>
      <c r="G145" s="38" t="s">
        <v>4959</v>
      </c>
      <c r="H145" s="38" t="s">
        <v>50</v>
      </c>
      <c r="I145" s="31" t="s">
        <v>954</v>
      </c>
    </row>
    <row r="146" spans="2:9">
      <c r="B146" s="30" t="s">
        <v>4960</v>
      </c>
      <c r="C146" s="38" t="s">
        <v>4961</v>
      </c>
      <c r="D146" s="38" t="s">
        <v>905</v>
      </c>
      <c r="E146" s="38" t="s">
        <v>4962</v>
      </c>
      <c r="F146" s="38" t="s">
        <v>4963</v>
      </c>
      <c r="G146" s="38" t="s">
        <v>4964</v>
      </c>
      <c r="H146" s="38" t="s">
        <v>50</v>
      </c>
      <c r="I146" s="31" t="s">
        <v>966</v>
      </c>
    </row>
    <row r="147" spans="2:9">
      <c r="B147" s="30" t="s">
        <v>4965</v>
      </c>
      <c r="C147" s="38" t="s">
        <v>4966</v>
      </c>
      <c r="D147" s="38" t="s">
        <v>905</v>
      </c>
      <c r="E147" s="38" t="s">
        <v>4967</v>
      </c>
      <c r="F147" s="38" t="s">
        <v>4968</v>
      </c>
      <c r="G147" s="38" t="s">
        <v>4969</v>
      </c>
      <c r="H147" s="38" t="s">
        <v>50</v>
      </c>
      <c r="I147" s="31" t="s">
        <v>978</v>
      </c>
    </row>
    <row r="148" spans="2:9">
      <c r="B148" s="30" t="s">
        <v>4970</v>
      </c>
      <c r="C148" s="38" t="s">
        <v>4966</v>
      </c>
      <c r="D148" s="38" t="s">
        <v>905</v>
      </c>
      <c r="E148" s="38" t="s">
        <v>4971</v>
      </c>
      <c r="F148" s="38" t="s">
        <v>4972</v>
      </c>
      <c r="G148" s="38" t="s">
        <v>4973</v>
      </c>
      <c r="H148" s="38" t="s">
        <v>50</v>
      </c>
      <c r="I148" s="31" t="s">
        <v>990</v>
      </c>
    </row>
    <row r="149" spans="2:9">
      <c r="B149" s="30" t="s">
        <v>48</v>
      </c>
      <c r="C149" s="38" t="s">
        <v>215</v>
      </c>
      <c r="D149" s="38" t="s">
        <v>4</v>
      </c>
      <c r="E149" s="38" t="s">
        <v>216</v>
      </c>
      <c r="F149" s="38" t="s">
        <v>217</v>
      </c>
      <c r="G149" s="38" t="s">
        <v>49</v>
      </c>
      <c r="H149" s="38" t="s">
        <v>50</v>
      </c>
      <c r="I149" s="31" t="s">
        <v>227</v>
      </c>
    </row>
    <row r="150" spans="2:9">
      <c r="B150" s="30" t="s">
        <v>4974</v>
      </c>
      <c r="C150" s="38" t="s">
        <v>4975</v>
      </c>
      <c r="D150" s="38" t="s">
        <v>4</v>
      </c>
      <c r="E150" s="38" t="s">
        <v>4976</v>
      </c>
      <c r="F150" s="38" t="s">
        <v>4977</v>
      </c>
      <c r="G150" s="38" t="s">
        <v>4978</v>
      </c>
      <c r="H150" s="38" t="s">
        <v>50</v>
      </c>
      <c r="I150" s="31" t="s">
        <v>1012</v>
      </c>
    </row>
    <row r="151" spans="2:9">
      <c r="B151" s="30" t="s">
        <v>4979</v>
      </c>
      <c r="C151" s="38" t="s">
        <v>4980</v>
      </c>
      <c r="D151" s="38" t="s">
        <v>4</v>
      </c>
      <c r="E151" s="38" t="s">
        <v>4379</v>
      </c>
      <c r="F151" s="38" t="s">
        <v>4981</v>
      </c>
      <c r="G151" s="38" t="s">
        <v>4982</v>
      </c>
      <c r="H151" s="38" t="s">
        <v>50</v>
      </c>
      <c r="I151" s="31" t="s">
        <v>1023</v>
      </c>
    </row>
    <row r="152" spans="2:9">
      <c r="B152" s="30" t="s">
        <v>4983</v>
      </c>
      <c r="C152" s="38" t="s">
        <v>4984</v>
      </c>
      <c r="D152" s="38" t="s">
        <v>4</v>
      </c>
      <c r="E152" s="38" t="s">
        <v>4985</v>
      </c>
      <c r="F152" s="38" t="s">
        <v>4986</v>
      </c>
      <c r="G152" s="38" t="s">
        <v>4987</v>
      </c>
      <c r="H152" s="38" t="s">
        <v>50</v>
      </c>
      <c r="I152" s="31" t="s">
        <v>1033</v>
      </c>
    </row>
    <row r="153" spans="2:9">
      <c r="B153" s="32" t="s">
        <v>4988</v>
      </c>
      <c r="C153" s="39" t="s">
        <v>4989</v>
      </c>
      <c r="D153" s="39" t="s">
        <v>4</v>
      </c>
      <c r="E153" s="39" t="s">
        <v>4990</v>
      </c>
      <c r="F153" s="39" t="s">
        <v>4991</v>
      </c>
      <c r="G153" s="39" t="s">
        <v>4992</v>
      </c>
      <c r="H153" s="39" t="s">
        <v>50</v>
      </c>
      <c r="I153" s="34" t="s">
        <v>1044</v>
      </c>
    </row>
    <row r="154" spans="2:9">
      <c r="B154" s="28" t="s">
        <v>4993</v>
      </c>
      <c r="C154" s="37" t="s">
        <v>4994</v>
      </c>
      <c r="D154" s="37" t="s">
        <v>933</v>
      </c>
      <c r="E154" s="37" t="s">
        <v>4886</v>
      </c>
      <c r="F154" s="37" t="s">
        <v>4333</v>
      </c>
      <c r="G154" s="37" t="s">
        <v>4995</v>
      </c>
      <c r="H154" s="37" t="s">
        <v>4279</v>
      </c>
      <c r="I154" s="29" t="s">
        <v>960</v>
      </c>
    </row>
    <row r="155" spans="2:9">
      <c r="B155" s="32" t="s">
        <v>4996</v>
      </c>
      <c r="C155" s="39" t="s">
        <v>4997</v>
      </c>
      <c r="D155" s="39" t="s">
        <v>852</v>
      </c>
      <c r="E155" s="39" t="s">
        <v>4998</v>
      </c>
      <c r="F155" s="39" t="s">
        <v>4999</v>
      </c>
      <c r="G155" s="39" t="s">
        <v>5000</v>
      </c>
      <c r="H155" s="39" t="s">
        <v>4279</v>
      </c>
      <c r="I155" s="34" t="s">
        <v>970</v>
      </c>
    </row>
    <row r="156" spans="2:9">
      <c r="B156" s="28" t="s">
        <v>5001</v>
      </c>
      <c r="C156" s="37" t="s">
        <v>5002</v>
      </c>
      <c r="D156" s="37" t="s">
        <v>881</v>
      </c>
      <c r="E156" s="37" t="s">
        <v>5003</v>
      </c>
      <c r="F156" s="37" t="s">
        <v>5004</v>
      </c>
      <c r="G156" s="37" t="s">
        <v>5005</v>
      </c>
      <c r="H156" s="37" t="s">
        <v>4282</v>
      </c>
      <c r="I156" s="29" t="s">
        <v>941</v>
      </c>
    </row>
    <row r="157" spans="2:9">
      <c r="B157" s="30" t="s">
        <v>5006</v>
      </c>
      <c r="C157" s="38" t="s">
        <v>5007</v>
      </c>
      <c r="D157" s="38" t="s">
        <v>889</v>
      </c>
      <c r="E157" s="38" t="s">
        <v>5008</v>
      </c>
      <c r="F157" s="38" t="s">
        <v>5009</v>
      </c>
      <c r="G157" s="38" t="s">
        <v>5010</v>
      </c>
      <c r="H157" s="38" t="s">
        <v>4282</v>
      </c>
      <c r="I157" s="31" t="s">
        <v>954</v>
      </c>
    </row>
    <row r="158" spans="2:9">
      <c r="B158" s="30" t="s">
        <v>5011</v>
      </c>
      <c r="C158" s="38" t="s">
        <v>5012</v>
      </c>
      <c r="D158" s="38" t="s">
        <v>928</v>
      </c>
      <c r="E158" s="38" t="s">
        <v>5013</v>
      </c>
      <c r="F158" s="38" t="s">
        <v>5014</v>
      </c>
      <c r="G158" s="38" t="s">
        <v>5015</v>
      </c>
      <c r="H158" s="38" t="s">
        <v>4282</v>
      </c>
      <c r="I158" s="31" t="s">
        <v>978</v>
      </c>
    </row>
    <row r="159" spans="2:9">
      <c r="B159" s="32" t="s">
        <v>5016</v>
      </c>
      <c r="C159" s="39" t="s">
        <v>5017</v>
      </c>
      <c r="D159" s="39" t="s">
        <v>867</v>
      </c>
      <c r="E159" s="39" t="s">
        <v>5018</v>
      </c>
      <c r="F159" s="39" t="s">
        <v>5019</v>
      </c>
      <c r="G159" s="39" t="s">
        <v>5020</v>
      </c>
      <c r="H159" s="39" t="s">
        <v>4282</v>
      </c>
      <c r="I159" s="34" t="s">
        <v>1044</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B2:F54"/>
  <sheetViews>
    <sheetView workbookViewId="0"/>
  </sheetViews>
  <sheetFormatPr baseColWidth="10" defaultRowHeight="15" x14ac:dyDescent="0"/>
  <cols>
    <col min="1" max="1" width="2.33203125" customWidth="1"/>
    <col min="2" max="3" width="14.1640625" customWidth="1"/>
    <col min="4" max="4" width="70.83203125" customWidth="1"/>
    <col min="5" max="6" width="14.1640625" customWidth="1"/>
  </cols>
  <sheetData>
    <row r="2" spans="2:6">
      <c r="B2" s="35" t="s">
        <v>2</v>
      </c>
      <c r="C2" s="40" t="s">
        <v>51</v>
      </c>
      <c r="D2" s="40" t="s">
        <v>14</v>
      </c>
      <c r="E2" s="40" t="s">
        <v>52</v>
      </c>
      <c r="F2" s="36" t="s">
        <v>53</v>
      </c>
    </row>
    <row r="3" spans="2:6">
      <c r="B3" s="28" t="s">
        <v>5471</v>
      </c>
      <c r="C3" s="37" t="s">
        <v>5471</v>
      </c>
      <c r="D3" s="37" t="s">
        <v>5400</v>
      </c>
      <c r="E3" s="37" t="s">
        <v>5472</v>
      </c>
      <c r="F3" s="29" t="s">
        <v>5402</v>
      </c>
    </row>
    <row r="4" spans="2:6">
      <c r="B4" s="30" t="s">
        <v>5478</v>
      </c>
      <c r="C4" s="38" t="s">
        <v>5478</v>
      </c>
      <c r="D4" s="38" t="s">
        <v>5479</v>
      </c>
      <c r="E4" s="38" t="s">
        <v>5472</v>
      </c>
      <c r="F4" s="31" t="s">
        <v>5402</v>
      </c>
    </row>
    <row r="5" spans="2:6">
      <c r="B5" s="30" t="s">
        <v>5480</v>
      </c>
      <c r="C5" s="38" t="s">
        <v>5480</v>
      </c>
      <c r="D5" s="38" t="s">
        <v>5481</v>
      </c>
      <c r="E5" s="38" t="s">
        <v>5472</v>
      </c>
      <c r="F5" s="31" t="s">
        <v>5402</v>
      </c>
    </row>
    <row r="6" spans="2:6">
      <c r="B6" s="30" t="s">
        <v>5482</v>
      </c>
      <c r="C6" s="38" t="s">
        <v>5482</v>
      </c>
      <c r="D6" s="38" t="s">
        <v>5415</v>
      </c>
      <c r="E6" s="38" t="s">
        <v>5472</v>
      </c>
      <c r="F6" s="31" t="s">
        <v>5416</v>
      </c>
    </row>
    <row r="7" spans="2:6">
      <c r="B7" s="30" t="s">
        <v>5483</v>
      </c>
      <c r="C7" s="38" t="s">
        <v>5483</v>
      </c>
      <c r="D7" s="38" t="s">
        <v>5418</v>
      </c>
      <c r="E7" s="38" t="s">
        <v>5472</v>
      </c>
      <c r="F7" s="31" t="s">
        <v>5416</v>
      </c>
    </row>
    <row r="8" spans="2:6">
      <c r="B8" s="30" t="s">
        <v>5484</v>
      </c>
      <c r="C8" s="38" t="s">
        <v>5484</v>
      </c>
      <c r="D8" s="38" t="s">
        <v>5485</v>
      </c>
      <c r="E8" s="38" t="s">
        <v>5472</v>
      </c>
      <c r="F8" s="31" t="s">
        <v>5416</v>
      </c>
    </row>
    <row r="9" spans="2:6">
      <c r="B9" s="30" t="s">
        <v>5486</v>
      </c>
      <c r="C9" s="38" t="s">
        <v>5486</v>
      </c>
      <c r="D9" s="38" t="s">
        <v>5487</v>
      </c>
      <c r="E9" s="38" t="s">
        <v>5472</v>
      </c>
      <c r="F9" s="31" t="s">
        <v>5423</v>
      </c>
    </row>
    <row r="10" spans="2:6">
      <c r="B10" s="30" t="s">
        <v>5488</v>
      </c>
      <c r="C10" s="38" t="s">
        <v>5488</v>
      </c>
      <c r="D10" s="38" t="s">
        <v>5489</v>
      </c>
      <c r="E10" s="38" t="s">
        <v>5472</v>
      </c>
      <c r="F10" s="31" t="s">
        <v>5423</v>
      </c>
    </row>
    <row r="11" spans="2:6">
      <c r="B11" s="30" t="s">
        <v>5490</v>
      </c>
      <c r="C11" s="38" t="s">
        <v>5490</v>
      </c>
      <c r="D11" s="38" t="s">
        <v>5491</v>
      </c>
      <c r="E11" s="38" t="s">
        <v>5472</v>
      </c>
      <c r="F11" s="31" t="s">
        <v>5423</v>
      </c>
    </row>
    <row r="12" spans="2:6">
      <c r="B12" s="30" t="s">
        <v>5473</v>
      </c>
      <c r="C12" s="38" t="s">
        <v>5473</v>
      </c>
      <c r="D12" s="38" t="s">
        <v>5404</v>
      </c>
      <c r="E12" s="38" t="s">
        <v>5472</v>
      </c>
      <c r="F12" s="31" t="s">
        <v>5405</v>
      </c>
    </row>
    <row r="13" spans="2:6">
      <c r="B13" s="30" t="s">
        <v>5474</v>
      </c>
      <c r="C13" s="38" t="s">
        <v>5474</v>
      </c>
      <c r="D13" s="38" t="s">
        <v>5475</v>
      </c>
      <c r="E13" s="38" t="s">
        <v>5472</v>
      </c>
      <c r="F13" s="31" t="s">
        <v>5405</v>
      </c>
    </row>
    <row r="14" spans="2:6">
      <c r="B14" s="32" t="s">
        <v>5476</v>
      </c>
      <c r="C14" s="39" t="s">
        <v>5476</v>
      </c>
      <c r="D14" s="39" t="s">
        <v>5477</v>
      </c>
      <c r="E14" s="39" t="s">
        <v>5472</v>
      </c>
      <c r="F14" s="34" t="s">
        <v>5405</v>
      </c>
    </row>
    <row r="15" spans="2:6">
      <c r="B15" s="28" t="s">
        <v>5399</v>
      </c>
      <c r="C15" s="37" t="s">
        <v>5399</v>
      </c>
      <c r="D15" s="37" t="s">
        <v>5400</v>
      </c>
      <c r="E15" s="37" t="s">
        <v>5401</v>
      </c>
      <c r="F15" s="29" t="s">
        <v>5402</v>
      </c>
    </row>
    <row r="16" spans="2:6">
      <c r="B16" s="30" t="s">
        <v>5410</v>
      </c>
      <c r="C16" s="38" t="s">
        <v>5410</v>
      </c>
      <c r="D16" s="38" t="s">
        <v>5411</v>
      </c>
      <c r="E16" s="38" t="s">
        <v>5401</v>
      </c>
      <c r="F16" s="31" t="s">
        <v>5402</v>
      </c>
    </row>
    <row r="17" spans="2:6">
      <c r="B17" s="30" t="s">
        <v>5412</v>
      </c>
      <c r="C17" s="38" t="s">
        <v>5412</v>
      </c>
      <c r="D17" s="38" t="s">
        <v>5413</v>
      </c>
      <c r="E17" s="38" t="s">
        <v>5401</v>
      </c>
      <c r="F17" s="31" t="s">
        <v>5402</v>
      </c>
    </row>
    <row r="18" spans="2:6">
      <c r="B18" s="30" t="s">
        <v>5414</v>
      </c>
      <c r="C18" s="38" t="s">
        <v>5414</v>
      </c>
      <c r="D18" s="38" t="s">
        <v>5415</v>
      </c>
      <c r="E18" s="38" t="s">
        <v>5401</v>
      </c>
      <c r="F18" s="31" t="s">
        <v>5416</v>
      </c>
    </row>
    <row r="19" spans="2:6">
      <c r="B19" s="30" t="s">
        <v>5417</v>
      </c>
      <c r="C19" s="38" t="s">
        <v>5417</v>
      </c>
      <c r="D19" s="38" t="s">
        <v>5418</v>
      </c>
      <c r="E19" s="38" t="s">
        <v>5401</v>
      </c>
      <c r="F19" s="31" t="s">
        <v>5416</v>
      </c>
    </row>
    <row r="20" spans="2:6">
      <c r="B20" s="30" t="s">
        <v>5419</v>
      </c>
      <c r="C20" s="38" t="s">
        <v>5419</v>
      </c>
      <c r="D20" s="38" t="s">
        <v>5420</v>
      </c>
      <c r="E20" s="38" t="s">
        <v>5401</v>
      </c>
      <c r="F20" s="31" t="s">
        <v>5416</v>
      </c>
    </row>
    <row r="21" spans="2:6">
      <c r="B21" s="30" t="s">
        <v>5421</v>
      </c>
      <c r="C21" s="38" t="s">
        <v>5421</v>
      </c>
      <c r="D21" s="38" t="s">
        <v>5422</v>
      </c>
      <c r="E21" s="38" t="s">
        <v>5401</v>
      </c>
      <c r="F21" s="31" t="s">
        <v>5423</v>
      </c>
    </row>
    <row r="22" spans="2:6">
      <c r="B22" s="30" t="s">
        <v>5424</v>
      </c>
      <c r="C22" s="38" t="s">
        <v>5424</v>
      </c>
      <c r="D22" s="38" t="s">
        <v>5425</v>
      </c>
      <c r="E22" s="38" t="s">
        <v>5401</v>
      </c>
      <c r="F22" s="31" t="s">
        <v>5423</v>
      </c>
    </row>
    <row r="23" spans="2:6">
      <c r="B23" s="30" t="s">
        <v>5426</v>
      </c>
      <c r="C23" s="38" t="s">
        <v>5426</v>
      </c>
      <c r="D23" s="38" t="s">
        <v>5427</v>
      </c>
      <c r="E23" s="38" t="s">
        <v>5401</v>
      </c>
      <c r="F23" s="31" t="s">
        <v>5423</v>
      </c>
    </row>
    <row r="24" spans="2:6">
      <c r="B24" s="30" t="s">
        <v>5403</v>
      </c>
      <c r="C24" s="38" t="s">
        <v>5403</v>
      </c>
      <c r="D24" s="38" t="s">
        <v>5404</v>
      </c>
      <c r="E24" s="38" t="s">
        <v>5401</v>
      </c>
      <c r="F24" s="31" t="s">
        <v>5405</v>
      </c>
    </row>
    <row r="25" spans="2:6">
      <c r="B25" s="30" t="s">
        <v>5406</v>
      </c>
      <c r="C25" s="38" t="s">
        <v>5406</v>
      </c>
      <c r="D25" s="38" t="s">
        <v>5407</v>
      </c>
      <c r="E25" s="38" t="s">
        <v>5401</v>
      </c>
      <c r="F25" s="31" t="s">
        <v>5405</v>
      </c>
    </row>
    <row r="26" spans="2:6">
      <c r="B26" s="32" t="s">
        <v>5408</v>
      </c>
      <c r="C26" s="39" t="s">
        <v>5408</v>
      </c>
      <c r="D26" s="39" t="s">
        <v>5409</v>
      </c>
      <c r="E26" s="39" t="s">
        <v>5401</v>
      </c>
      <c r="F26" s="34" t="s">
        <v>5405</v>
      </c>
    </row>
    <row r="27" spans="2:6">
      <c r="B27" s="30" t="s">
        <v>5428</v>
      </c>
      <c r="C27" s="38" t="s">
        <v>5428</v>
      </c>
      <c r="D27" s="38" t="s">
        <v>5400</v>
      </c>
      <c r="E27" s="38" t="s">
        <v>5429</v>
      </c>
      <c r="F27" s="31" t="s">
        <v>5402</v>
      </c>
    </row>
    <row r="28" spans="2:6">
      <c r="B28" s="30" t="s">
        <v>5434</v>
      </c>
      <c r="C28" s="38" t="s">
        <v>5434</v>
      </c>
      <c r="D28" s="38" t="s">
        <v>5411</v>
      </c>
      <c r="E28" s="38" t="s">
        <v>5429</v>
      </c>
      <c r="F28" s="31" t="s">
        <v>5402</v>
      </c>
    </row>
    <row r="29" spans="2:6">
      <c r="B29" s="30" t="s">
        <v>5435</v>
      </c>
      <c r="C29" s="38" t="s">
        <v>5435</v>
      </c>
      <c r="D29" s="38" t="s">
        <v>5436</v>
      </c>
      <c r="E29" s="38" t="s">
        <v>5429</v>
      </c>
      <c r="F29" s="31" t="s">
        <v>5402</v>
      </c>
    </row>
    <row r="30" spans="2:6">
      <c r="B30" s="30" t="s">
        <v>5437</v>
      </c>
      <c r="C30" s="38" t="s">
        <v>5437</v>
      </c>
      <c r="D30" s="38" t="s">
        <v>5438</v>
      </c>
      <c r="E30" s="38" t="s">
        <v>5429</v>
      </c>
      <c r="F30" s="31" t="s">
        <v>5416</v>
      </c>
    </row>
    <row r="31" spans="2:6">
      <c r="B31" s="30" t="s">
        <v>5439</v>
      </c>
      <c r="C31" s="38" t="s">
        <v>5439</v>
      </c>
      <c r="D31" s="38" t="s">
        <v>5440</v>
      </c>
      <c r="E31" s="38" t="s">
        <v>5429</v>
      </c>
      <c r="F31" s="31" t="s">
        <v>5416</v>
      </c>
    </row>
    <row r="32" spans="2:6">
      <c r="B32" s="30" t="s">
        <v>5441</v>
      </c>
      <c r="C32" s="38" t="s">
        <v>5441</v>
      </c>
      <c r="D32" s="38" t="s">
        <v>5442</v>
      </c>
      <c r="E32" s="38" t="s">
        <v>5429</v>
      </c>
      <c r="F32" s="31" t="s">
        <v>5416</v>
      </c>
    </row>
    <row r="33" spans="2:6">
      <c r="B33" s="30" t="s">
        <v>5443</v>
      </c>
      <c r="C33" s="38" t="s">
        <v>5443</v>
      </c>
      <c r="D33" s="38" t="s">
        <v>5444</v>
      </c>
      <c r="E33" s="38" t="s">
        <v>5429</v>
      </c>
      <c r="F33" s="31" t="s">
        <v>5423</v>
      </c>
    </row>
    <row r="34" spans="2:6">
      <c r="B34" s="30" t="s">
        <v>5445</v>
      </c>
      <c r="C34" s="38" t="s">
        <v>5445</v>
      </c>
      <c r="D34" s="38" t="s">
        <v>5446</v>
      </c>
      <c r="E34" s="38" t="s">
        <v>5429</v>
      </c>
      <c r="F34" s="31" t="s">
        <v>5423</v>
      </c>
    </row>
    <row r="35" spans="2:6">
      <c r="B35" s="30" t="s">
        <v>5447</v>
      </c>
      <c r="C35" s="38" t="s">
        <v>5447</v>
      </c>
      <c r="D35" s="38" t="s">
        <v>5448</v>
      </c>
      <c r="E35" s="38" t="s">
        <v>5429</v>
      </c>
      <c r="F35" s="31" t="s">
        <v>5423</v>
      </c>
    </row>
    <row r="36" spans="2:6">
      <c r="B36" s="30" t="s">
        <v>5430</v>
      </c>
      <c r="C36" s="38" t="s">
        <v>5430</v>
      </c>
      <c r="D36" s="38" t="s">
        <v>5431</v>
      </c>
      <c r="E36" s="38" t="s">
        <v>5429</v>
      </c>
      <c r="F36" s="31" t="s">
        <v>5405</v>
      </c>
    </row>
    <row r="37" spans="2:6">
      <c r="B37" s="32" t="s">
        <v>5432</v>
      </c>
      <c r="C37" s="39" t="s">
        <v>5432</v>
      </c>
      <c r="D37" s="39" t="s">
        <v>5433</v>
      </c>
      <c r="E37" s="39" t="s">
        <v>5429</v>
      </c>
      <c r="F37" s="34" t="s">
        <v>5405</v>
      </c>
    </row>
    <row r="38" spans="2:6">
      <c r="B38" s="30" t="s">
        <v>5449</v>
      </c>
      <c r="C38" s="38" t="s">
        <v>5449</v>
      </c>
      <c r="D38" s="38" t="s">
        <v>5450</v>
      </c>
      <c r="E38" s="38" t="s">
        <v>55</v>
      </c>
      <c r="F38" s="31" t="s">
        <v>5451</v>
      </c>
    </row>
    <row r="39" spans="2:6">
      <c r="B39" s="30" t="s">
        <v>5452</v>
      </c>
      <c r="C39" s="38" t="s">
        <v>5452</v>
      </c>
      <c r="D39" s="38" t="s">
        <v>5492</v>
      </c>
      <c r="E39" s="38" t="s">
        <v>55</v>
      </c>
      <c r="F39" s="31" t="s">
        <v>5451</v>
      </c>
    </row>
    <row r="40" spans="2:6">
      <c r="B40" s="30" t="s">
        <v>5453</v>
      </c>
      <c r="C40" s="38" t="s">
        <v>5453</v>
      </c>
      <c r="D40" s="38" t="s">
        <v>5454</v>
      </c>
      <c r="E40" s="38" t="s">
        <v>55</v>
      </c>
      <c r="F40" s="31" t="s">
        <v>5451</v>
      </c>
    </row>
    <row r="41" spans="2:6">
      <c r="B41" s="30" t="s">
        <v>54</v>
      </c>
      <c r="C41" s="38" t="s">
        <v>54</v>
      </c>
      <c r="D41" s="38" t="s">
        <v>220</v>
      </c>
      <c r="E41" s="38" t="s">
        <v>55</v>
      </c>
      <c r="F41" s="31" t="s">
        <v>56</v>
      </c>
    </row>
    <row r="42" spans="2:6">
      <c r="B42" s="30" t="s">
        <v>5455</v>
      </c>
      <c r="C42" s="38" t="s">
        <v>5455</v>
      </c>
      <c r="D42" s="38" t="s">
        <v>5456</v>
      </c>
      <c r="E42" s="38" t="s">
        <v>55</v>
      </c>
      <c r="F42" s="31" t="s">
        <v>56</v>
      </c>
    </row>
    <row r="43" spans="2:6">
      <c r="B43" s="32" t="s">
        <v>5457</v>
      </c>
      <c r="C43" s="39" t="s">
        <v>5457</v>
      </c>
      <c r="D43" s="39" t="s">
        <v>5458</v>
      </c>
      <c r="E43" s="39" t="s">
        <v>55</v>
      </c>
      <c r="F43" s="34" t="s">
        <v>56</v>
      </c>
    </row>
    <row r="44" spans="2:6">
      <c r="B44" s="30" t="s">
        <v>5459</v>
      </c>
      <c r="C44" s="38" t="s">
        <v>5459</v>
      </c>
      <c r="D44" s="38" t="s">
        <v>5450</v>
      </c>
      <c r="E44" s="38" t="s">
        <v>58</v>
      </c>
      <c r="F44" s="31" t="s">
        <v>5451</v>
      </c>
    </row>
    <row r="45" spans="2:6">
      <c r="B45" s="30" t="s">
        <v>5460</v>
      </c>
      <c r="C45" s="38" t="s">
        <v>5460</v>
      </c>
      <c r="D45" s="38" t="s">
        <v>5492</v>
      </c>
      <c r="E45" s="38" t="s">
        <v>58</v>
      </c>
      <c r="F45" s="31" t="s">
        <v>5451</v>
      </c>
    </row>
    <row r="46" spans="2:6">
      <c r="B46" s="30" t="s">
        <v>5461</v>
      </c>
      <c r="C46" s="38" t="s">
        <v>5461</v>
      </c>
      <c r="D46" s="38" t="s">
        <v>5454</v>
      </c>
      <c r="E46" s="38" t="s">
        <v>58</v>
      </c>
      <c r="F46" s="31" t="s">
        <v>5451</v>
      </c>
    </row>
    <row r="47" spans="2:6">
      <c r="B47" s="30" t="s">
        <v>57</v>
      </c>
      <c r="C47" s="38" t="s">
        <v>57</v>
      </c>
      <c r="D47" s="38" t="s">
        <v>221</v>
      </c>
      <c r="E47" s="38" t="s">
        <v>58</v>
      </c>
      <c r="F47" s="31" t="s">
        <v>56</v>
      </c>
    </row>
    <row r="48" spans="2:6">
      <c r="B48" s="30" t="s">
        <v>5462</v>
      </c>
      <c r="C48" s="38" t="s">
        <v>5462</v>
      </c>
      <c r="D48" s="38" t="s">
        <v>5463</v>
      </c>
      <c r="E48" s="38" t="s">
        <v>58</v>
      </c>
      <c r="F48" s="31" t="s">
        <v>56</v>
      </c>
    </row>
    <row r="49" spans="2:6">
      <c r="B49" s="32" t="s">
        <v>5464</v>
      </c>
      <c r="C49" s="39" t="s">
        <v>5464</v>
      </c>
      <c r="D49" s="39" t="s">
        <v>5465</v>
      </c>
      <c r="E49" s="39" t="s">
        <v>58</v>
      </c>
      <c r="F49" s="34" t="s">
        <v>56</v>
      </c>
    </row>
    <row r="50" spans="2:6">
      <c r="B50" s="30" t="s">
        <v>5466</v>
      </c>
      <c r="C50" s="38" t="s">
        <v>5466</v>
      </c>
      <c r="D50" s="38" t="s">
        <v>5450</v>
      </c>
      <c r="E50" s="38" t="s">
        <v>60</v>
      </c>
      <c r="F50" s="31" t="s">
        <v>5451</v>
      </c>
    </row>
    <row r="51" spans="2:6">
      <c r="B51" s="30" t="s">
        <v>5467</v>
      </c>
      <c r="C51" s="38" t="s">
        <v>5467</v>
      </c>
      <c r="D51" s="38" t="s">
        <v>5492</v>
      </c>
      <c r="E51" s="38" t="s">
        <v>60</v>
      </c>
      <c r="F51" s="31" t="s">
        <v>5451</v>
      </c>
    </row>
    <row r="52" spans="2:6">
      <c r="B52" s="30" t="s">
        <v>5468</v>
      </c>
      <c r="C52" s="38" t="s">
        <v>5468</v>
      </c>
      <c r="D52" s="38" t="s">
        <v>5454</v>
      </c>
      <c r="E52" s="38" t="s">
        <v>60</v>
      </c>
      <c r="F52" s="31" t="s">
        <v>5451</v>
      </c>
    </row>
    <row r="53" spans="2:6">
      <c r="B53" s="30" t="s">
        <v>5469</v>
      </c>
      <c r="C53" s="38" t="s">
        <v>5469</v>
      </c>
      <c r="D53" s="38" t="s">
        <v>221</v>
      </c>
      <c r="E53" s="38" t="s">
        <v>60</v>
      </c>
      <c r="F53" s="31" t="s">
        <v>5451</v>
      </c>
    </row>
    <row r="54" spans="2:6">
      <c r="B54" s="32" t="s">
        <v>5470</v>
      </c>
      <c r="C54" s="39" t="s">
        <v>5470</v>
      </c>
      <c r="D54" s="39" t="s">
        <v>5465</v>
      </c>
      <c r="E54" s="39" t="s">
        <v>60</v>
      </c>
      <c r="F54" s="34" t="s">
        <v>5451</v>
      </c>
    </row>
  </sheetData>
  <sortState ref="H4:L833">
    <sortCondition ref="H4"/>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B2:E8"/>
  <sheetViews>
    <sheetView workbookViewId="0"/>
  </sheetViews>
  <sheetFormatPr baseColWidth="10" defaultRowHeight="15" x14ac:dyDescent="0"/>
  <cols>
    <col min="1" max="1" width="2.33203125" customWidth="1"/>
    <col min="4" max="4" width="70.83203125" customWidth="1"/>
    <col min="5" max="5" width="18.83203125" customWidth="1"/>
  </cols>
  <sheetData>
    <row r="2" spans="2:5">
      <c r="B2" s="1" t="s">
        <v>2</v>
      </c>
      <c r="C2" s="1" t="s">
        <v>51</v>
      </c>
      <c r="D2" s="1" t="s">
        <v>14</v>
      </c>
      <c r="E2" s="1" t="s">
        <v>52</v>
      </c>
    </row>
    <row r="3" spans="2:5">
      <c r="B3" t="s">
        <v>5402</v>
      </c>
      <c r="C3" s="65" t="s">
        <v>5402</v>
      </c>
      <c r="D3" t="s">
        <v>5493</v>
      </c>
      <c r="E3" t="s">
        <v>5498</v>
      </c>
    </row>
    <row r="4" spans="2:5">
      <c r="B4" t="s">
        <v>5416</v>
      </c>
      <c r="C4" s="65" t="s">
        <v>5416</v>
      </c>
      <c r="D4" t="s">
        <v>5494</v>
      </c>
      <c r="E4" s="65" t="s">
        <v>5498</v>
      </c>
    </row>
    <row r="5" spans="2:5">
      <c r="B5" t="s">
        <v>5423</v>
      </c>
      <c r="C5" s="65" t="s">
        <v>5423</v>
      </c>
      <c r="D5" t="s">
        <v>5495</v>
      </c>
      <c r="E5" s="65" t="s">
        <v>5498</v>
      </c>
    </row>
    <row r="6" spans="2:5">
      <c r="B6" t="s">
        <v>5405</v>
      </c>
      <c r="C6" s="65" t="s">
        <v>5405</v>
      </c>
      <c r="D6" t="s">
        <v>5496</v>
      </c>
      <c r="E6" s="65" t="s">
        <v>5498</v>
      </c>
    </row>
    <row r="7" spans="2:5">
      <c r="B7" t="s">
        <v>5451</v>
      </c>
      <c r="C7" s="65" t="s">
        <v>5451</v>
      </c>
      <c r="D7" t="s">
        <v>5497</v>
      </c>
      <c r="E7" s="65" t="s">
        <v>61</v>
      </c>
    </row>
    <row r="8" spans="2:5">
      <c r="B8" t="s">
        <v>56</v>
      </c>
      <c r="C8" s="65" t="s">
        <v>56</v>
      </c>
      <c r="D8" s="3" t="s">
        <v>222</v>
      </c>
      <c r="E8" t="s">
        <v>61</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B2:D8"/>
  <sheetViews>
    <sheetView workbookViewId="0"/>
  </sheetViews>
  <sheetFormatPr baseColWidth="10" defaultRowHeight="15" x14ac:dyDescent="0"/>
  <cols>
    <col min="1" max="1" width="2.33203125" customWidth="1"/>
  </cols>
  <sheetData>
    <row r="2" spans="2:4">
      <c r="B2" s="1" t="s">
        <v>2</v>
      </c>
      <c r="C2" s="1" t="s">
        <v>51</v>
      </c>
      <c r="D2" s="1" t="s">
        <v>59</v>
      </c>
    </row>
    <row r="3" spans="2:4">
      <c r="B3" t="s">
        <v>5472</v>
      </c>
      <c r="C3" t="s">
        <v>5472</v>
      </c>
      <c r="D3" s="9">
        <v>2006</v>
      </c>
    </row>
    <row r="4" spans="2:4">
      <c r="B4" t="s">
        <v>5401</v>
      </c>
      <c r="C4" t="s">
        <v>5401</v>
      </c>
      <c r="D4" t="s">
        <v>5499</v>
      </c>
    </row>
    <row r="5" spans="2:4">
      <c r="B5" t="s">
        <v>5429</v>
      </c>
      <c r="C5" t="s">
        <v>5429</v>
      </c>
      <c r="D5" t="s">
        <v>5500</v>
      </c>
    </row>
    <row r="6" spans="2:4">
      <c r="B6" s="65" t="s">
        <v>55</v>
      </c>
      <c r="C6" s="65" t="s">
        <v>55</v>
      </c>
      <c r="D6" s="65" t="s">
        <v>62</v>
      </c>
    </row>
    <row r="7" spans="2:4">
      <c r="B7" s="65" t="s">
        <v>58</v>
      </c>
      <c r="C7" s="65" t="s">
        <v>58</v>
      </c>
      <c r="D7" s="65" t="s">
        <v>63</v>
      </c>
    </row>
    <row r="8" spans="2:4">
      <c r="B8" s="65" t="s">
        <v>60</v>
      </c>
      <c r="C8" s="65" t="s">
        <v>60</v>
      </c>
      <c r="D8" s="9">
        <v>2015</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B2:B27"/>
  <sheetViews>
    <sheetView workbookViewId="0"/>
  </sheetViews>
  <sheetFormatPr baseColWidth="10" defaultRowHeight="15" x14ac:dyDescent="0"/>
  <cols>
    <col min="1" max="1" width="2.33203125" customWidth="1"/>
  </cols>
  <sheetData>
    <row r="2" spans="2:2">
      <c r="B2" s="1" t="s">
        <v>2</v>
      </c>
    </row>
    <row r="3" spans="2:2">
      <c r="B3" t="s">
        <v>447</v>
      </c>
    </row>
    <row r="4" spans="2:2">
      <c r="B4" t="s">
        <v>505</v>
      </c>
    </row>
    <row r="5" spans="2:2">
      <c r="B5" t="s">
        <v>659</v>
      </c>
    </row>
    <row r="6" spans="2:2">
      <c r="B6" t="s">
        <v>472</v>
      </c>
    </row>
    <row r="7" spans="2:2">
      <c r="B7" t="s">
        <v>665</v>
      </c>
    </row>
    <row r="8" spans="2:2">
      <c r="B8" t="s">
        <v>382</v>
      </c>
    </row>
    <row r="9" spans="2:2">
      <c r="B9" t="s">
        <v>687</v>
      </c>
    </row>
    <row r="10" spans="2:2">
      <c r="B10" t="s">
        <v>387</v>
      </c>
    </row>
    <row r="11" spans="2:2">
      <c r="B11" t="s">
        <v>360</v>
      </c>
    </row>
    <row r="12" spans="2:2">
      <c r="B12" t="s">
        <v>378</v>
      </c>
    </row>
    <row r="13" spans="2:2">
      <c r="B13" t="s">
        <v>428</v>
      </c>
    </row>
    <row r="14" spans="2:2">
      <c r="B14" t="s">
        <v>442</v>
      </c>
    </row>
    <row r="15" spans="2:2">
      <c r="B15" t="s">
        <v>542</v>
      </c>
    </row>
    <row r="16" spans="2:2">
      <c r="B16" t="s">
        <v>421</v>
      </c>
    </row>
    <row r="17" spans="2:2">
      <c r="B17" t="s">
        <v>719</v>
      </c>
    </row>
    <row r="18" spans="2:2">
      <c r="B18" t="s">
        <v>670</v>
      </c>
    </row>
    <row r="19" spans="2:2">
      <c r="B19" t="s">
        <v>643</v>
      </c>
    </row>
    <row r="20" spans="2:2">
      <c r="B20" t="s">
        <v>390</v>
      </c>
    </row>
    <row r="21" spans="2:2">
      <c r="B21" t="s">
        <v>492</v>
      </c>
    </row>
    <row r="22" spans="2:2">
      <c r="B22" t="s">
        <v>495</v>
      </c>
    </row>
    <row r="23" spans="2:2">
      <c r="B23" t="s">
        <v>528</v>
      </c>
    </row>
    <row r="24" spans="2:2">
      <c r="B24" t="s">
        <v>369</v>
      </c>
    </row>
    <row r="25" spans="2:2">
      <c r="B25" t="s">
        <v>562</v>
      </c>
    </row>
    <row r="26" spans="2:2">
      <c r="B26" t="s">
        <v>22</v>
      </c>
    </row>
    <row r="27" spans="2:2">
      <c r="B27" t="s">
        <v>19</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B2:G134"/>
  <sheetViews>
    <sheetView workbookViewId="0"/>
  </sheetViews>
  <sheetFormatPr baseColWidth="10" defaultRowHeight="15" x14ac:dyDescent="0"/>
  <cols>
    <col min="1" max="1" width="2.33203125" customWidth="1"/>
    <col min="7" max="7" width="10.83203125" style="41"/>
  </cols>
  <sheetData>
    <row r="2" spans="2:7">
      <c r="B2" s="1" t="s">
        <v>2</v>
      </c>
      <c r="C2" s="1" t="s">
        <v>223</v>
      </c>
      <c r="D2" s="1" t="s">
        <v>59</v>
      </c>
    </row>
    <row r="3" spans="2:7">
      <c r="B3" s="9">
        <v>2006</v>
      </c>
      <c r="D3" s="9">
        <v>2006</v>
      </c>
    </row>
    <row r="4" spans="2:7">
      <c r="B4" s="9">
        <v>2007</v>
      </c>
      <c r="D4" s="9">
        <v>2007</v>
      </c>
    </row>
    <row r="5" spans="2:7">
      <c r="B5" s="9">
        <v>2008</v>
      </c>
      <c r="D5" s="9">
        <v>2008</v>
      </c>
    </row>
    <row r="6" spans="2:7">
      <c r="B6" s="9">
        <v>2009</v>
      </c>
      <c r="C6" s="9"/>
      <c r="D6" s="9">
        <v>2009</v>
      </c>
    </row>
    <row r="7" spans="2:7" s="65" customFormat="1">
      <c r="B7" s="9">
        <v>2010</v>
      </c>
      <c r="C7" s="9"/>
      <c r="D7" s="9">
        <v>2010</v>
      </c>
      <c r="G7" s="41"/>
    </row>
    <row r="8" spans="2:7">
      <c r="B8" s="9">
        <v>2011</v>
      </c>
      <c r="C8" s="9"/>
      <c r="D8" s="9">
        <v>2011</v>
      </c>
    </row>
    <row r="9" spans="2:7">
      <c r="B9" s="9">
        <v>2012</v>
      </c>
      <c r="C9" s="9"/>
      <c r="D9" s="9">
        <v>2012</v>
      </c>
    </row>
    <row r="10" spans="2:7">
      <c r="B10" s="9">
        <v>2013</v>
      </c>
      <c r="C10" s="9"/>
      <c r="D10" s="9">
        <v>2013</v>
      </c>
    </row>
    <row r="11" spans="2:7">
      <c r="B11" s="9">
        <v>2014</v>
      </c>
      <c r="C11" s="9"/>
      <c r="D11" s="9">
        <v>2014</v>
      </c>
    </row>
    <row r="12" spans="2:7">
      <c r="B12" s="9">
        <v>2015</v>
      </c>
      <c r="C12" s="9"/>
      <c r="D12" s="9">
        <v>2015</v>
      </c>
    </row>
    <row r="13" spans="2:7">
      <c r="B13" s="9">
        <v>2016</v>
      </c>
      <c r="C13" s="9"/>
      <c r="D13" s="9">
        <v>2016</v>
      </c>
    </row>
    <row r="14" spans="2:7">
      <c r="B14" s="22" t="s">
        <v>939</v>
      </c>
      <c r="C14" s="9">
        <v>10</v>
      </c>
      <c r="D14" s="9">
        <v>2006</v>
      </c>
    </row>
    <row r="15" spans="2:7">
      <c r="B15" s="42" t="s">
        <v>940</v>
      </c>
      <c r="C15" s="43">
        <v>1</v>
      </c>
      <c r="D15" s="43">
        <v>2007</v>
      </c>
    </row>
    <row r="16" spans="2:7">
      <c r="B16" s="42" t="s">
        <v>950</v>
      </c>
      <c r="C16" s="43">
        <v>2</v>
      </c>
      <c r="D16" s="43">
        <v>2007</v>
      </c>
    </row>
    <row r="17" spans="2:4">
      <c r="B17" s="42" t="s">
        <v>941</v>
      </c>
      <c r="C17" s="43">
        <v>3</v>
      </c>
      <c r="D17" s="43">
        <v>2007</v>
      </c>
    </row>
    <row r="18" spans="2:4">
      <c r="B18" s="42" t="s">
        <v>942</v>
      </c>
      <c r="C18" s="43">
        <v>4</v>
      </c>
      <c r="D18" s="43">
        <v>2007</v>
      </c>
    </row>
    <row r="19" spans="2:4">
      <c r="B19" s="42" t="s">
        <v>943</v>
      </c>
      <c r="C19" s="43">
        <v>5</v>
      </c>
      <c r="D19" s="43">
        <v>2007</v>
      </c>
    </row>
    <row r="20" spans="2:4">
      <c r="B20" s="42" t="s">
        <v>944</v>
      </c>
      <c r="C20" s="43">
        <v>6</v>
      </c>
      <c r="D20" s="43">
        <v>2007</v>
      </c>
    </row>
    <row r="21" spans="2:4">
      <c r="B21" s="42" t="s">
        <v>951</v>
      </c>
      <c r="C21" s="43">
        <v>7</v>
      </c>
      <c r="D21" s="43">
        <v>2007</v>
      </c>
    </row>
    <row r="22" spans="2:4">
      <c r="B22" s="42" t="s">
        <v>945</v>
      </c>
      <c r="C22" s="43">
        <v>8</v>
      </c>
      <c r="D22" s="43">
        <v>2007</v>
      </c>
    </row>
    <row r="23" spans="2:4">
      <c r="B23" s="42" t="s">
        <v>946</v>
      </c>
      <c r="C23" s="43">
        <v>9</v>
      </c>
      <c r="D23" s="43">
        <v>2007</v>
      </c>
    </row>
    <row r="24" spans="2:4">
      <c r="B24" s="42" t="s">
        <v>947</v>
      </c>
      <c r="C24" s="43">
        <v>10</v>
      </c>
      <c r="D24" s="43">
        <v>2007</v>
      </c>
    </row>
    <row r="25" spans="2:4">
      <c r="B25" s="42" t="s">
        <v>948</v>
      </c>
      <c r="C25" s="43">
        <v>11</v>
      </c>
      <c r="D25" s="43">
        <v>2007</v>
      </c>
    </row>
    <row r="26" spans="2:4">
      <c r="B26" s="42" t="s">
        <v>949</v>
      </c>
      <c r="C26" s="43">
        <v>12</v>
      </c>
      <c r="D26" s="43">
        <v>2007</v>
      </c>
    </row>
    <row r="27" spans="2:4">
      <c r="B27" s="42" t="s">
        <v>952</v>
      </c>
      <c r="C27" s="43">
        <v>1</v>
      </c>
      <c r="D27" s="43">
        <v>2008</v>
      </c>
    </row>
    <row r="28" spans="2:4">
      <c r="B28" s="42" t="s">
        <v>953</v>
      </c>
      <c r="C28" s="43">
        <v>2</v>
      </c>
      <c r="D28" s="43">
        <v>2008</v>
      </c>
    </row>
    <row r="29" spans="2:4">
      <c r="B29" s="42" t="s">
        <v>954</v>
      </c>
      <c r="C29" s="43">
        <v>3</v>
      </c>
      <c r="D29" s="43">
        <v>2008</v>
      </c>
    </row>
    <row r="30" spans="2:4">
      <c r="B30" s="42" t="s">
        <v>955</v>
      </c>
      <c r="C30" s="43">
        <v>4</v>
      </c>
      <c r="D30" s="43">
        <v>2008</v>
      </c>
    </row>
    <row r="31" spans="2:4">
      <c r="B31" s="42" t="s">
        <v>956</v>
      </c>
      <c r="C31" s="43">
        <v>5</v>
      </c>
      <c r="D31" s="43">
        <v>2008</v>
      </c>
    </row>
    <row r="32" spans="2:4">
      <c r="B32" s="42" t="s">
        <v>957</v>
      </c>
      <c r="C32" s="43">
        <v>6</v>
      </c>
      <c r="D32" s="43">
        <v>2008</v>
      </c>
    </row>
    <row r="33" spans="2:4">
      <c r="B33" s="42" t="s">
        <v>958</v>
      </c>
      <c r="C33" s="43">
        <v>7</v>
      </c>
      <c r="D33" s="43">
        <v>2008</v>
      </c>
    </row>
    <row r="34" spans="2:4">
      <c r="B34" s="42" t="s">
        <v>959</v>
      </c>
      <c r="C34" s="43">
        <v>8</v>
      </c>
      <c r="D34" s="43">
        <v>2008</v>
      </c>
    </row>
    <row r="35" spans="2:4">
      <c r="B35" s="42" t="s">
        <v>960</v>
      </c>
      <c r="C35" s="43">
        <v>9</v>
      </c>
      <c r="D35" s="43">
        <v>2008</v>
      </c>
    </row>
    <row r="36" spans="2:4">
      <c r="B36" s="42" t="s">
        <v>961</v>
      </c>
      <c r="C36" s="43">
        <v>10</v>
      </c>
      <c r="D36" s="43">
        <v>2008</v>
      </c>
    </row>
    <row r="37" spans="2:4">
      <c r="B37" s="42" t="s">
        <v>962</v>
      </c>
      <c r="C37" s="43">
        <v>11</v>
      </c>
      <c r="D37" s="43">
        <v>2008</v>
      </c>
    </row>
    <row r="38" spans="2:4">
      <c r="B38" s="42" t="s">
        <v>963</v>
      </c>
      <c r="C38" s="43">
        <v>12</v>
      </c>
      <c r="D38" s="43">
        <v>2008</v>
      </c>
    </row>
    <row r="39" spans="2:4">
      <c r="B39" s="42" t="s">
        <v>964</v>
      </c>
      <c r="C39" s="43">
        <v>1</v>
      </c>
      <c r="D39" s="43">
        <v>2009</v>
      </c>
    </row>
    <row r="40" spans="2:4">
      <c r="B40" s="42" t="s">
        <v>114</v>
      </c>
      <c r="C40" s="43">
        <v>2</v>
      </c>
      <c r="D40" s="43">
        <v>2009</v>
      </c>
    </row>
    <row r="41" spans="2:4">
      <c r="B41" s="42" t="s">
        <v>965</v>
      </c>
      <c r="C41" s="43">
        <v>3</v>
      </c>
      <c r="D41" s="43">
        <v>2009</v>
      </c>
    </row>
    <row r="42" spans="2:4">
      <c r="B42" s="42" t="s">
        <v>966</v>
      </c>
      <c r="C42" s="43">
        <v>4</v>
      </c>
      <c r="D42" s="43">
        <v>2009</v>
      </c>
    </row>
    <row r="43" spans="2:4">
      <c r="B43" s="42" t="s">
        <v>967</v>
      </c>
      <c r="C43" s="43">
        <v>5</v>
      </c>
      <c r="D43" s="43">
        <v>2009</v>
      </c>
    </row>
    <row r="44" spans="2:4">
      <c r="B44" s="42" t="s">
        <v>968</v>
      </c>
      <c r="C44" s="43">
        <v>6</v>
      </c>
      <c r="D44" s="43">
        <v>2009</v>
      </c>
    </row>
    <row r="45" spans="2:4">
      <c r="B45" s="42" t="s">
        <v>969</v>
      </c>
      <c r="C45" s="43">
        <v>7</v>
      </c>
      <c r="D45" s="43">
        <v>2009</v>
      </c>
    </row>
    <row r="46" spans="2:4">
      <c r="B46" s="42" t="s">
        <v>970</v>
      </c>
      <c r="C46" s="43">
        <v>8</v>
      </c>
      <c r="D46" s="43">
        <v>2009</v>
      </c>
    </row>
    <row r="47" spans="2:4">
      <c r="B47" s="42" t="s">
        <v>971</v>
      </c>
      <c r="C47" s="43">
        <v>9</v>
      </c>
      <c r="D47" s="43">
        <v>2009</v>
      </c>
    </row>
    <row r="48" spans="2:4">
      <c r="B48" s="42" t="s">
        <v>972</v>
      </c>
      <c r="C48" s="43">
        <v>10</v>
      </c>
      <c r="D48" s="43">
        <v>2009</v>
      </c>
    </row>
    <row r="49" spans="2:4">
      <c r="B49" s="42" t="s">
        <v>973</v>
      </c>
      <c r="C49" s="43">
        <v>11</v>
      </c>
      <c r="D49" s="43">
        <v>2009</v>
      </c>
    </row>
    <row r="50" spans="2:4">
      <c r="B50" s="42" t="s">
        <v>974</v>
      </c>
      <c r="C50" s="43">
        <v>12</v>
      </c>
      <c r="D50" s="43">
        <v>2009</v>
      </c>
    </row>
    <row r="51" spans="2:4">
      <c r="B51" s="42" t="s">
        <v>975</v>
      </c>
      <c r="C51" s="43">
        <v>1</v>
      </c>
      <c r="D51" s="43">
        <v>2010</v>
      </c>
    </row>
    <row r="52" spans="2:4">
      <c r="B52" s="42" t="s">
        <v>976</v>
      </c>
      <c r="C52" s="43">
        <v>2</v>
      </c>
      <c r="D52" s="43">
        <v>2010</v>
      </c>
    </row>
    <row r="53" spans="2:4">
      <c r="B53" s="42" t="s">
        <v>977</v>
      </c>
      <c r="C53" s="43">
        <v>3</v>
      </c>
      <c r="D53" s="43">
        <v>2010</v>
      </c>
    </row>
    <row r="54" spans="2:4">
      <c r="B54" s="42" t="s">
        <v>978</v>
      </c>
      <c r="C54" s="43">
        <v>4</v>
      </c>
      <c r="D54" s="43">
        <v>2010</v>
      </c>
    </row>
    <row r="55" spans="2:4">
      <c r="B55" s="42" t="s">
        <v>979</v>
      </c>
      <c r="C55" s="43">
        <v>5</v>
      </c>
      <c r="D55" s="43">
        <v>2010</v>
      </c>
    </row>
    <row r="56" spans="2:4">
      <c r="B56" s="42" t="s">
        <v>980</v>
      </c>
      <c r="C56" s="43">
        <v>6</v>
      </c>
      <c r="D56" s="43">
        <v>2010</v>
      </c>
    </row>
    <row r="57" spans="2:4">
      <c r="B57" s="42" t="s">
        <v>981</v>
      </c>
      <c r="C57" s="43">
        <v>7</v>
      </c>
      <c r="D57" s="43">
        <v>2010</v>
      </c>
    </row>
    <row r="58" spans="2:4">
      <c r="B58" s="42" t="s">
        <v>982</v>
      </c>
      <c r="C58" s="43">
        <v>8</v>
      </c>
      <c r="D58" s="43">
        <v>2010</v>
      </c>
    </row>
    <row r="59" spans="2:4">
      <c r="B59" s="42" t="s">
        <v>983</v>
      </c>
      <c r="C59" s="43">
        <v>9</v>
      </c>
      <c r="D59" s="43">
        <v>2010</v>
      </c>
    </row>
    <row r="60" spans="2:4">
      <c r="B60" s="42" t="s">
        <v>984</v>
      </c>
      <c r="C60" s="43">
        <v>10</v>
      </c>
      <c r="D60" s="43">
        <v>2010</v>
      </c>
    </row>
    <row r="61" spans="2:4">
      <c r="B61" s="42" t="s">
        <v>985</v>
      </c>
      <c r="C61" s="43">
        <v>11</v>
      </c>
      <c r="D61" s="43">
        <v>2010</v>
      </c>
    </row>
    <row r="62" spans="2:4">
      <c r="B62" s="42" t="s">
        <v>986</v>
      </c>
      <c r="C62" s="43">
        <v>12</v>
      </c>
      <c r="D62" s="43">
        <v>2010</v>
      </c>
    </row>
    <row r="63" spans="2:4">
      <c r="B63" s="42" t="s">
        <v>987</v>
      </c>
      <c r="C63" s="43">
        <v>1</v>
      </c>
      <c r="D63" s="43">
        <v>2011</v>
      </c>
    </row>
    <row r="64" spans="2:4">
      <c r="B64" s="42" t="s">
        <v>988</v>
      </c>
      <c r="C64" s="43">
        <v>2</v>
      </c>
      <c r="D64" s="43">
        <v>2011</v>
      </c>
    </row>
    <row r="65" spans="2:4">
      <c r="B65" s="42" t="s">
        <v>989</v>
      </c>
      <c r="C65" s="43">
        <v>3</v>
      </c>
      <c r="D65" s="43">
        <v>2011</v>
      </c>
    </row>
    <row r="66" spans="2:4">
      <c r="B66" s="42" t="s">
        <v>990</v>
      </c>
      <c r="C66" s="43">
        <v>4</v>
      </c>
      <c r="D66" s="43">
        <v>2011</v>
      </c>
    </row>
    <row r="67" spans="2:4">
      <c r="B67" s="42" t="s">
        <v>991</v>
      </c>
      <c r="C67" s="43">
        <v>5</v>
      </c>
      <c r="D67" s="43">
        <v>2011</v>
      </c>
    </row>
    <row r="68" spans="2:4">
      <c r="B68" s="42" t="s">
        <v>992</v>
      </c>
      <c r="C68" s="43">
        <v>6</v>
      </c>
      <c r="D68" s="43">
        <v>2011</v>
      </c>
    </row>
    <row r="69" spans="2:4">
      <c r="B69" s="42" t="s">
        <v>993</v>
      </c>
      <c r="C69" s="43">
        <v>7</v>
      </c>
      <c r="D69" s="43">
        <v>2011</v>
      </c>
    </row>
    <row r="70" spans="2:4">
      <c r="B70" s="42" t="s">
        <v>994</v>
      </c>
      <c r="C70" s="43">
        <v>8</v>
      </c>
      <c r="D70" s="43">
        <v>2011</v>
      </c>
    </row>
    <row r="71" spans="2:4">
      <c r="B71" s="42" t="s">
        <v>995</v>
      </c>
      <c r="C71" s="43">
        <v>9</v>
      </c>
      <c r="D71" s="43">
        <v>2011</v>
      </c>
    </row>
    <row r="72" spans="2:4">
      <c r="B72" s="42" t="s">
        <v>996</v>
      </c>
      <c r="C72" s="43">
        <v>10</v>
      </c>
      <c r="D72" s="43">
        <v>2011</v>
      </c>
    </row>
    <row r="73" spans="2:4">
      <c r="B73" s="42" t="s">
        <v>997</v>
      </c>
      <c r="C73" s="43">
        <v>11</v>
      </c>
      <c r="D73" s="43">
        <v>2011</v>
      </c>
    </row>
    <row r="74" spans="2:4">
      <c r="B74" s="42" t="s">
        <v>998</v>
      </c>
      <c r="C74" s="43">
        <v>12</v>
      </c>
      <c r="D74" s="43">
        <v>2011</v>
      </c>
    </row>
    <row r="75" spans="2:4">
      <c r="B75" s="42" t="s">
        <v>999</v>
      </c>
      <c r="C75" s="43">
        <v>1</v>
      </c>
      <c r="D75" s="43">
        <v>2012</v>
      </c>
    </row>
    <row r="76" spans="2:4">
      <c r="B76" s="42" t="s">
        <v>1000</v>
      </c>
      <c r="C76" s="43">
        <v>2</v>
      </c>
      <c r="D76" s="43">
        <v>2012</v>
      </c>
    </row>
    <row r="77" spans="2:4">
      <c r="B77" s="42" t="s">
        <v>1001</v>
      </c>
      <c r="C77" s="43">
        <v>3</v>
      </c>
      <c r="D77" s="43">
        <v>2012</v>
      </c>
    </row>
    <row r="78" spans="2:4">
      <c r="B78" s="42" t="s">
        <v>227</v>
      </c>
      <c r="C78" s="43">
        <v>4</v>
      </c>
      <c r="D78" s="43">
        <v>2012</v>
      </c>
    </row>
    <row r="79" spans="2:4">
      <c r="B79" s="42" t="s">
        <v>1002</v>
      </c>
      <c r="C79" s="43">
        <v>5</v>
      </c>
      <c r="D79" s="43">
        <v>2012</v>
      </c>
    </row>
    <row r="80" spans="2:4">
      <c r="B80" s="42" t="s">
        <v>1003</v>
      </c>
      <c r="C80" s="43">
        <v>6</v>
      </c>
      <c r="D80" s="43">
        <v>2012</v>
      </c>
    </row>
    <row r="81" spans="2:4">
      <c r="B81" s="42" t="s">
        <v>1004</v>
      </c>
      <c r="C81" s="43">
        <v>7</v>
      </c>
      <c r="D81" s="43">
        <v>2012</v>
      </c>
    </row>
    <row r="82" spans="2:4">
      <c r="B82" s="42" t="s">
        <v>1005</v>
      </c>
      <c r="C82" s="43">
        <v>8</v>
      </c>
      <c r="D82" s="43">
        <v>2012</v>
      </c>
    </row>
    <row r="83" spans="2:4">
      <c r="B83" s="42" t="s">
        <v>224</v>
      </c>
      <c r="C83" s="43">
        <v>9</v>
      </c>
      <c r="D83" s="43">
        <v>2012</v>
      </c>
    </row>
    <row r="84" spans="2:4">
      <c r="B84" s="42" t="s">
        <v>1006</v>
      </c>
      <c r="C84" s="43">
        <v>10</v>
      </c>
      <c r="D84" s="43">
        <v>2012</v>
      </c>
    </row>
    <row r="85" spans="2:4">
      <c r="B85" s="42" t="s">
        <v>1007</v>
      </c>
      <c r="C85" s="43">
        <v>11</v>
      </c>
      <c r="D85" s="43">
        <v>2012</v>
      </c>
    </row>
    <row r="86" spans="2:4">
      <c r="B86" s="42" t="s">
        <v>1008</v>
      </c>
      <c r="C86" s="43">
        <v>12</v>
      </c>
      <c r="D86" s="43">
        <v>2012</v>
      </c>
    </row>
    <row r="87" spans="2:4">
      <c r="B87" s="42" t="s">
        <v>1009</v>
      </c>
      <c r="C87" s="43">
        <v>1</v>
      </c>
      <c r="D87" s="43">
        <v>2013</v>
      </c>
    </row>
    <row r="88" spans="2:4">
      <c r="B88" s="42" t="s">
        <v>1010</v>
      </c>
      <c r="C88" s="43">
        <v>2</v>
      </c>
      <c r="D88" s="43">
        <v>2013</v>
      </c>
    </row>
    <row r="89" spans="2:4">
      <c r="B89" s="42" t="s">
        <v>1011</v>
      </c>
      <c r="C89" s="43">
        <v>3</v>
      </c>
      <c r="D89" s="43">
        <v>2013</v>
      </c>
    </row>
    <row r="90" spans="2:4">
      <c r="B90" s="42" t="s">
        <v>1012</v>
      </c>
      <c r="C90" s="43">
        <v>4</v>
      </c>
      <c r="D90" s="43">
        <v>2013</v>
      </c>
    </row>
    <row r="91" spans="2:4">
      <c r="B91" s="42" t="s">
        <v>1013</v>
      </c>
      <c r="C91" s="43">
        <v>5</v>
      </c>
      <c r="D91" s="43">
        <v>2013</v>
      </c>
    </row>
    <row r="92" spans="2:4">
      <c r="B92" s="42" t="s">
        <v>1014</v>
      </c>
      <c r="C92" s="43">
        <v>6</v>
      </c>
      <c r="D92" s="43">
        <v>2013</v>
      </c>
    </row>
    <row r="93" spans="2:4">
      <c r="B93" s="42" t="s">
        <v>1015</v>
      </c>
      <c r="C93" s="43">
        <v>7</v>
      </c>
      <c r="D93" s="43">
        <v>2013</v>
      </c>
    </row>
    <row r="94" spans="2:4">
      <c r="B94" s="42" t="s">
        <v>1016</v>
      </c>
      <c r="C94" s="43">
        <v>8</v>
      </c>
      <c r="D94" s="43">
        <v>2013</v>
      </c>
    </row>
    <row r="95" spans="2:4">
      <c r="B95" s="42" t="s">
        <v>1017</v>
      </c>
      <c r="C95" s="43">
        <v>9</v>
      </c>
      <c r="D95" s="43">
        <v>2013</v>
      </c>
    </row>
    <row r="96" spans="2:4">
      <c r="B96" s="42" t="s">
        <v>131</v>
      </c>
      <c r="C96" s="43">
        <v>10</v>
      </c>
      <c r="D96" s="43">
        <v>2013</v>
      </c>
    </row>
    <row r="97" spans="2:4">
      <c r="B97" s="42" t="s">
        <v>1018</v>
      </c>
      <c r="C97" s="43">
        <v>11</v>
      </c>
      <c r="D97" s="43">
        <v>2013</v>
      </c>
    </row>
    <row r="98" spans="2:4">
      <c r="B98" s="42" t="s">
        <v>1019</v>
      </c>
      <c r="C98" s="43">
        <v>12</v>
      </c>
      <c r="D98" s="43">
        <v>2013</v>
      </c>
    </row>
    <row r="99" spans="2:4">
      <c r="B99" s="42" t="s">
        <v>132</v>
      </c>
      <c r="C99" s="43">
        <v>1</v>
      </c>
      <c r="D99" s="43">
        <v>2014</v>
      </c>
    </row>
    <row r="100" spans="2:4">
      <c r="B100" s="42" t="s">
        <v>1020</v>
      </c>
      <c r="C100" s="43">
        <v>2</v>
      </c>
      <c r="D100" s="43">
        <v>2014</v>
      </c>
    </row>
    <row r="101" spans="2:4">
      <c r="B101" s="42" t="s">
        <v>1021</v>
      </c>
      <c r="C101" s="43">
        <v>3</v>
      </c>
      <c r="D101" s="43">
        <v>2014</v>
      </c>
    </row>
    <row r="102" spans="2:4">
      <c r="B102" s="42" t="s">
        <v>1022</v>
      </c>
      <c r="C102" s="43">
        <v>4</v>
      </c>
      <c r="D102" s="43">
        <v>2014</v>
      </c>
    </row>
    <row r="103" spans="2:4">
      <c r="B103" s="42" t="s">
        <v>1023</v>
      </c>
      <c r="C103" s="43">
        <v>5</v>
      </c>
      <c r="D103" s="43">
        <v>2014</v>
      </c>
    </row>
    <row r="104" spans="2:4">
      <c r="B104" s="42" t="s">
        <v>1024</v>
      </c>
      <c r="C104" s="43">
        <v>6</v>
      </c>
      <c r="D104" s="43">
        <v>2014</v>
      </c>
    </row>
    <row r="105" spans="2:4">
      <c r="B105" s="42" t="s">
        <v>226</v>
      </c>
      <c r="C105" s="43">
        <v>7</v>
      </c>
      <c r="D105" s="43">
        <v>2014</v>
      </c>
    </row>
    <row r="106" spans="2:4">
      <c r="B106" s="42" t="s">
        <v>1025</v>
      </c>
      <c r="C106" s="43">
        <v>8</v>
      </c>
      <c r="D106" s="43">
        <v>2014</v>
      </c>
    </row>
    <row r="107" spans="2:4">
      <c r="B107" s="42" t="s">
        <v>1026</v>
      </c>
      <c r="C107" s="43">
        <v>9</v>
      </c>
      <c r="D107" s="43">
        <v>2014</v>
      </c>
    </row>
    <row r="108" spans="2:4">
      <c r="B108" s="42" t="s">
        <v>1027</v>
      </c>
      <c r="C108" s="43">
        <v>10</v>
      </c>
      <c r="D108" s="43">
        <v>2014</v>
      </c>
    </row>
    <row r="109" spans="2:4">
      <c r="B109" s="42" t="s">
        <v>1028</v>
      </c>
      <c r="C109" s="43">
        <v>11</v>
      </c>
      <c r="D109" s="43">
        <v>2014</v>
      </c>
    </row>
    <row r="110" spans="2:4">
      <c r="B110" s="42" t="s">
        <v>1029</v>
      </c>
      <c r="C110" s="43">
        <v>12</v>
      </c>
      <c r="D110" s="43">
        <v>2014</v>
      </c>
    </row>
    <row r="111" spans="2:4">
      <c r="B111" s="42" t="s">
        <v>1030</v>
      </c>
      <c r="C111" s="43">
        <v>1</v>
      </c>
      <c r="D111" s="43">
        <v>2015</v>
      </c>
    </row>
    <row r="112" spans="2:4">
      <c r="B112" s="42" t="s">
        <v>1031</v>
      </c>
      <c r="C112" s="43">
        <v>2</v>
      </c>
      <c r="D112" s="43">
        <v>2015</v>
      </c>
    </row>
    <row r="113" spans="2:4">
      <c r="B113" s="42" t="s">
        <v>1032</v>
      </c>
      <c r="C113" s="43">
        <v>3</v>
      </c>
      <c r="D113" s="43">
        <v>2015</v>
      </c>
    </row>
    <row r="114" spans="2:4">
      <c r="B114" s="42" t="s">
        <v>1033</v>
      </c>
      <c r="C114" s="43">
        <v>4</v>
      </c>
      <c r="D114" s="43">
        <v>2015</v>
      </c>
    </row>
    <row r="115" spans="2:4">
      <c r="B115" s="42" t="s">
        <v>1034</v>
      </c>
      <c r="C115" s="43">
        <v>5</v>
      </c>
      <c r="D115" s="43">
        <v>2015</v>
      </c>
    </row>
    <row r="116" spans="2:4">
      <c r="B116" s="42" t="s">
        <v>1035</v>
      </c>
      <c r="C116" s="43">
        <v>6</v>
      </c>
      <c r="D116" s="43">
        <v>2015</v>
      </c>
    </row>
    <row r="117" spans="2:4">
      <c r="B117" s="42" t="s">
        <v>1036</v>
      </c>
      <c r="C117" s="43">
        <v>7</v>
      </c>
      <c r="D117" s="43">
        <v>2015</v>
      </c>
    </row>
    <row r="118" spans="2:4">
      <c r="B118" s="42" t="s">
        <v>1037</v>
      </c>
      <c r="C118" s="43">
        <v>8</v>
      </c>
      <c r="D118" s="43">
        <v>2015</v>
      </c>
    </row>
    <row r="119" spans="2:4">
      <c r="B119" s="42" t="s">
        <v>225</v>
      </c>
      <c r="C119" s="43">
        <v>9</v>
      </c>
      <c r="D119" s="43">
        <v>2015</v>
      </c>
    </row>
    <row r="120" spans="2:4">
      <c r="B120" s="42" t="s">
        <v>1038</v>
      </c>
      <c r="C120" s="43">
        <v>10</v>
      </c>
      <c r="D120" s="43">
        <v>2015</v>
      </c>
    </row>
    <row r="121" spans="2:4">
      <c r="B121" s="42" t="s">
        <v>1039</v>
      </c>
      <c r="C121" s="43">
        <v>11</v>
      </c>
      <c r="D121" s="43">
        <v>2015</v>
      </c>
    </row>
    <row r="122" spans="2:4">
      <c r="B122" s="42" t="s">
        <v>1040</v>
      </c>
      <c r="C122" s="43">
        <v>12</v>
      </c>
      <c r="D122" s="43">
        <v>2015</v>
      </c>
    </row>
    <row r="123" spans="2:4">
      <c r="B123" s="42" t="s">
        <v>1041</v>
      </c>
      <c r="C123" s="43">
        <v>1</v>
      </c>
      <c r="D123" s="43">
        <v>2016</v>
      </c>
    </row>
    <row r="124" spans="2:4">
      <c r="B124" s="42" t="s">
        <v>1042</v>
      </c>
      <c r="C124" s="43">
        <v>2</v>
      </c>
      <c r="D124" s="43">
        <v>2016</v>
      </c>
    </row>
    <row r="125" spans="2:4">
      <c r="B125" s="42" t="s">
        <v>1043</v>
      </c>
      <c r="C125" s="43">
        <v>3</v>
      </c>
      <c r="D125" s="43">
        <v>2016</v>
      </c>
    </row>
    <row r="126" spans="2:4">
      <c r="B126" s="42" t="s">
        <v>1044</v>
      </c>
      <c r="C126" s="43">
        <v>4</v>
      </c>
      <c r="D126" s="43">
        <v>2016</v>
      </c>
    </row>
    <row r="127" spans="2:4">
      <c r="B127" s="42" t="s">
        <v>1045</v>
      </c>
      <c r="C127" s="43">
        <v>5</v>
      </c>
      <c r="D127" s="43">
        <v>2016</v>
      </c>
    </row>
    <row r="128" spans="2:4">
      <c r="B128" s="42" t="s">
        <v>1046</v>
      </c>
      <c r="C128" s="43">
        <v>6</v>
      </c>
      <c r="D128" s="43">
        <v>2016</v>
      </c>
    </row>
    <row r="129" spans="2:4">
      <c r="B129" s="42" t="s">
        <v>1047</v>
      </c>
      <c r="C129" s="43">
        <v>7</v>
      </c>
      <c r="D129" s="43">
        <v>2016</v>
      </c>
    </row>
    <row r="130" spans="2:4">
      <c r="B130" s="42" t="s">
        <v>1048</v>
      </c>
      <c r="C130" s="43">
        <v>8</v>
      </c>
      <c r="D130" s="43">
        <v>2016</v>
      </c>
    </row>
    <row r="131" spans="2:4">
      <c r="B131" s="42" t="s">
        <v>1049</v>
      </c>
      <c r="C131" s="43">
        <v>9</v>
      </c>
      <c r="D131" s="43">
        <v>2016</v>
      </c>
    </row>
    <row r="132" spans="2:4">
      <c r="B132" s="42" t="s">
        <v>1050</v>
      </c>
      <c r="C132" s="43">
        <v>10</v>
      </c>
      <c r="D132" s="43">
        <v>2016</v>
      </c>
    </row>
    <row r="133" spans="2:4">
      <c r="B133" s="42" t="s">
        <v>1051</v>
      </c>
      <c r="C133" s="43">
        <v>11</v>
      </c>
      <c r="D133" s="43">
        <v>2016</v>
      </c>
    </row>
    <row r="134" spans="2:4">
      <c r="B134" s="42" t="s">
        <v>1052</v>
      </c>
      <c r="C134" s="43">
        <v>12</v>
      </c>
      <c r="D134" s="43">
        <v>2016</v>
      </c>
    </row>
  </sheetData>
  <sortState ref="B30:C171">
    <sortCondition ref="B30"/>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B2:D3"/>
  <sheetViews>
    <sheetView workbookViewId="0"/>
  </sheetViews>
  <sheetFormatPr baseColWidth="10" defaultRowHeight="15" x14ac:dyDescent="0"/>
  <cols>
    <col min="1" max="1" width="2.33203125" customWidth="1"/>
    <col min="3" max="3" width="94.5" customWidth="1"/>
    <col min="4" max="4" width="13.83203125" bestFit="1" customWidth="1"/>
  </cols>
  <sheetData>
    <row r="2" spans="2:4">
      <c r="B2" s="1" t="s">
        <v>2</v>
      </c>
      <c r="C2" s="1" t="s">
        <v>239</v>
      </c>
    </row>
    <row r="3" spans="2:4">
      <c r="B3" t="s">
        <v>240</v>
      </c>
      <c r="C3" s="15" t="str">
        <f ca="1">"The data shown is accurate as of " &amp; TEXT(NOW(),"hh:mm") &amp; " GMT on " &amp; TEXT(NOW(),"dddd dd mmmm yyyy")</f>
        <v>The data shown is accurate as of 18:32 GMT on Friday 29 April 2016</v>
      </c>
      <c r="D3" s="26"/>
    </row>
  </sheetData>
  <pageMargins left="0.75" right="0.75" top="1" bottom="1" header="0.5" footer="0.5"/>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dimension ref="B2:D40"/>
  <sheetViews>
    <sheetView workbookViewId="0">
      <selection activeCell="B1" sqref="B1"/>
    </sheetView>
  </sheetViews>
  <sheetFormatPr baseColWidth="10" defaultRowHeight="15" x14ac:dyDescent="0"/>
  <cols>
    <col min="1" max="1" width="2.33203125" customWidth="1"/>
    <col min="2" max="2" width="47.1640625" customWidth="1"/>
    <col min="3" max="3" width="94.5" customWidth="1"/>
    <col min="4" max="4" width="13.83203125" bestFit="1" customWidth="1"/>
  </cols>
  <sheetData>
    <row r="2" spans="2:4">
      <c r="B2" s="35" t="s">
        <v>2</v>
      </c>
      <c r="C2" s="36" t="s">
        <v>262</v>
      </c>
    </row>
    <row r="3" spans="2:4">
      <c r="B3" s="28" t="s">
        <v>18</v>
      </c>
      <c r="C3" s="29" t="s">
        <v>311</v>
      </c>
      <c r="D3" s="26"/>
    </row>
    <row r="4" spans="2:4">
      <c r="B4" s="30" t="s">
        <v>265</v>
      </c>
      <c r="C4" s="31" t="s">
        <v>309</v>
      </c>
    </row>
    <row r="5" spans="2:4">
      <c r="B5" s="32" t="s">
        <v>263</v>
      </c>
      <c r="C5" s="33" t="s">
        <v>312</v>
      </c>
    </row>
    <row r="6" spans="2:4">
      <c r="B6" s="28" t="s">
        <v>73</v>
      </c>
      <c r="C6" s="29" t="s">
        <v>307</v>
      </c>
    </row>
    <row r="7" spans="2:4">
      <c r="B7" s="30" t="s">
        <v>296</v>
      </c>
      <c r="C7" s="31" t="s">
        <v>310</v>
      </c>
    </row>
    <row r="8" spans="2:4">
      <c r="B8" s="30" t="s">
        <v>79</v>
      </c>
      <c r="C8" s="31" t="s">
        <v>306</v>
      </c>
    </row>
    <row r="9" spans="2:4">
      <c r="B9" s="30" t="s">
        <v>302</v>
      </c>
      <c r="C9" s="31" t="s">
        <v>313</v>
      </c>
    </row>
    <row r="10" spans="2:4">
      <c r="B10" s="30" t="s">
        <v>281</v>
      </c>
      <c r="C10" s="31" t="s">
        <v>305</v>
      </c>
    </row>
    <row r="11" spans="2:4">
      <c r="B11" s="32" t="s">
        <v>299</v>
      </c>
      <c r="C11" s="34" t="s">
        <v>308</v>
      </c>
    </row>
    <row r="12" spans="2:4">
      <c r="B12" s="28" t="s">
        <v>282</v>
      </c>
      <c r="C12" s="29" t="s">
        <v>283</v>
      </c>
    </row>
    <row r="13" spans="2:4">
      <c r="B13" s="30" t="s">
        <v>291</v>
      </c>
      <c r="C13" s="31" t="s">
        <v>314</v>
      </c>
    </row>
    <row r="14" spans="2:4">
      <c r="B14" s="30" t="s">
        <v>267</v>
      </c>
      <c r="C14" s="31" t="s">
        <v>315</v>
      </c>
    </row>
    <row r="15" spans="2:4">
      <c r="B15" s="30" t="s">
        <v>297</v>
      </c>
      <c r="C15" s="31" t="s">
        <v>316</v>
      </c>
    </row>
    <row r="16" spans="2:4">
      <c r="B16" s="30" t="s">
        <v>274</v>
      </c>
      <c r="C16" s="31" t="s">
        <v>317</v>
      </c>
    </row>
    <row r="17" spans="2:3">
      <c r="B17" s="30" t="s">
        <v>278</v>
      </c>
      <c r="C17" s="31" t="s">
        <v>279</v>
      </c>
    </row>
    <row r="18" spans="2:3">
      <c r="B18" s="30" t="s">
        <v>293</v>
      </c>
      <c r="C18" s="31" t="s">
        <v>294</v>
      </c>
    </row>
    <row r="19" spans="2:3">
      <c r="B19" s="30" t="s">
        <v>284</v>
      </c>
      <c r="C19" s="31" t="s">
        <v>318</v>
      </c>
    </row>
    <row r="20" spans="2:3">
      <c r="B20" s="30" t="s">
        <v>277</v>
      </c>
      <c r="C20" s="31" t="s">
        <v>319</v>
      </c>
    </row>
    <row r="21" spans="2:3">
      <c r="B21" s="30" t="s">
        <v>285</v>
      </c>
      <c r="C21" s="31" t="s">
        <v>14</v>
      </c>
    </row>
    <row r="22" spans="2:3">
      <c r="B22" s="30" t="s">
        <v>300</v>
      </c>
      <c r="C22" s="31" t="s">
        <v>301</v>
      </c>
    </row>
    <row r="23" spans="2:3">
      <c r="B23" s="30" t="s">
        <v>276</v>
      </c>
      <c r="C23" s="31" t="s">
        <v>320</v>
      </c>
    </row>
    <row r="24" spans="2:3">
      <c r="B24" s="30" t="s">
        <v>303</v>
      </c>
      <c r="C24" s="31" t="s">
        <v>304</v>
      </c>
    </row>
    <row r="25" spans="2:3">
      <c r="B25" s="30" t="s">
        <v>270</v>
      </c>
      <c r="C25" s="31" t="s">
        <v>271</v>
      </c>
    </row>
    <row r="26" spans="2:3">
      <c r="B26" s="30" t="s">
        <v>290</v>
      </c>
      <c r="C26" s="31" t="s">
        <v>321</v>
      </c>
    </row>
    <row r="27" spans="2:3">
      <c r="B27" s="30" t="s">
        <v>298</v>
      </c>
      <c r="C27" s="31" t="s">
        <v>322</v>
      </c>
    </row>
    <row r="28" spans="2:3">
      <c r="B28" s="30" t="s">
        <v>288</v>
      </c>
      <c r="C28" s="31" t="s">
        <v>289</v>
      </c>
    </row>
    <row r="29" spans="2:3">
      <c r="B29" s="30" t="s">
        <v>280</v>
      </c>
      <c r="C29" s="31" t="s">
        <v>315</v>
      </c>
    </row>
    <row r="30" spans="2:3">
      <c r="B30" s="30" t="s">
        <v>268</v>
      </c>
      <c r="C30" s="31" t="s">
        <v>5021</v>
      </c>
    </row>
    <row r="31" spans="2:3">
      <c r="B31" s="30" t="s">
        <v>269</v>
      </c>
      <c r="C31" s="31" t="s">
        <v>5022</v>
      </c>
    </row>
    <row r="32" spans="2:3">
      <c r="B32" s="30" t="s">
        <v>292</v>
      </c>
      <c r="C32" s="31" t="s">
        <v>14</v>
      </c>
    </row>
    <row r="33" spans="2:3">
      <c r="B33" s="30" t="s">
        <v>264</v>
      </c>
      <c r="C33" s="31" t="s">
        <v>5023</v>
      </c>
    </row>
    <row r="34" spans="2:3">
      <c r="B34" s="30" t="s">
        <v>273</v>
      </c>
      <c r="C34" s="31" t="s">
        <v>5024</v>
      </c>
    </row>
    <row r="35" spans="2:3">
      <c r="B35" s="30" t="s">
        <v>275</v>
      </c>
      <c r="C35" s="31" t="s">
        <v>323</v>
      </c>
    </row>
    <row r="36" spans="2:3">
      <c r="B36" s="30" t="s">
        <v>266</v>
      </c>
      <c r="C36" s="31" t="s">
        <v>5025</v>
      </c>
    </row>
    <row r="37" spans="2:3">
      <c r="B37" s="30" t="s">
        <v>287</v>
      </c>
      <c r="C37" s="31" t="s">
        <v>5026</v>
      </c>
    </row>
    <row r="38" spans="2:3">
      <c r="B38" s="30" t="s">
        <v>286</v>
      </c>
      <c r="C38" s="31" t="s">
        <v>5027</v>
      </c>
    </row>
    <row r="39" spans="2:3">
      <c r="B39" s="30" t="s">
        <v>272</v>
      </c>
      <c r="C39" s="31" t="s">
        <v>5028</v>
      </c>
    </row>
    <row r="40" spans="2:3">
      <c r="B40" s="32" t="s">
        <v>295</v>
      </c>
      <c r="C40" s="34" t="s">
        <v>324</v>
      </c>
    </row>
  </sheetData>
  <sortState ref="B14:C78">
    <sortCondition ref="B14"/>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dimension ref="B2:C42"/>
  <sheetViews>
    <sheetView workbookViewId="0"/>
  </sheetViews>
  <sheetFormatPr baseColWidth="10" defaultRowHeight="15" x14ac:dyDescent="0"/>
  <cols>
    <col min="1" max="1" width="2.33203125" customWidth="1"/>
    <col min="2" max="2" width="7.1640625" customWidth="1"/>
  </cols>
  <sheetData>
    <row r="2" spans="2:3">
      <c r="B2" s="64" t="s">
        <v>6737</v>
      </c>
    </row>
    <row r="3" spans="2:3">
      <c r="B3" t="s">
        <v>6738</v>
      </c>
      <c r="C3" s="4" t="s">
        <v>6753</v>
      </c>
    </row>
    <row r="4" spans="2:3">
      <c r="B4" t="s">
        <v>6739</v>
      </c>
      <c r="C4" s="2" t="s">
        <v>6754</v>
      </c>
    </row>
    <row r="5" spans="2:3">
      <c r="B5" s="65" t="s">
        <v>6740</v>
      </c>
      <c r="C5" s="2" t="s">
        <v>950</v>
      </c>
    </row>
    <row r="6" spans="2:3">
      <c r="B6" s="65" t="s">
        <v>6741</v>
      </c>
      <c r="C6" s="2" t="s">
        <v>943</v>
      </c>
    </row>
    <row r="7" spans="2:3">
      <c r="B7" s="65" t="s">
        <v>5727</v>
      </c>
      <c r="C7" s="2" t="s">
        <v>945</v>
      </c>
    </row>
    <row r="8" spans="2:3">
      <c r="B8" s="65" t="s">
        <v>5634</v>
      </c>
      <c r="C8" s="2" t="s">
        <v>948</v>
      </c>
    </row>
    <row r="9" spans="2:3">
      <c r="B9" s="65" t="s">
        <v>5627</v>
      </c>
      <c r="C9" s="2" t="s">
        <v>953</v>
      </c>
    </row>
    <row r="10" spans="2:3">
      <c r="B10" s="65" t="s">
        <v>5613</v>
      </c>
      <c r="C10" s="2" t="s">
        <v>956</v>
      </c>
    </row>
    <row r="11" spans="2:3">
      <c r="B11" s="65" t="s">
        <v>5600</v>
      </c>
      <c r="C11" s="2" t="s">
        <v>959</v>
      </c>
    </row>
    <row r="12" spans="2:3">
      <c r="B12" s="65" t="s">
        <v>5796</v>
      </c>
      <c r="C12" s="2" t="s">
        <v>962</v>
      </c>
    </row>
    <row r="13" spans="2:3">
      <c r="B13" s="65" t="s">
        <v>5505</v>
      </c>
      <c r="C13" s="2" t="s">
        <v>114</v>
      </c>
    </row>
    <row r="14" spans="2:3">
      <c r="B14" s="65" t="s">
        <v>5520</v>
      </c>
      <c r="C14" s="2" t="s">
        <v>967</v>
      </c>
    </row>
    <row r="15" spans="2:3">
      <c r="B15" s="65" t="s">
        <v>5512</v>
      </c>
      <c r="C15" s="2" t="s">
        <v>970</v>
      </c>
    </row>
    <row r="16" spans="2:3">
      <c r="B16" s="65" t="s">
        <v>5697</v>
      </c>
      <c r="C16" s="2" t="s">
        <v>973</v>
      </c>
    </row>
    <row r="17" spans="2:3">
      <c r="B17" s="65" t="s">
        <v>5690</v>
      </c>
      <c r="C17" s="2" t="s">
        <v>976</v>
      </c>
    </row>
    <row r="18" spans="2:3">
      <c r="B18" s="65" t="s">
        <v>6742</v>
      </c>
      <c r="C18" s="2" t="s">
        <v>979</v>
      </c>
    </row>
    <row r="19" spans="2:3">
      <c r="B19" s="65" t="s">
        <v>6743</v>
      </c>
      <c r="C19" s="2" t="s">
        <v>982</v>
      </c>
    </row>
    <row r="20" spans="2:3">
      <c r="B20" s="65" t="s">
        <v>5648</v>
      </c>
      <c r="C20" s="2" t="s">
        <v>985</v>
      </c>
    </row>
    <row r="21" spans="2:3">
      <c r="B21" s="65" t="s">
        <v>6744</v>
      </c>
      <c r="C21" s="2" t="s">
        <v>988</v>
      </c>
    </row>
    <row r="22" spans="2:3">
      <c r="B22" s="65" t="s">
        <v>6745</v>
      </c>
      <c r="C22" s="2" t="s">
        <v>991</v>
      </c>
    </row>
    <row r="23" spans="2:3">
      <c r="B23" s="65" t="s">
        <v>6746</v>
      </c>
      <c r="C23" s="2" t="s">
        <v>994</v>
      </c>
    </row>
    <row r="24" spans="2:3">
      <c r="B24" s="65" t="s">
        <v>5926</v>
      </c>
      <c r="C24" s="2" t="s">
        <v>997</v>
      </c>
    </row>
    <row r="25" spans="2:3">
      <c r="B25" s="65" t="s">
        <v>5620</v>
      </c>
      <c r="C25" s="2" t="s">
        <v>1000</v>
      </c>
    </row>
    <row r="26" spans="2:3">
      <c r="B26" s="65" t="s">
        <v>5939</v>
      </c>
      <c r="C26" s="2" t="s">
        <v>1002</v>
      </c>
    </row>
    <row r="27" spans="2:3">
      <c r="B27" s="65" t="s">
        <v>5978</v>
      </c>
      <c r="C27" s="2" t="s">
        <v>1005</v>
      </c>
    </row>
    <row r="28" spans="2:3">
      <c r="B28" s="65" t="s">
        <v>5986</v>
      </c>
      <c r="C28" s="2" t="s">
        <v>1007</v>
      </c>
    </row>
    <row r="29" spans="2:3">
      <c r="B29" s="65" t="s">
        <v>5912</v>
      </c>
      <c r="C29" s="2" t="s">
        <v>1010</v>
      </c>
    </row>
    <row r="30" spans="2:3">
      <c r="B30" s="65" t="s">
        <v>6094</v>
      </c>
      <c r="C30" s="2" t="s">
        <v>1013</v>
      </c>
    </row>
    <row r="31" spans="2:3">
      <c r="B31" s="65" t="s">
        <v>6010</v>
      </c>
      <c r="C31" s="2" t="s">
        <v>1016</v>
      </c>
    </row>
    <row r="32" spans="2:3">
      <c r="B32" s="65" t="s">
        <v>6747</v>
      </c>
      <c r="C32" s="2" t="s">
        <v>1018</v>
      </c>
    </row>
    <row r="33" spans="2:3">
      <c r="B33" s="65" t="s">
        <v>6157</v>
      </c>
      <c r="C33" s="2" t="s">
        <v>1020</v>
      </c>
    </row>
    <row r="34" spans="2:3">
      <c r="B34" s="65" t="s">
        <v>6144</v>
      </c>
      <c r="C34" s="2" t="s">
        <v>1023</v>
      </c>
    </row>
    <row r="35" spans="2:3">
      <c r="B35" s="65" t="s">
        <v>6180</v>
      </c>
      <c r="C35" s="2" t="s">
        <v>1025</v>
      </c>
    </row>
    <row r="36" spans="2:3">
      <c r="B36" s="65" t="s">
        <v>6187</v>
      </c>
      <c r="C36" s="2" t="s">
        <v>1028</v>
      </c>
    </row>
    <row r="37" spans="2:3">
      <c r="B37" s="65" t="s">
        <v>6205</v>
      </c>
      <c r="C37" s="2" t="s">
        <v>1031</v>
      </c>
    </row>
    <row r="38" spans="2:3">
      <c r="B38" s="65" t="s">
        <v>6748</v>
      </c>
      <c r="C38" s="2" t="s">
        <v>1034</v>
      </c>
    </row>
    <row r="39" spans="2:3">
      <c r="B39" t="s">
        <v>6749</v>
      </c>
      <c r="C39" s="2" t="s">
        <v>1037</v>
      </c>
    </row>
    <row r="40" spans="2:3">
      <c r="B40" t="s">
        <v>6750</v>
      </c>
      <c r="C40" s="2" t="s">
        <v>1039</v>
      </c>
    </row>
    <row r="41" spans="2:3">
      <c r="B41" t="s">
        <v>6751</v>
      </c>
      <c r="C41" s="2" t="s">
        <v>1042</v>
      </c>
    </row>
    <row r="42" spans="2:3">
      <c r="B42" t="s">
        <v>6752</v>
      </c>
      <c r="C42" s="4" t="s">
        <v>1045</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dimension ref="B2:E1486"/>
  <sheetViews>
    <sheetView workbookViewId="0"/>
  </sheetViews>
  <sheetFormatPr baseColWidth="10" defaultRowHeight="15" x14ac:dyDescent="0"/>
  <cols>
    <col min="1" max="1" width="2.33203125" customWidth="1"/>
    <col min="2" max="2" width="23.6640625" customWidth="1"/>
    <col min="3" max="3" width="94.5" customWidth="1"/>
    <col min="5" max="5" width="18.83203125" customWidth="1"/>
  </cols>
  <sheetData>
    <row r="2" spans="2:5">
      <c r="B2" s="64" t="s">
        <v>2</v>
      </c>
      <c r="C2" s="64" t="s">
        <v>35</v>
      </c>
      <c r="D2" s="64" t="s">
        <v>9447</v>
      </c>
      <c r="E2" s="64" t="s">
        <v>70</v>
      </c>
    </row>
    <row r="3" spans="2:5">
      <c r="B3" t="s">
        <v>6764</v>
      </c>
      <c r="C3" t="s">
        <v>6765</v>
      </c>
      <c r="D3">
        <v>20</v>
      </c>
      <c r="E3" t="s">
        <v>5394</v>
      </c>
    </row>
    <row r="4" spans="2:5">
      <c r="B4" t="s">
        <v>6766</v>
      </c>
      <c r="C4" t="s">
        <v>6767</v>
      </c>
      <c r="D4">
        <v>120</v>
      </c>
      <c r="E4" t="s">
        <v>9448</v>
      </c>
    </row>
    <row r="5" spans="2:5">
      <c r="B5" t="s">
        <v>6768</v>
      </c>
      <c r="C5" t="s">
        <v>6769</v>
      </c>
      <c r="D5">
        <v>1</v>
      </c>
      <c r="E5" t="s">
        <v>9449</v>
      </c>
    </row>
    <row r="6" spans="2:5">
      <c r="B6" t="s">
        <v>6770</v>
      </c>
      <c r="C6" t="s">
        <v>6771</v>
      </c>
      <c r="D6">
        <v>2</v>
      </c>
      <c r="E6" t="s">
        <v>9449</v>
      </c>
    </row>
    <row r="7" spans="2:5">
      <c r="B7" t="s">
        <v>6772</v>
      </c>
      <c r="C7" t="s">
        <v>6773</v>
      </c>
      <c r="D7">
        <v>15</v>
      </c>
      <c r="E7" t="s">
        <v>9448</v>
      </c>
    </row>
    <row r="8" spans="2:5">
      <c r="B8" t="s">
        <v>6774</v>
      </c>
      <c r="C8" t="s">
        <v>6775</v>
      </c>
      <c r="D8">
        <v>4</v>
      </c>
      <c r="E8" t="s">
        <v>9449</v>
      </c>
    </row>
    <row r="9" spans="2:5">
      <c r="B9" t="s">
        <v>5506</v>
      </c>
      <c r="C9" t="s">
        <v>6776</v>
      </c>
      <c r="D9">
        <v>10</v>
      </c>
      <c r="E9" t="s">
        <v>9449</v>
      </c>
    </row>
    <row r="10" spans="2:5">
      <c r="B10" t="s">
        <v>6777</v>
      </c>
      <c r="C10" t="s">
        <v>6778</v>
      </c>
      <c r="D10">
        <v>1</v>
      </c>
      <c r="E10" t="s">
        <v>9449</v>
      </c>
    </row>
    <row r="11" spans="2:5">
      <c r="B11" t="s">
        <v>6779</v>
      </c>
      <c r="C11" t="s">
        <v>6780</v>
      </c>
      <c r="D11">
        <v>134</v>
      </c>
      <c r="E11" t="s">
        <v>5394</v>
      </c>
    </row>
    <row r="12" spans="2:5">
      <c r="B12" t="s">
        <v>6781</v>
      </c>
      <c r="D12">
        <v>0</v>
      </c>
      <c r="E12" t="s">
        <v>137</v>
      </c>
    </row>
    <row r="13" spans="2:5">
      <c r="B13" t="s">
        <v>6782</v>
      </c>
      <c r="C13" t="s">
        <v>6783</v>
      </c>
      <c r="D13">
        <v>0</v>
      </c>
      <c r="E13" t="s">
        <v>9450</v>
      </c>
    </row>
    <row r="14" spans="2:5">
      <c r="B14" t="s">
        <v>6784</v>
      </c>
      <c r="C14" t="s">
        <v>6785</v>
      </c>
      <c r="D14">
        <v>0</v>
      </c>
      <c r="E14" t="s">
        <v>9450</v>
      </c>
    </row>
    <row r="15" spans="2:5">
      <c r="B15" t="s">
        <v>6786</v>
      </c>
      <c r="D15">
        <v>0</v>
      </c>
      <c r="E15" t="s">
        <v>137</v>
      </c>
    </row>
    <row r="16" spans="2:5">
      <c r="B16" t="s">
        <v>6787</v>
      </c>
      <c r="C16" t="s">
        <v>6788</v>
      </c>
      <c r="D16">
        <v>1</v>
      </c>
      <c r="E16" t="s">
        <v>9450</v>
      </c>
    </row>
    <row r="17" spans="2:5">
      <c r="B17" t="s">
        <v>6789</v>
      </c>
      <c r="C17" t="s">
        <v>6790</v>
      </c>
      <c r="D17">
        <v>0</v>
      </c>
      <c r="E17" t="s">
        <v>9450</v>
      </c>
    </row>
    <row r="18" spans="2:5">
      <c r="B18" t="s">
        <v>6791</v>
      </c>
      <c r="D18">
        <v>0</v>
      </c>
      <c r="E18" t="s">
        <v>137</v>
      </c>
    </row>
    <row r="19" spans="2:5">
      <c r="B19" t="s">
        <v>6792</v>
      </c>
      <c r="C19" t="s">
        <v>6793</v>
      </c>
      <c r="D19">
        <v>7</v>
      </c>
      <c r="E19" t="s">
        <v>9450</v>
      </c>
    </row>
    <row r="20" spans="2:5">
      <c r="B20" t="s">
        <v>6794</v>
      </c>
      <c r="C20" t="s">
        <v>6795</v>
      </c>
      <c r="D20">
        <v>1</v>
      </c>
      <c r="E20" t="s">
        <v>9450</v>
      </c>
    </row>
    <row r="21" spans="2:5">
      <c r="B21" t="s">
        <v>6796</v>
      </c>
      <c r="C21" t="s">
        <v>6797</v>
      </c>
      <c r="D21">
        <v>10</v>
      </c>
      <c r="E21" t="s">
        <v>9448</v>
      </c>
    </row>
    <row r="22" spans="2:5">
      <c r="B22" t="s">
        <v>6798</v>
      </c>
      <c r="C22" t="s">
        <v>6799</v>
      </c>
      <c r="D22">
        <v>0</v>
      </c>
      <c r="E22" t="s">
        <v>9450</v>
      </c>
    </row>
    <row r="23" spans="2:5">
      <c r="B23" t="s">
        <v>6800</v>
      </c>
      <c r="C23" t="s">
        <v>6801</v>
      </c>
      <c r="D23">
        <v>0</v>
      </c>
      <c r="E23" t="s">
        <v>9450</v>
      </c>
    </row>
    <row r="24" spans="2:5">
      <c r="B24" t="s">
        <v>6802</v>
      </c>
      <c r="C24" t="s">
        <v>6803</v>
      </c>
      <c r="D24">
        <v>0</v>
      </c>
      <c r="E24" t="s">
        <v>9450</v>
      </c>
    </row>
    <row r="25" spans="2:5">
      <c r="B25" t="s">
        <v>6804</v>
      </c>
      <c r="C25" t="s">
        <v>6805</v>
      </c>
      <c r="D25">
        <v>51</v>
      </c>
      <c r="E25" t="s">
        <v>9448</v>
      </c>
    </row>
    <row r="26" spans="2:5">
      <c r="B26" t="s">
        <v>6806</v>
      </c>
      <c r="C26" t="s">
        <v>6807</v>
      </c>
      <c r="D26">
        <v>0</v>
      </c>
      <c r="E26" t="s">
        <v>9450</v>
      </c>
    </row>
    <row r="27" spans="2:5">
      <c r="B27" t="s">
        <v>6808</v>
      </c>
      <c r="C27" t="s">
        <v>6809</v>
      </c>
      <c r="D27">
        <v>0</v>
      </c>
      <c r="E27" t="s">
        <v>9450</v>
      </c>
    </row>
    <row r="28" spans="2:5">
      <c r="B28" t="s">
        <v>6810</v>
      </c>
      <c r="C28" t="s">
        <v>6811</v>
      </c>
      <c r="D28">
        <v>0</v>
      </c>
      <c r="E28" t="s">
        <v>9450</v>
      </c>
    </row>
    <row r="29" spans="2:5">
      <c r="B29" t="s">
        <v>6812</v>
      </c>
      <c r="C29" t="s">
        <v>6813</v>
      </c>
      <c r="D29">
        <v>2</v>
      </c>
      <c r="E29" t="s">
        <v>9450</v>
      </c>
    </row>
    <row r="30" spans="2:5">
      <c r="B30" t="s">
        <v>6814</v>
      </c>
      <c r="C30" t="s">
        <v>6815</v>
      </c>
      <c r="D30">
        <v>1</v>
      </c>
      <c r="E30" t="s">
        <v>9450</v>
      </c>
    </row>
    <row r="31" spans="2:5">
      <c r="B31" t="s">
        <v>6816</v>
      </c>
      <c r="C31" t="s">
        <v>6817</v>
      </c>
      <c r="D31">
        <v>1</v>
      </c>
      <c r="E31" t="s">
        <v>9450</v>
      </c>
    </row>
    <row r="32" spans="2:5">
      <c r="B32" t="s">
        <v>5513</v>
      </c>
      <c r="C32" t="s">
        <v>6818</v>
      </c>
      <c r="D32">
        <v>16</v>
      </c>
      <c r="E32" t="s">
        <v>9448</v>
      </c>
    </row>
    <row r="33" spans="2:5">
      <c r="B33" t="s">
        <v>6819</v>
      </c>
      <c r="C33" t="s">
        <v>6820</v>
      </c>
      <c r="D33">
        <v>1</v>
      </c>
      <c r="E33" t="s">
        <v>9450</v>
      </c>
    </row>
    <row r="34" spans="2:5">
      <c r="B34" t="s">
        <v>6821</v>
      </c>
      <c r="C34" t="s">
        <v>6822</v>
      </c>
      <c r="D34">
        <v>37</v>
      </c>
      <c r="E34" t="s">
        <v>9448</v>
      </c>
    </row>
    <row r="35" spans="2:5">
      <c r="B35" t="s">
        <v>6823</v>
      </c>
      <c r="C35" t="s">
        <v>6824</v>
      </c>
      <c r="D35">
        <v>25</v>
      </c>
      <c r="E35" t="s">
        <v>9451</v>
      </c>
    </row>
    <row r="36" spans="2:5">
      <c r="B36" t="s">
        <v>6825</v>
      </c>
      <c r="C36" t="s">
        <v>6826</v>
      </c>
      <c r="D36">
        <v>14</v>
      </c>
      <c r="E36" t="s">
        <v>9450</v>
      </c>
    </row>
    <row r="37" spans="2:5">
      <c r="B37" t="s">
        <v>6827</v>
      </c>
      <c r="D37">
        <v>0</v>
      </c>
      <c r="E37" t="s">
        <v>137</v>
      </c>
    </row>
    <row r="38" spans="2:5">
      <c r="B38" t="s">
        <v>6828</v>
      </c>
      <c r="D38">
        <v>0</v>
      </c>
      <c r="E38" t="s">
        <v>137</v>
      </c>
    </row>
    <row r="39" spans="2:5">
      <c r="B39" t="s">
        <v>6829</v>
      </c>
      <c r="C39" t="s">
        <v>6830</v>
      </c>
      <c r="D39">
        <v>1</v>
      </c>
      <c r="E39" t="s">
        <v>9452</v>
      </c>
    </row>
    <row r="40" spans="2:5">
      <c r="B40" t="s">
        <v>6831</v>
      </c>
      <c r="C40" t="s">
        <v>6832</v>
      </c>
      <c r="D40">
        <v>0</v>
      </c>
      <c r="E40" t="s">
        <v>9450</v>
      </c>
    </row>
    <row r="41" spans="2:5">
      <c r="B41" t="s">
        <v>6833</v>
      </c>
      <c r="D41">
        <v>0</v>
      </c>
      <c r="E41" t="s">
        <v>137</v>
      </c>
    </row>
    <row r="42" spans="2:5">
      <c r="B42" t="s">
        <v>6834</v>
      </c>
      <c r="C42" t="s">
        <v>6835</v>
      </c>
      <c r="D42">
        <v>0</v>
      </c>
      <c r="E42" t="s">
        <v>9450</v>
      </c>
    </row>
    <row r="43" spans="2:5">
      <c r="B43" t="s">
        <v>6836</v>
      </c>
      <c r="C43" t="s">
        <v>6837</v>
      </c>
      <c r="D43">
        <v>2</v>
      </c>
      <c r="E43" t="s">
        <v>9453</v>
      </c>
    </row>
    <row r="44" spans="2:5">
      <c r="B44" t="s">
        <v>6838</v>
      </c>
      <c r="C44" t="s">
        <v>6839</v>
      </c>
      <c r="D44">
        <v>4</v>
      </c>
      <c r="E44" t="s">
        <v>9453</v>
      </c>
    </row>
    <row r="45" spans="2:5">
      <c r="B45" t="s">
        <v>6840</v>
      </c>
      <c r="C45" t="s">
        <v>6841</v>
      </c>
      <c r="D45">
        <v>0</v>
      </c>
      <c r="E45" t="s">
        <v>5396</v>
      </c>
    </row>
    <row r="46" spans="2:5">
      <c r="B46" t="s">
        <v>6842</v>
      </c>
      <c r="D46">
        <v>0</v>
      </c>
      <c r="E46" t="s">
        <v>137</v>
      </c>
    </row>
    <row r="47" spans="2:5">
      <c r="B47" t="s">
        <v>6843</v>
      </c>
      <c r="D47">
        <v>0</v>
      </c>
      <c r="E47" t="s">
        <v>137</v>
      </c>
    </row>
    <row r="48" spans="2:5">
      <c r="B48" t="s">
        <v>6844</v>
      </c>
      <c r="C48" t="s">
        <v>6845</v>
      </c>
      <c r="D48">
        <v>5</v>
      </c>
      <c r="E48" t="s">
        <v>9450</v>
      </c>
    </row>
    <row r="49" spans="2:5">
      <c r="B49" t="s">
        <v>6846</v>
      </c>
      <c r="C49" t="s">
        <v>6847</v>
      </c>
      <c r="D49">
        <v>19</v>
      </c>
      <c r="E49" t="s">
        <v>9453</v>
      </c>
    </row>
    <row r="50" spans="2:5">
      <c r="B50" t="s">
        <v>6848</v>
      </c>
      <c r="C50" t="s">
        <v>6849</v>
      </c>
      <c r="D50">
        <v>17</v>
      </c>
      <c r="E50" t="s">
        <v>5396</v>
      </c>
    </row>
    <row r="51" spans="2:5">
      <c r="B51" t="s">
        <v>6850</v>
      </c>
      <c r="D51">
        <v>0</v>
      </c>
      <c r="E51" t="s">
        <v>137</v>
      </c>
    </row>
    <row r="52" spans="2:5">
      <c r="B52" t="s">
        <v>6851</v>
      </c>
      <c r="C52" t="s">
        <v>6852</v>
      </c>
      <c r="D52">
        <v>7</v>
      </c>
      <c r="E52" t="s">
        <v>5396</v>
      </c>
    </row>
    <row r="53" spans="2:5">
      <c r="B53" t="s">
        <v>5521</v>
      </c>
      <c r="C53" t="s">
        <v>6853</v>
      </c>
      <c r="D53">
        <v>4</v>
      </c>
      <c r="E53" t="s">
        <v>9450</v>
      </c>
    </row>
    <row r="54" spans="2:5">
      <c r="B54" t="s">
        <v>6854</v>
      </c>
      <c r="C54" t="s">
        <v>6855</v>
      </c>
      <c r="D54">
        <v>8</v>
      </c>
      <c r="E54" t="s">
        <v>9450</v>
      </c>
    </row>
    <row r="55" spans="2:5">
      <c r="B55" t="s">
        <v>6856</v>
      </c>
      <c r="C55" t="s">
        <v>6857</v>
      </c>
      <c r="D55">
        <v>50</v>
      </c>
      <c r="E55" t="s">
        <v>9448</v>
      </c>
    </row>
    <row r="56" spans="2:5">
      <c r="B56" t="s">
        <v>6858</v>
      </c>
      <c r="C56" t="s">
        <v>6859</v>
      </c>
      <c r="D56">
        <v>11</v>
      </c>
      <c r="E56" t="s">
        <v>9450</v>
      </c>
    </row>
    <row r="57" spans="2:5">
      <c r="B57" t="s">
        <v>6860</v>
      </c>
      <c r="C57" t="s">
        <v>6861</v>
      </c>
      <c r="D57">
        <v>7</v>
      </c>
      <c r="E57" t="s">
        <v>5385</v>
      </c>
    </row>
    <row r="58" spans="2:5">
      <c r="B58" t="s">
        <v>6862</v>
      </c>
      <c r="C58" t="s">
        <v>6863</v>
      </c>
      <c r="D58">
        <v>14</v>
      </c>
      <c r="E58" t="s">
        <v>5385</v>
      </c>
    </row>
    <row r="59" spans="2:5">
      <c r="B59" t="s">
        <v>6864</v>
      </c>
      <c r="C59" t="s">
        <v>6865</v>
      </c>
      <c r="D59">
        <v>3</v>
      </c>
      <c r="E59" t="s">
        <v>9450</v>
      </c>
    </row>
    <row r="60" spans="2:5">
      <c r="B60" t="s">
        <v>6866</v>
      </c>
      <c r="C60" t="s">
        <v>6867</v>
      </c>
      <c r="D60">
        <v>14</v>
      </c>
      <c r="E60" t="s">
        <v>140</v>
      </c>
    </row>
    <row r="61" spans="2:5">
      <c r="B61" t="s">
        <v>6868</v>
      </c>
      <c r="C61" t="s">
        <v>6869</v>
      </c>
      <c r="D61">
        <v>0</v>
      </c>
      <c r="E61" t="s">
        <v>9453</v>
      </c>
    </row>
    <row r="62" spans="2:5">
      <c r="B62" t="s">
        <v>5527</v>
      </c>
      <c r="C62" t="s">
        <v>6870</v>
      </c>
      <c r="D62">
        <v>85</v>
      </c>
      <c r="E62" t="s">
        <v>9450</v>
      </c>
    </row>
    <row r="63" spans="2:5">
      <c r="B63" t="s">
        <v>5533</v>
      </c>
      <c r="C63" t="s">
        <v>6871</v>
      </c>
      <c r="D63">
        <v>5</v>
      </c>
      <c r="E63" t="s">
        <v>9450</v>
      </c>
    </row>
    <row r="64" spans="2:5">
      <c r="B64" t="s">
        <v>5540</v>
      </c>
      <c r="C64" t="s">
        <v>6872</v>
      </c>
      <c r="D64">
        <v>30</v>
      </c>
      <c r="E64" t="s">
        <v>9450</v>
      </c>
    </row>
    <row r="65" spans="2:5">
      <c r="B65" t="s">
        <v>6873</v>
      </c>
      <c r="C65" t="s">
        <v>6874</v>
      </c>
      <c r="D65">
        <v>20</v>
      </c>
      <c r="E65" t="s">
        <v>9450</v>
      </c>
    </row>
    <row r="66" spans="2:5">
      <c r="B66" t="s">
        <v>5546</v>
      </c>
      <c r="C66" t="s">
        <v>6875</v>
      </c>
      <c r="D66">
        <v>5</v>
      </c>
      <c r="E66" t="s">
        <v>5390</v>
      </c>
    </row>
    <row r="67" spans="2:5">
      <c r="B67" t="s">
        <v>6876</v>
      </c>
      <c r="C67" t="s">
        <v>6877</v>
      </c>
      <c r="D67">
        <v>13</v>
      </c>
      <c r="E67" t="s">
        <v>140</v>
      </c>
    </row>
    <row r="68" spans="2:5">
      <c r="B68" t="s">
        <v>6878</v>
      </c>
      <c r="C68" t="s">
        <v>6879</v>
      </c>
      <c r="D68">
        <v>17</v>
      </c>
      <c r="E68" t="s">
        <v>9450</v>
      </c>
    </row>
    <row r="69" spans="2:5">
      <c r="B69" t="s">
        <v>5552</v>
      </c>
      <c r="C69" t="s">
        <v>6880</v>
      </c>
      <c r="D69">
        <v>5</v>
      </c>
      <c r="E69" t="s">
        <v>9450</v>
      </c>
    </row>
    <row r="70" spans="2:5">
      <c r="B70" t="s">
        <v>6881</v>
      </c>
      <c r="C70" t="s">
        <v>6882</v>
      </c>
      <c r="D70">
        <v>17</v>
      </c>
      <c r="E70" t="s">
        <v>9450</v>
      </c>
    </row>
    <row r="71" spans="2:5">
      <c r="B71" t="s">
        <v>6883</v>
      </c>
      <c r="C71" t="s">
        <v>6884</v>
      </c>
      <c r="D71">
        <v>9</v>
      </c>
      <c r="E71" t="s">
        <v>9450</v>
      </c>
    </row>
    <row r="72" spans="2:5">
      <c r="B72" t="s">
        <v>6885</v>
      </c>
      <c r="C72" t="s">
        <v>6886</v>
      </c>
      <c r="D72">
        <v>20</v>
      </c>
      <c r="E72" t="s">
        <v>9448</v>
      </c>
    </row>
    <row r="73" spans="2:5">
      <c r="B73" t="s">
        <v>6887</v>
      </c>
      <c r="C73" t="s">
        <v>6888</v>
      </c>
      <c r="D73">
        <v>9</v>
      </c>
      <c r="E73" t="s">
        <v>9450</v>
      </c>
    </row>
    <row r="74" spans="2:5">
      <c r="B74" t="s">
        <v>5558</v>
      </c>
      <c r="C74" t="s">
        <v>6889</v>
      </c>
      <c r="D74">
        <v>65</v>
      </c>
      <c r="E74" t="s">
        <v>9450</v>
      </c>
    </row>
    <row r="75" spans="2:5">
      <c r="B75" t="s">
        <v>6890</v>
      </c>
      <c r="C75" t="s">
        <v>6891</v>
      </c>
      <c r="D75">
        <v>4</v>
      </c>
      <c r="E75" t="s">
        <v>9450</v>
      </c>
    </row>
    <row r="76" spans="2:5">
      <c r="B76" t="s">
        <v>6892</v>
      </c>
      <c r="C76" t="s">
        <v>6893</v>
      </c>
      <c r="D76">
        <v>5</v>
      </c>
      <c r="E76" t="s">
        <v>9450</v>
      </c>
    </row>
    <row r="77" spans="2:5">
      <c r="B77" t="s">
        <v>6894</v>
      </c>
      <c r="C77" t="s">
        <v>6895</v>
      </c>
      <c r="D77">
        <v>0</v>
      </c>
      <c r="E77" t="s">
        <v>9450</v>
      </c>
    </row>
    <row r="78" spans="2:5">
      <c r="B78" t="s">
        <v>6896</v>
      </c>
      <c r="C78" t="s">
        <v>6897</v>
      </c>
      <c r="D78">
        <v>1</v>
      </c>
      <c r="E78" t="s">
        <v>9450</v>
      </c>
    </row>
    <row r="79" spans="2:5">
      <c r="B79" t="s">
        <v>6898</v>
      </c>
      <c r="C79" t="s">
        <v>6899</v>
      </c>
      <c r="D79">
        <v>4</v>
      </c>
      <c r="E79" t="s">
        <v>9450</v>
      </c>
    </row>
    <row r="80" spans="2:5">
      <c r="B80" t="s">
        <v>6900</v>
      </c>
      <c r="C80" t="s">
        <v>6901</v>
      </c>
      <c r="D80">
        <v>14</v>
      </c>
      <c r="E80" t="s">
        <v>9448</v>
      </c>
    </row>
    <row r="81" spans="2:5">
      <c r="B81" t="s">
        <v>5564</v>
      </c>
      <c r="C81" t="s">
        <v>6902</v>
      </c>
      <c r="D81">
        <v>10</v>
      </c>
      <c r="E81" t="s">
        <v>9453</v>
      </c>
    </row>
    <row r="82" spans="2:5">
      <c r="B82" t="s">
        <v>6903</v>
      </c>
      <c r="C82" t="s">
        <v>6904</v>
      </c>
      <c r="D82">
        <v>17</v>
      </c>
      <c r="E82" t="s">
        <v>9450</v>
      </c>
    </row>
    <row r="83" spans="2:5">
      <c r="B83" t="s">
        <v>6905</v>
      </c>
      <c r="C83" t="s">
        <v>6906</v>
      </c>
      <c r="D83">
        <v>35</v>
      </c>
      <c r="E83" t="s">
        <v>9453</v>
      </c>
    </row>
    <row r="84" spans="2:5">
      <c r="B84" t="s">
        <v>5570</v>
      </c>
      <c r="C84" t="s">
        <v>6907</v>
      </c>
      <c r="D84">
        <v>23</v>
      </c>
      <c r="E84" t="s">
        <v>9450</v>
      </c>
    </row>
    <row r="85" spans="2:5">
      <c r="B85" t="s">
        <v>6908</v>
      </c>
      <c r="C85" t="s">
        <v>6909</v>
      </c>
      <c r="D85">
        <v>5</v>
      </c>
      <c r="E85" t="s">
        <v>9454</v>
      </c>
    </row>
    <row r="86" spans="2:5">
      <c r="B86" t="s">
        <v>5576</v>
      </c>
      <c r="C86" t="s">
        <v>6910</v>
      </c>
      <c r="D86">
        <v>10</v>
      </c>
      <c r="E86" t="s">
        <v>9450</v>
      </c>
    </row>
    <row r="87" spans="2:5">
      <c r="B87" t="s">
        <v>6911</v>
      </c>
      <c r="C87" t="s">
        <v>6912</v>
      </c>
      <c r="D87">
        <v>12</v>
      </c>
      <c r="E87" t="s">
        <v>9448</v>
      </c>
    </row>
    <row r="88" spans="2:5">
      <c r="B88" t="s">
        <v>6913</v>
      </c>
      <c r="C88" t="s">
        <v>6914</v>
      </c>
      <c r="D88">
        <v>35</v>
      </c>
      <c r="E88" t="s">
        <v>9450</v>
      </c>
    </row>
    <row r="89" spans="2:5">
      <c r="B89" t="s">
        <v>6915</v>
      </c>
      <c r="C89" t="s">
        <v>6916</v>
      </c>
      <c r="D89">
        <v>4</v>
      </c>
      <c r="E89" t="s">
        <v>9450</v>
      </c>
    </row>
    <row r="90" spans="2:5">
      <c r="B90" t="s">
        <v>6917</v>
      </c>
      <c r="C90" t="s">
        <v>6918</v>
      </c>
      <c r="D90">
        <v>3</v>
      </c>
      <c r="E90" t="s">
        <v>9450</v>
      </c>
    </row>
    <row r="91" spans="2:5">
      <c r="B91" t="s">
        <v>6919</v>
      </c>
      <c r="C91" t="s">
        <v>6920</v>
      </c>
      <c r="D91">
        <v>0</v>
      </c>
      <c r="E91" t="s">
        <v>9450</v>
      </c>
    </row>
    <row r="92" spans="2:5">
      <c r="B92" t="s">
        <v>6921</v>
      </c>
      <c r="C92" t="s">
        <v>6922</v>
      </c>
      <c r="D92">
        <v>13</v>
      </c>
      <c r="E92" t="s">
        <v>9453</v>
      </c>
    </row>
    <row r="93" spans="2:5">
      <c r="B93" t="s">
        <v>6923</v>
      </c>
      <c r="C93" t="s">
        <v>6924</v>
      </c>
      <c r="D93">
        <v>2</v>
      </c>
      <c r="E93" t="s">
        <v>9450</v>
      </c>
    </row>
    <row r="94" spans="2:5">
      <c r="B94" t="s">
        <v>6925</v>
      </c>
      <c r="C94" t="s">
        <v>6926</v>
      </c>
      <c r="D94">
        <v>61</v>
      </c>
      <c r="E94" t="s">
        <v>5389</v>
      </c>
    </row>
    <row r="95" spans="2:5">
      <c r="B95" t="s">
        <v>6927</v>
      </c>
      <c r="C95" t="s">
        <v>6928</v>
      </c>
      <c r="D95">
        <v>57</v>
      </c>
      <c r="E95" t="s">
        <v>5385</v>
      </c>
    </row>
    <row r="96" spans="2:5">
      <c r="B96" t="s">
        <v>6929</v>
      </c>
      <c r="C96" t="s">
        <v>6930</v>
      </c>
      <c r="D96">
        <v>6</v>
      </c>
      <c r="E96" t="s">
        <v>9453</v>
      </c>
    </row>
    <row r="97" spans="2:5">
      <c r="B97" t="s">
        <v>5582</v>
      </c>
      <c r="C97" t="s">
        <v>6931</v>
      </c>
      <c r="D97">
        <v>111</v>
      </c>
      <c r="E97" t="s">
        <v>9450</v>
      </c>
    </row>
    <row r="98" spans="2:5">
      <c r="B98" t="s">
        <v>6932</v>
      </c>
      <c r="C98" t="s">
        <v>6933</v>
      </c>
      <c r="D98">
        <v>8</v>
      </c>
      <c r="E98" t="s">
        <v>5396</v>
      </c>
    </row>
    <row r="99" spans="2:5">
      <c r="B99" t="s">
        <v>6934</v>
      </c>
      <c r="C99" t="s">
        <v>6935</v>
      </c>
      <c r="D99">
        <v>12</v>
      </c>
      <c r="E99" t="s">
        <v>5396</v>
      </c>
    </row>
    <row r="100" spans="2:5">
      <c r="B100" t="s">
        <v>6936</v>
      </c>
      <c r="C100" t="s">
        <v>6937</v>
      </c>
      <c r="D100">
        <v>8</v>
      </c>
      <c r="E100" t="s">
        <v>9450</v>
      </c>
    </row>
    <row r="101" spans="2:5">
      <c r="B101" t="s">
        <v>6938</v>
      </c>
      <c r="D101">
        <v>0</v>
      </c>
      <c r="E101" t="s">
        <v>137</v>
      </c>
    </row>
    <row r="102" spans="2:5">
      <c r="B102" t="s">
        <v>6939</v>
      </c>
      <c r="C102" t="s">
        <v>6940</v>
      </c>
      <c r="D102">
        <v>3</v>
      </c>
      <c r="E102" t="s">
        <v>9450</v>
      </c>
    </row>
    <row r="103" spans="2:5">
      <c r="B103" t="s">
        <v>5588</v>
      </c>
      <c r="C103" t="s">
        <v>6941</v>
      </c>
      <c r="D103">
        <v>18</v>
      </c>
      <c r="E103" t="s">
        <v>9450</v>
      </c>
    </row>
    <row r="104" spans="2:5">
      <c r="B104" t="s">
        <v>6942</v>
      </c>
      <c r="C104" t="s">
        <v>6943</v>
      </c>
      <c r="D104">
        <v>9</v>
      </c>
      <c r="E104" t="s">
        <v>9450</v>
      </c>
    </row>
    <row r="105" spans="2:5">
      <c r="B105" t="s">
        <v>6944</v>
      </c>
      <c r="C105" t="s">
        <v>6945</v>
      </c>
      <c r="D105">
        <v>19</v>
      </c>
      <c r="E105" t="s">
        <v>9450</v>
      </c>
    </row>
    <row r="106" spans="2:5">
      <c r="B106" t="s">
        <v>6946</v>
      </c>
      <c r="C106" t="s">
        <v>6947</v>
      </c>
      <c r="D106">
        <v>0</v>
      </c>
      <c r="E106" t="s">
        <v>9450</v>
      </c>
    </row>
    <row r="107" spans="2:5">
      <c r="B107" t="s">
        <v>6948</v>
      </c>
      <c r="C107" t="s">
        <v>6949</v>
      </c>
      <c r="D107">
        <v>36</v>
      </c>
      <c r="E107" t="s">
        <v>9448</v>
      </c>
    </row>
    <row r="108" spans="2:5">
      <c r="B108" t="s">
        <v>6950</v>
      </c>
      <c r="C108" t="s">
        <v>6951</v>
      </c>
      <c r="D108">
        <v>7</v>
      </c>
      <c r="E108" t="s">
        <v>9450</v>
      </c>
    </row>
    <row r="109" spans="2:5">
      <c r="B109" t="s">
        <v>6952</v>
      </c>
      <c r="C109" t="s">
        <v>6953</v>
      </c>
      <c r="D109">
        <v>34</v>
      </c>
      <c r="E109" t="s">
        <v>9450</v>
      </c>
    </row>
    <row r="110" spans="2:5">
      <c r="B110" t="s">
        <v>6954</v>
      </c>
      <c r="C110" t="s">
        <v>6955</v>
      </c>
      <c r="D110">
        <v>2</v>
      </c>
      <c r="E110" t="s">
        <v>9450</v>
      </c>
    </row>
    <row r="111" spans="2:5">
      <c r="B111" t="s">
        <v>6956</v>
      </c>
      <c r="C111" t="s">
        <v>6957</v>
      </c>
      <c r="D111">
        <v>2</v>
      </c>
      <c r="E111" t="s">
        <v>9450</v>
      </c>
    </row>
    <row r="112" spans="2:5">
      <c r="B112" t="s">
        <v>6958</v>
      </c>
      <c r="C112" t="s">
        <v>6959</v>
      </c>
      <c r="D112">
        <v>2</v>
      </c>
      <c r="E112" t="s">
        <v>9450</v>
      </c>
    </row>
    <row r="113" spans="2:5">
      <c r="B113" t="s">
        <v>6960</v>
      </c>
      <c r="C113" t="s">
        <v>6961</v>
      </c>
      <c r="D113">
        <v>5</v>
      </c>
      <c r="E113" t="s">
        <v>9450</v>
      </c>
    </row>
    <row r="114" spans="2:5">
      <c r="B114" t="s">
        <v>6962</v>
      </c>
      <c r="C114" t="s">
        <v>6963</v>
      </c>
      <c r="D114">
        <v>4</v>
      </c>
      <c r="E114" t="s">
        <v>9450</v>
      </c>
    </row>
    <row r="115" spans="2:5">
      <c r="B115" t="s">
        <v>6964</v>
      </c>
      <c r="C115" t="s">
        <v>6965</v>
      </c>
      <c r="D115">
        <v>2</v>
      </c>
      <c r="E115" t="s">
        <v>9448</v>
      </c>
    </row>
    <row r="116" spans="2:5">
      <c r="B116" t="s">
        <v>6966</v>
      </c>
      <c r="C116" t="s">
        <v>6967</v>
      </c>
      <c r="D116">
        <v>1</v>
      </c>
      <c r="E116" t="s">
        <v>9450</v>
      </c>
    </row>
    <row r="117" spans="2:5">
      <c r="B117" t="s">
        <v>6968</v>
      </c>
      <c r="C117" t="s">
        <v>6969</v>
      </c>
      <c r="D117">
        <v>3</v>
      </c>
      <c r="E117" t="s">
        <v>9450</v>
      </c>
    </row>
    <row r="118" spans="2:5">
      <c r="B118" t="s">
        <v>6970</v>
      </c>
      <c r="C118" t="s">
        <v>6971</v>
      </c>
      <c r="D118">
        <v>22</v>
      </c>
      <c r="E118" t="s">
        <v>9450</v>
      </c>
    </row>
    <row r="119" spans="2:5">
      <c r="B119" t="s">
        <v>6972</v>
      </c>
      <c r="C119" t="s">
        <v>6973</v>
      </c>
      <c r="D119">
        <v>2</v>
      </c>
      <c r="E119" t="s">
        <v>5394</v>
      </c>
    </row>
    <row r="120" spans="2:5">
      <c r="B120" t="s">
        <v>6974</v>
      </c>
      <c r="C120" t="s">
        <v>6975</v>
      </c>
      <c r="D120">
        <v>1</v>
      </c>
      <c r="E120" t="s">
        <v>9450</v>
      </c>
    </row>
    <row r="121" spans="2:5">
      <c r="B121" t="s">
        <v>6976</v>
      </c>
      <c r="C121" t="s">
        <v>6977</v>
      </c>
      <c r="D121">
        <v>5</v>
      </c>
      <c r="E121" t="s">
        <v>9450</v>
      </c>
    </row>
    <row r="122" spans="2:5">
      <c r="B122" t="s">
        <v>6978</v>
      </c>
      <c r="C122" t="s">
        <v>6979</v>
      </c>
      <c r="D122">
        <v>8</v>
      </c>
      <c r="E122" t="s">
        <v>9452</v>
      </c>
    </row>
    <row r="123" spans="2:5">
      <c r="B123" t="s">
        <v>6980</v>
      </c>
      <c r="C123" t="s">
        <v>6981</v>
      </c>
      <c r="D123">
        <v>2</v>
      </c>
      <c r="E123" t="s">
        <v>9450</v>
      </c>
    </row>
    <row r="124" spans="2:5">
      <c r="B124" t="s">
        <v>6982</v>
      </c>
      <c r="C124" t="s">
        <v>6983</v>
      </c>
      <c r="D124">
        <v>19</v>
      </c>
      <c r="E124" t="s">
        <v>9450</v>
      </c>
    </row>
    <row r="125" spans="2:5">
      <c r="B125" t="s">
        <v>6984</v>
      </c>
      <c r="C125" t="s">
        <v>6985</v>
      </c>
      <c r="D125">
        <v>24</v>
      </c>
      <c r="E125" t="s">
        <v>9450</v>
      </c>
    </row>
    <row r="126" spans="2:5">
      <c r="B126" t="s">
        <v>6986</v>
      </c>
      <c r="C126" t="s">
        <v>6987</v>
      </c>
      <c r="D126">
        <v>12</v>
      </c>
      <c r="E126" t="s">
        <v>9450</v>
      </c>
    </row>
    <row r="127" spans="2:5">
      <c r="B127" t="s">
        <v>6988</v>
      </c>
      <c r="C127" t="s">
        <v>6989</v>
      </c>
      <c r="D127">
        <v>37</v>
      </c>
      <c r="E127" t="s">
        <v>9450</v>
      </c>
    </row>
    <row r="128" spans="2:5">
      <c r="B128" t="s">
        <v>6990</v>
      </c>
      <c r="C128" t="s">
        <v>6991</v>
      </c>
      <c r="D128">
        <v>7</v>
      </c>
      <c r="E128" t="s">
        <v>9450</v>
      </c>
    </row>
    <row r="129" spans="2:5">
      <c r="B129" t="s">
        <v>6992</v>
      </c>
      <c r="C129" t="s">
        <v>6993</v>
      </c>
      <c r="D129">
        <v>2</v>
      </c>
      <c r="E129" t="s">
        <v>9450</v>
      </c>
    </row>
    <row r="130" spans="2:5">
      <c r="B130" t="s">
        <v>6994</v>
      </c>
      <c r="C130" t="s">
        <v>6995</v>
      </c>
      <c r="D130">
        <v>2</v>
      </c>
      <c r="E130" t="s">
        <v>9450</v>
      </c>
    </row>
    <row r="131" spans="2:5">
      <c r="B131" t="s">
        <v>6996</v>
      </c>
      <c r="C131" t="s">
        <v>6997</v>
      </c>
      <c r="D131">
        <v>19</v>
      </c>
      <c r="E131" t="s">
        <v>9448</v>
      </c>
    </row>
    <row r="132" spans="2:5">
      <c r="B132" t="s">
        <v>6998</v>
      </c>
      <c r="C132" t="s">
        <v>6999</v>
      </c>
      <c r="D132">
        <v>25</v>
      </c>
      <c r="E132" t="s">
        <v>9448</v>
      </c>
    </row>
    <row r="133" spans="2:5">
      <c r="B133" t="s">
        <v>7000</v>
      </c>
      <c r="C133" t="s">
        <v>7001</v>
      </c>
      <c r="D133">
        <v>14</v>
      </c>
      <c r="E133" t="s">
        <v>9455</v>
      </c>
    </row>
    <row r="134" spans="2:5">
      <c r="B134" t="s">
        <v>7002</v>
      </c>
      <c r="C134" t="s">
        <v>7003</v>
      </c>
      <c r="D134">
        <v>14</v>
      </c>
      <c r="E134" t="s">
        <v>9448</v>
      </c>
    </row>
    <row r="135" spans="2:5">
      <c r="B135" t="s">
        <v>7004</v>
      </c>
      <c r="C135" t="s">
        <v>7005</v>
      </c>
      <c r="D135">
        <v>8</v>
      </c>
      <c r="E135" t="s">
        <v>9455</v>
      </c>
    </row>
    <row r="136" spans="2:5">
      <c r="B136" t="s">
        <v>7006</v>
      </c>
      <c r="C136" t="s">
        <v>7007</v>
      </c>
      <c r="D136">
        <v>7</v>
      </c>
      <c r="E136" t="s">
        <v>9455</v>
      </c>
    </row>
    <row r="137" spans="2:5">
      <c r="B137" t="s">
        <v>7008</v>
      </c>
      <c r="C137" t="s">
        <v>7009</v>
      </c>
      <c r="D137">
        <v>40</v>
      </c>
      <c r="E137" t="s">
        <v>9448</v>
      </c>
    </row>
    <row r="138" spans="2:5">
      <c r="B138" t="s">
        <v>7010</v>
      </c>
      <c r="C138" t="s">
        <v>7011</v>
      </c>
      <c r="D138">
        <v>38</v>
      </c>
      <c r="E138" t="s">
        <v>9455</v>
      </c>
    </row>
    <row r="139" spans="2:5">
      <c r="B139" t="s">
        <v>7012</v>
      </c>
      <c r="C139" t="s">
        <v>7013</v>
      </c>
      <c r="D139">
        <v>2</v>
      </c>
      <c r="E139" t="s">
        <v>9455</v>
      </c>
    </row>
    <row r="140" spans="2:5">
      <c r="B140" t="s">
        <v>7014</v>
      </c>
      <c r="C140" t="s">
        <v>7015</v>
      </c>
      <c r="D140">
        <v>20</v>
      </c>
      <c r="E140" t="s">
        <v>9451</v>
      </c>
    </row>
    <row r="141" spans="2:5">
      <c r="B141" t="s">
        <v>7016</v>
      </c>
      <c r="C141" t="s">
        <v>7017</v>
      </c>
      <c r="D141">
        <v>0</v>
      </c>
      <c r="E141" t="s">
        <v>9453</v>
      </c>
    </row>
    <row r="142" spans="2:5">
      <c r="B142" t="s">
        <v>7018</v>
      </c>
      <c r="C142" t="s">
        <v>7019</v>
      </c>
      <c r="D142">
        <v>67</v>
      </c>
      <c r="E142" t="s">
        <v>9456</v>
      </c>
    </row>
    <row r="143" spans="2:5">
      <c r="B143" t="s">
        <v>7020</v>
      </c>
      <c r="C143" t="s">
        <v>7021</v>
      </c>
      <c r="D143">
        <v>11</v>
      </c>
      <c r="E143" t="s">
        <v>5395</v>
      </c>
    </row>
    <row r="144" spans="2:5">
      <c r="B144" t="s">
        <v>5594</v>
      </c>
      <c r="C144" t="s">
        <v>7022</v>
      </c>
      <c r="D144">
        <v>15</v>
      </c>
      <c r="E144" t="s">
        <v>9455</v>
      </c>
    </row>
    <row r="145" spans="2:5">
      <c r="B145" t="s">
        <v>7023</v>
      </c>
      <c r="C145" t="s">
        <v>7024</v>
      </c>
      <c r="D145">
        <v>6</v>
      </c>
      <c r="E145" t="s">
        <v>9455</v>
      </c>
    </row>
    <row r="146" spans="2:5">
      <c r="B146" t="s">
        <v>7025</v>
      </c>
      <c r="C146" t="s">
        <v>7026</v>
      </c>
      <c r="D146">
        <v>0</v>
      </c>
      <c r="E146" t="s">
        <v>9455</v>
      </c>
    </row>
    <row r="147" spans="2:5">
      <c r="B147" t="s">
        <v>7027</v>
      </c>
      <c r="C147" t="s">
        <v>7028</v>
      </c>
      <c r="D147">
        <v>0</v>
      </c>
      <c r="E147" t="s">
        <v>9453</v>
      </c>
    </row>
    <row r="148" spans="2:5">
      <c r="B148" t="s">
        <v>7029</v>
      </c>
      <c r="C148" t="s">
        <v>7030</v>
      </c>
      <c r="D148">
        <v>0</v>
      </c>
      <c r="E148" t="s">
        <v>9453</v>
      </c>
    </row>
    <row r="149" spans="2:5">
      <c r="B149" t="s">
        <v>7031</v>
      </c>
      <c r="C149" t="s">
        <v>7032</v>
      </c>
      <c r="D149">
        <v>5</v>
      </c>
      <c r="E149" t="s">
        <v>9455</v>
      </c>
    </row>
    <row r="150" spans="2:5">
      <c r="B150" t="s">
        <v>7033</v>
      </c>
      <c r="C150" t="s">
        <v>7034</v>
      </c>
      <c r="D150">
        <v>4</v>
      </c>
      <c r="E150" t="s">
        <v>9452</v>
      </c>
    </row>
    <row r="151" spans="2:5">
      <c r="B151" t="s">
        <v>7035</v>
      </c>
      <c r="C151" t="s">
        <v>7036</v>
      </c>
      <c r="D151">
        <v>9</v>
      </c>
      <c r="E151" t="s">
        <v>9455</v>
      </c>
    </row>
    <row r="152" spans="2:5">
      <c r="B152" t="s">
        <v>7037</v>
      </c>
      <c r="C152" t="s">
        <v>7038</v>
      </c>
      <c r="D152">
        <v>25</v>
      </c>
      <c r="E152" t="s">
        <v>9455</v>
      </c>
    </row>
    <row r="153" spans="2:5">
      <c r="B153" t="s">
        <v>7039</v>
      </c>
      <c r="C153" t="s">
        <v>7040</v>
      </c>
      <c r="D153">
        <v>61</v>
      </c>
      <c r="E153" t="s">
        <v>5395</v>
      </c>
    </row>
    <row r="154" spans="2:5">
      <c r="B154" t="s">
        <v>7041</v>
      </c>
      <c r="C154" t="s">
        <v>7042</v>
      </c>
      <c r="D154">
        <v>14</v>
      </c>
      <c r="E154" t="s">
        <v>9455</v>
      </c>
    </row>
    <row r="155" spans="2:5">
      <c r="B155" t="s">
        <v>7043</v>
      </c>
      <c r="C155" t="s">
        <v>7044</v>
      </c>
      <c r="D155">
        <v>38</v>
      </c>
      <c r="E155" t="s">
        <v>9455</v>
      </c>
    </row>
    <row r="156" spans="2:5">
      <c r="B156" t="s">
        <v>5601</v>
      </c>
      <c r="C156" t="s">
        <v>7045</v>
      </c>
      <c r="D156">
        <v>26</v>
      </c>
      <c r="E156" t="s">
        <v>9455</v>
      </c>
    </row>
    <row r="157" spans="2:5">
      <c r="B157" t="s">
        <v>7046</v>
      </c>
      <c r="C157" t="s">
        <v>7047</v>
      </c>
      <c r="D157">
        <v>209</v>
      </c>
      <c r="E157" t="s">
        <v>5395</v>
      </c>
    </row>
    <row r="158" spans="2:5">
      <c r="B158" t="s">
        <v>7048</v>
      </c>
      <c r="C158" t="s">
        <v>7049</v>
      </c>
      <c r="D158">
        <v>7</v>
      </c>
      <c r="E158" t="s">
        <v>9455</v>
      </c>
    </row>
    <row r="159" spans="2:5">
      <c r="B159" t="s">
        <v>7050</v>
      </c>
      <c r="C159" t="s">
        <v>7051</v>
      </c>
      <c r="D159">
        <v>34</v>
      </c>
      <c r="E159" t="s">
        <v>5395</v>
      </c>
    </row>
    <row r="160" spans="2:5">
      <c r="B160" t="s">
        <v>7052</v>
      </c>
      <c r="C160" t="s">
        <v>7053</v>
      </c>
      <c r="D160">
        <v>14</v>
      </c>
      <c r="E160" t="s">
        <v>9455</v>
      </c>
    </row>
    <row r="161" spans="2:5">
      <c r="B161" t="s">
        <v>7054</v>
      </c>
      <c r="C161" t="s">
        <v>7055</v>
      </c>
      <c r="D161">
        <v>0</v>
      </c>
      <c r="E161" t="s">
        <v>9455</v>
      </c>
    </row>
    <row r="162" spans="2:5">
      <c r="B162" t="s">
        <v>7056</v>
      </c>
      <c r="C162" t="s">
        <v>7057</v>
      </c>
      <c r="D162">
        <v>13</v>
      </c>
      <c r="E162" t="s">
        <v>9448</v>
      </c>
    </row>
    <row r="163" spans="2:5">
      <c r="B163" t="s">
        <v>7058</v>
      </c>
      <c r="C163" t="s">
        <v>7059</v>
      </c>
      <c r="D163">
        <v>18</v>
      </c>
      <c r="E163" t="s">
        <v>9455</v>
      </c>
    </row>
    <row r="164" spans="2:5">
      <c r="B164" t="s">
        <v>7060</v>
      </c>
      <c r="C164" t="s">
        <v>7061</v>
      </c>
      <c r="D164">
        <v>43</v>
      </c>
      <c r="E164" t="s">
        <v>5395</v>
      </c>
    </row>
    <row r="165" spans="2:5">
      <c r="B165" t="s">
        <v>7062</v>
      </c>
      <c r="C165" t="s">
        <v>7063</v>
      </c>
      <c r="D165">
        <v>21</v>
      </c>
      <c r="E165" t="s">
        <v>9455</v>
      </c>
    </row>
    <row r="166" spans="2:5">
      <c r="B166" t="s">
        <v>5607</v>
      </c>
      <c r="C166" t="s">
        <v>7064</v>
      </c>
      <c r="D166">
        <v>2</v>
      </c>
      <c r="E166" t="s">
        <v>9455</v>
      </c>
    </row>
    <row r="167" spans="2:5">
      <c r="B167" t="s">
        <v>7065</v>
      </c>
      <c r="C167" t="s">
        <v>7066</v>
      </c>
      <c r="D167">
        <v>7</v>
      </c>
      <c r="E167" t="s">
        <v>9455</v>
      </c>
    </row>
    <row r="168" spans="2:5">
      <c r="B168" t="s">
        <v>7067</v>
      </c>
      <c r="C168" t="s">
        <v>7068</v>
      </c>
      <c r="D168">
        <v>23</v>
      </c>
      <c r="E168" t="s">
        <v>9455</v>
      </c>
    </row>
    <row r="169" spans="2:5">
      <c r="B169" t="s">
        <v>7069</v>
      </c>
      <c r="C169" t="s">
        <v>7070</v>
      </c>
      <c r="D169">
        <v>22</v>
      </c>
      <c r="E169" t="s">
        <v>5395</v>
      </c>
    </row>
    <row r="170" spans="2:5">
      <c r="B170" t="s">
        <v>7071</v>
      </c>
      <c r="C170" t="s">
        <v>7072</v>
      </c>
      <c r="D170">
        <v>10</v>
      </c>
      <c r="E170" t="s">
        <v>5395</v>
      </c>
    </row>
    <row r="171" spans="2:5">
      <c r="B171" t="s">
        <v>7073</v>
      </c>
      <c r="C171" t="s">
        <v>7074</v>
      </c>
      <c r="D171">
        <v>10</v>
      </c>
      <c r="E171" t="s">
        <v>5394</v>
      </c>
    </row>
    <row r="172" spans="2:5">
      <c r="B172" t="s">
        <v>7075</v>
      </c>
      <c r="C172" t="s">
        <v>7076</v>
      </c>
      <c r="D172">
        <v>8</v>
      </c>
      <c r="E172" t="s">
        <v>9455</v>
      </c>
    </row>
    <row r="173" spans="2:5">
      <c r="B173" t="s">
        <v>7077</v>
      </c>
      <c r="C173" t="s">
        <v>7078</v>
      </c>
      <c r="D173">
        <v>29</v>
      </c>
      <c r="E173" t="s">
        <v>5395</v>
      </c>
    </row>
    <row r="174" spans="2:5">
      <c r="B174" t="s">
        <v>7079</v>
      </c>
      <c r="C174" t="s">
        <v>7080</v>
      </c>
      <c r="D174">
        <v>0</v>
      </c>
      <c r="E174" t="s">
        <v>9455</v>
      </c>
    </row>
    <row r="175" spans="2:5">
      <c r="B175" t="s">
        <v>7081</v>
      </c>
      <c r="C175" t="s">
        <v>7082</v>
      </c>
      <c r="D175">
        <v>68</v>
      </c>
      <c r="E175" t="s">
        <v>5395</v>
      </c>
    </row>
    <row r="176" spans="2:5">
      <c r="B176" t="s">
        <v>7083</v>
      </c>
      <c r="C176" t="s">
        <v>7084</v>
      </c>
      <c r="D176">
        <v>41</v>
      </c>
      <c r="E176" t="s">
        <v>9455</v>
      </c>
    </row>
    <row r="177" spans="2:5">
      <c r="B177" t="s">
        <v>7085</v>
      </c>
      <c r="C177" t="s">
        <v>7086</v>
      </c>
      <c r="D177">
        <v>3</v>
      </c>
      <c r="E177" t="s">
        <v>5395</v>
      </c>
    </row>
    <row r="178" spans="2:5">
      <c r="B178" t="s">
        <v>7087</v>
      </c>
      <c r="C178" t="s">
        <v>7088</v>
      </c>
      <c r="D178">
        <v>1</v>
      </c>
      <c r="E178" t="s">
        <v>9455</v>
      </c>
    </row>
    <row r="179" spans="2:5">
      <c r="B179" t="s">
        <v>7089</v>
      </c>
      <c r="C179" t="s">
        <v>7090</v>
      </c>
      <c r="D179">
        <v>10</v>
      </c>
      <c r="E179" t="s">
        <v>5395</v>
      </c>
    </row>
    <row r="180" spans="2:5">
      <c r="B180" t="s">
        <v>7091</v>
      </c>
      <c r="C180" t="s">
        <v>7092</v>
      </c>
      <c r="D180">
        <v>15</v>
      </c>
      <c r="E180" t="s">
        <v>5395</v>
      </c>
    </row>
    <row r="181" spans="2:5">
      <c r="B181" t="s">
        <v>7093</v>
      </c>
      <c r="C181" t="s">
        <v>7094</v>
      </c>
      <c r="D181">
        <v>24</v>
      </c>
      <c r="E181" t="s">
        <v>5395</v>
      </c>
    </row>
    <row r="182" spans="2:5">
      <c r="B182" t="s">
        <v>7095</v>
      </c>
      <c r="C182" t="s">
        <v>7096</v>
      </c>
      <c r="D182">
        <v>1</v>
      </c>
      <c r="E182" t="s">
        <v>9455</v>
      </c>
    </row>
    <row r="183" spans="2:5">
      <c r="B183" t="s">
        <v>7097</v>
      </c>
      <c r="C183" t="s">
        <v>7098</v>
      </c>
      <c r="D183">
        <v>46</v>
      </c>
      <c r="E183" t="s">
        <v>5395</v>
      </c>
    </row>
    <row r="184" spans="2:5">
      <c r="B184" t="s">
        <v>7099</v>
      </c>
      <c r="C184" t="s">
        <v>7100</v>
      </c>
      <c r="D184">
        <v>6</v>
      </c>
      <c r="E184" t="s">
        <v>9455</v>
      </c>
    </row>
    <row r="185" spans="2:5">
      <c r="B185" t="s">
        <v>7101</v>
      </c>
      <c r="C185" t="s">
        <v>7102</v>
      </c>
      <c r="D185">
        <v>7</v>
      </c>
      <c r="E185" t="s">
        <v>9455</v>
      </c>
    </row>
    <row r="186" spans="2:5">
      <c r="B186" t="s">
        <v>5614</v>
      </c>
      <c r="C186" t="s">
        <v>7103</v>
      </c>
      <c r="D186">
        <v>52</v>
      </c>
      <c r="E186" t="s">
        <v>9455</v>
      </c>
    </row>
    <row r="187" spans="2:5">
      <c r="B187" t="s">
        <v>7104</v>
      </c>
      <c r="C187" t="s">
        <v>7105</v>
      </c>
      <c r="D187">
        <v>3</v>
      </c>
      <c r="E187" t="s">
        <v>9455</v>
      </c>
    </row>
    <row r="188" spans="2:5">
      <c r="B188" t="s">
        <v>7106</v>
      </c>
      <c r="C188" t="s">
        <v>7107</v>
      </c>
      <c r="D188">
        <v>38</v>
      </c>
      <c r="E188" t="s">
        <v>5395</v>
      </c>
    </row>
    <row r="189" spans="2:5">
      <c r="B189" t="s">
        <v>7108</v>
      </c>
      <c r="C189" t="s">
        <v>7109</v>
      </c>
      <c r="D189">
        <v>11</v>
      </c>
      <c r="E189" t="s">
        <v>9455</v>
      </c>
    </row>
    <row r="190" spans="2:5">
      <c r="B190" t="s">
        <v>7110</v>
      </c>
      <c r="C190" t="s">
        <v>7111</v>
      </c>
      <c r="D190">
        <v>35</v>
      </c>
      <c r="E190" t="s">
        <v>5395</v>
      </c>
    </row>
    <row r="191" spans="2:5">
      <c r="B191" t="s">
        <v>7112</v>
      </c>
      <c r="C191" t="s">
        <v>7113</v>
      </c>
      <c r="D191">
        <v>1</v>
      </c>
      <c r="E191" t="s">
        <v>9455</v>
      </c>
    </row>
    <row r="192" spans="2:5">
      <c r="B192" t="s">
        <v>7114</v>
      </c>
      <c r="C192" t="s">
        <v>7115</v>
      </c>
      <c r="D192">
        <v>5</v>
      </c>
      <c r="E192" t="s">
        <v>9455</v>
      </c>
    </row>
    <row r="193" spans="2:5">
      <c r="B193" t="s">
        <v>7116</v>
      </c>
      <c r="C193" t="s">
        <v>7117</v>
      </c>
      <c r="D193">
        <v>10</v>
      </c>
      <c r="E193" t="s">
        <v>5395</v>
      </c>
    </row>
    <row r="194" spans="2:5">
      <c r="B194" t="s">
        <v>7118</v>
      </c>
      <c r="C194" t="s">
        <v>7119</v>
      </c>
      <c r="D194">
        <v>6</v>
      </c>
      <c r="E194" t="s">
        <v>9455</v>
      </c>
    </row>
    <row r="195" spans="2:5">
      <c r="B195" t="s">
        <v>7120</v>
      </c>
      <c r="C195" t="s">
        <v>7121</v>
      </c>
      <c r="D195">
        <v>10</v>
      </c>
      <c r="E195" t="s">
        <v>5395</v>
      </c>
    </row>
    <row r="196" spans="2:5">
      <c r="B196" t="s">
        <v>7122</v>
      </c>
      <c r="C196" t="s">
        <v>7123</v>
      </c>
      <c r="D196">
        <v>15</v>
      </c>
      <c r="E196" t="s">
        <v>9455</v>
      </c>
    </row>
    <row r="197" spans="2:5">
      <c r="B197" t="s">
        <v>7124</v>
      </c>
      <c r="C197" t="s">
        <v>7125</v>
      </c>
      <c r="D197">
        <v>19</v>
      </c>
      <c r="E197" t="s">
        <v>9452</v>
      </c>
    </row>
    <row r="198" spans="2:5">
      <c r="B198" t="s">
        <v>7126</v>
      </c>
      <c r="C198" t="s">
        <v>7127</v>
      </c>
      <c r="D198">
        <v>51</v>
      </c>
      <c r="E198" t="s">
        <v>5395</v>
      </c>
    </row>
    <row r="199" spans="2:5">
      <c r="B199" t="s">
        <v>7128</v>
      </c>
      <c r="C199" t="s">
        <v>7129</v>
      </c>
      <c r="D199">
        <v>3</v>
      </c>
      <c r="E199" t="s">
        <v>9455</v>
      </c>
    </row>
    <row r="200" spans="2:5">
      <c r="B200" t="s">
        <v>5621</v>
      </c>
      <c r="C200" t="s">
        <v>7130</v>
      </c>
      <c r="D200">
        <v>76</v>
      </c>
      <c r="E200" t="s">
        <v>9455</v>
      </c>
    </row>
    <row r="201" spans="2:5">
      <c r="B201" t="s">
        <v>7131</v>
      </c>
      <c r="C201" t="s">
        <v>7132</v>
      </c>
      <c r="D201">
        <v>1</v>
      </c>
      <c r="E201" t="s">
        <v>9455</v>
      </c>
    </row>
    <row r="202" spans="2:5">
      <c r="B202" t="s">
        <v>7133</v>
      </c>
      <c r="C202" t="s">
        <v>7134</v>
      </c>
      <c r="D202">
        <v>56</v>
      </c>
      <c r="E202" t="s">
        <v>5396</v>
      </c>
    </row>
    <row r="203" spans="2:5">
      <c r="B203" t="s">
        <v>7135</v>
      </c>
      <c r="C203" t="s">
        <v>7136</v>
      </c>
      <c r="D203">
        <v>4</v>
      </c>
      <c r="E203" t="s">
        <v>5396</v>
      </c>
    </row>
    <row r="204" spans="2:5">
      <c r="B204" t="s">
        <v>7137</v>
      </c>
      <c r="C204" t="s">
        <v>7138</v>
      </c>
      <c r="D204">
        <v>13</v>
      </c>
      <c r="E204" t="s">
        <v>9455</v>
      </c>
    </row>
    <row r="205" spans="2:5">
      <c r="B205" t="s">
        <v>7139</v>
      </c>
      <c r="C205" t="s">
        <v>7140</v>
      </c>
      <c r="D205">
        <v>40</v>
      </c>
      <c r="E205" t="s">
        <v>5395</v>
      </c>
    </row>
    <row r="206" spans="2:5">
      <c r="B206" t="s">
        <v>7141</v>
      </c>
      <c r="C206" t="s">
        <v>7142</v>
      </c>
      <c r="D206">
        <v>230</v>
      </c>
      <c r="E206" t="s">
        <v>5395</v>
      </c>
    </row>
    <row r="207" spans="2:5">
      <c r="B207" t="s">
        <v>7143</v>
      </c>
      <c r="C207" t="s">
        <v>7144</v>
      </c>
      <c r="D207">
        <v>10</v>
      </c>
      <c r="E207" t="s">
        <v>9452</v>
      </c>
    </row>
    <row r="208" spans="2:5">
      <c r="B208" t="s">
        <v>7145</v>
      </c>
      <c r="C208" t="s">
        <v>7146</v>
      </c>
      <c r="D208">
        <v>8</v>
      </c>
      <c r="E208" t="s">
        <v>9455</v>
      </c>
    </row>
    <row r="209" spans="2:5">
      <c r="B209" t="s">
        <v>7147</v>
      </c>
      <c r="C209" t="s">
        <v>7148</v>
      </c>
      <c r="D209">
        <v>10</v>
      </c>
      <c r="E209" t="s">
        <v>9455</v>
      </c>
    </row>
    <row r="210" spans="2:5">
      <c r="B210" t="s">
        <v>7149</v>
      </c>
      <c r="C210" t="s">
        <v>7034</v>
      </c>
      <c r="D210">
        <v>4</v>
      </c>
      <c r="E210" t="s">
        <v>9452</v>
      </c>
    </row>
    <row r="211" spans="2:5">
      <c r="B211" t="s">
        <v>7150</v>
      </c>
      <c r="C211" t="s">
        <v>7151</v>
      </c>
      <c r="D211">
        <v>36</v>
      </c>
      <c r="E211" t="s">
        <v>5395</v>
      </c>
    </row>
    <row r="212" spans="2:5">
      <c r="B212" t="s">
        <v>7152</v>
      </c>
      <c r="C212" t="s">
        <v>7153</v>
      </c>
      <c r="D212">
        <v>0</v>
      </c>
      <c r="E212" t="s">
        <v>9452</v>
      </c>
    </row>
    <row r="213" spans="2:5">
      <c r="B213" t="s">
        <v>7154</v>
      </c>
      <c r="C213" t="s">
        <v>7155</v>
      </c>
      <c r="D213">
        <v>0</v>
      </c>
      <c r="E213" t="s">
        <v>9452</v>
      </c>
    </row>
    <row r="214" spans="2:5">
      <c r="B214" t="s">
        <v>7156</v>
      </c>
      <c r="C214" t="s">
        <v>7157</v>
      </c>
      <c r="D214">
        <v>14</v>
      </c>
      <c r="E214" t="s">
        <v>9452</v>
      </c>
    </row>
    <row r="215" spans="2:5">
      <c r="B215" t="s">
        <v>5628</v>
      </c>
      <c r="C215" t="s">
        <v>7158</v>
      </c>
      <c r="D215">
        <v>18</v>
      </c>
      <c r="E215" t="s">
        <v>9452</v>
      </c>
    </row>
    <row r="216" spans="2:5">
      <c r="B216" t="s">
        <v>7159</v>
      </c>
      <c r="C216" t="s">
        <v>7160</v>
      </c>
      <c r="D216">
        <v>6</v>
      </c>
      <c r="E216" t="s">
        <v>9452</v>
      </c>
    </row>
    <row r="217" spans="2:5">
      <c r="B217" t="s">
        <v>7161</v>
      </c>
      <c r="C217" t="s">
        <v>7162</v>
      </c>
      <c r="D217">
        <v>2</v>
      </c>
      <c r="E217" t="s">
        <v>9452</v>
      </c>
    </row>
    <row r="218" spans="2:5">
      <c r="B218" t="s">
        <v>7163</v>
      </c>
      <c r="C218" t="s">
        <v>7164</v>
      </c>
      <c r="D218">
        <v>6</v>
      </c>
      <c r="E218" t="s">
        <v>9452</v>
      </c>
    </row>
    <row r="219" spans="2:5">
      <c r="B219" t="s">
        <v>7165</v>
      </c>
      <c r="C219" t="s">
        <v>7166</v>
      </c>
      <c r="D219">
        <v>5</v>
      </c>
      <c r="E219" t="s">
        <v>9452</v>
      </c>
    </row>
    <row r="220" spans="2:5">
      <c r="B220" t="s">
        <v>7167</v>
      </c>
      <c r="C220" t="s">
        <v>7168</v>
      </c>
      <c r="D220">
        <v>49</v>
      </c>
      <c r="E220" t="s">
        <v>5395</v>
      </c>
    </row>
    <row r="221" spans="2:5">
      <c r="B221" t="s">
        <v>7169</v>
      </c>
      <c r="C221" t="s">
        <v>7170</v>
      </c>
      <c r="D221">
        <v>72</v>
      </c>
      <c r="E221" t="s">
        <v>5395</v>
      </c>
    </row>
    <row r="222" spans="2:5">
      <c r="B222" t="s">
        <v>7171</v>
      </c>
      <c r="D222">
        <v>0</v>
      </c>
      <c r="E222" t="s">
        <v>137</v>
      </c>
    </row>
    <row r="223" spans="2:5">
      <c r="B223" t="s">
        <v>7172</v>
      </c>
      <c r="C223" t="s">
        <v>7173</v>
      </c>
      <c r="D223">
        <v>8</v>
      </c>
      <c r="E223" t="s">
        <v>5395</v>
      </c>
    </row>
    <row r="224" spans="2:5">
      <c r="B224" t="s">
        <v>7174</v>
      </c>
      <c r="C224" t="s">
        <v>7175</v>
      </c>
      <c r="D224">
        <v>1</v>
      </c>
      <c r="E224" t="s">
        <v>9452</v>
      </c>
    </row>
    <row r="225" spans="2:5">
      <c r="B225" t="s">
        <v>7176</v>
      </c>
      <c r="C225" t="s">
        <v>7177</v>
      </c>
      <c r="D225">
        <v>24</v>
      </c>
      <c r="E225" t="s">
        <v>9452</v>
      </c>
    </row>
    <row r="226" spans="2:5">
      <c r="B226" t="s">
        <v>7178</v>
      </c>
      <c r="C226" t="s">
        <v>7179</v>
      </c>
      <c r="D226">
        <v>11</v>
      </c>
      <c r="E226" t="s">
        <v>9452</v>
      </c>
    </row>
    <row r="227" spans="2:5">
      <c r="B227" t="s">
        <v>7180</v>
      </c>
      <c r="C227" t="s">
        <v>7181</v>
      </c>
      <c r="D227">
        <v>19</v>
      </c>
      <c r="E227" t="s">
        <v>9452</v>
      </c>
    </row>
    <row r="228" spans="2:5">
      <c r="B228" t="s">
        <v>7182</v>
      </c>
      <c r="C228" t="s">
        <v>7183</v>
      </c>
      <c r="D228">
        <v>48</v>
      </c>
      <c r="E228" t="s">
        <v>5395</v>
      </c>
    </row>
    <row r="229" spans="2:5">
      <c r="B229" t="s">
        <v>7184</v>
      </c>
      <c r="C229" t="s">
        <v>7185</v>
      </c>
      <c r="D229">
        <v>24</v>
      </c>
      <c r="E229" t="s">
        <v>9452</v>
      </c>
    </row>
    <row r="230" spans="2:5">
      <c r="B230" t="s">
        <v>7186</v>
      </c>
      <c r="C230" t="s">
        <v>7187</v>
      </c>
      <c r="D230">
        <v>29</v>
      </c>
      <c r="E230" t="s">
        <v>5395</v>
      </c>
    </row>
    <row r="231" spans="2:5">
      <c r="B231" t="s">
        <v>7188</v>
      </c>
      <c r="C231" t="s">
        <v>7189</v>
      </c>
      <c r="D231">
        <v>0</v>
      </c>
      <c r="E231" t="s">
        <v>9452</v>
      </c>
    </row>
    <row r="232" spans="2:5">
      <c r="B232" t="s">
        <v>7190</v>
      </c>
      <c r="C232" t="s">
        <v>7191</v>
      </c>
      <c r="D232">
        <v>134</v>
      </c>
      <c r="E232" t="s">
        <v>5395</v>
      </c>
    </row>
    <row r="233" spans="2:5">
      <c r="B233" t="s">
        <v>7192</v>
      </c>
      <c r="C233" t="s">
        <v>7193</v>
      </c>
      <c r="D233">
        <v>0</v>
      </c>
      <c r="E233" t="s">
        <v>9452</v>
      </c>
    </row>
    <row r="234" spans="2:5">
      <c r="B234" t="s">
        <v>5635</v>
      </c>
      <c r="C234" t="s">
        <v>7194</v>
      </c>
      <c r="D234">
        <v>94</v>
      </c>
      <c r="E234" t="s">
        <v>5395</v>
      </c>
    </row>
    <row r="235" spans="2:5">
      <c r="B235" t="s">
        <v>7195</v>
      </c>
      <c r="C235" t="s">
        <v>7196</v>
      </c>
      <c r="D235">
        <v>394</v>
      </c>
      <c r="E235" t="s">
        <v>5395</v>
      </c>
    </row>
    <row r="236" spans="2:5">
      <c r="B236" t="s">
        <v>7197</v>
      </c>
      <c r="C236" t="s">
        <v>7198</v>
      </c>
      <c r="D236">
        <v>3</v>
      </c>
      <c r="E236" t="s">
        <v>9452</v>
      </c>
    </row>
    <row r="237" spans="2:5">
      <c r="B237" t="s">
        <v>7199</v>
      </c>
      <c r="C237" t="s">
        <v>7200</v>
      </c>
      <c r="D237">
        <v>12</v>
      </c>
      <c r="E237" t="s">
        <v>9452</v>
      </c>
    </row>
    <row r="238" spans="2:5">
      <c r="B238" t="s">
        <v>7201</v>
      </c>
      <c r="C238" t="s">
        <v>7202</v>
      </c>
      <c r="D238">
        <v>1</v>
      </c>
      <c r="E238" t="s">
        <v>9452</v>
      </c>
    </row>
    <row r="239" spans="2:5">
      <c r="B239" t="s">
        <v>7203</v>
      </c>
      <c r="C239" t="s">
        <v>7204</v>
      </c>
      <c r="D239">
        <v>3</v>
      </c>
      <c r="E239" t="s">
        <v>9452</v>
      </c>
    </row>
    <row r="240" spans="2:5">
      <c r="B240" t="s">
        <v>7205</v>
      </c>
      <c r="C240" t="s">
        <v>7206</v>
      </c>
      <c r="D240">
        <v>28</v>
      </c>
      <c r="E240" t="s">
        <v>5395</v>
      </c>
    </row>
    <row r="241" spans="2:5">
      <c r="B241" t="s">
        <v>7207</v>
      </c>
      <c r="C241" t="s">
        <v>7208</v>
      </c>
      <c r="D241">
        <v>152</v>
      </c>
      <c r="E241" t="s">
        <v>5395</v>
      </c>
    </row>
    <row r="242" spans="2:5">
      <c r="B242" t="s">
        <v>7209</v>
      </c>
      <c r="C242" t="s">
        <v>7210</v>
      </c>
      <c r="D242">
        <v>80</v>
      </c>
      <c r="E242" t="s">
        <v>5395</v>
      </c>
    </row>
    <row r="243" spans="2:5">
      <c r="B243" t="s">
        <v>7211</v>
      </c>
      <c r="C243" t="s">
        <v>7212</v>
      </c>
      <c r="D243">
        <v>10</v>
      </c>
      <c r="E243" t="s">
        <v>9452</v>
      </c>
    </row>
    <row r="244" spans="2:5">
      <c r="B244" t="s">
        <v>7213</v>
      </c>
      <c r="C244" t="s">
        <v>7214</v>
      </c>
      <c r="D244">
        <v>4</v>
      </c>
      <c r="E244" t="s">
        <v>9452</v>
      </c>
    </row>
    <row r="245" spans="2:5">
      <c r="B245" t="s">
        <v>7215</v>
      </c>
      <c r="C245" t="s">
        <v>7216</v>
      </c>
      <c r="D245">
        <v>11</v>
      </c>
      <c r="E245" t="s">
        <v>5396</v>
      </c>
    </row>
    <row r="246" spans="2:5">
      <c r="B246" t="s">
        <v>7217</v>
      </c>
      <c r="C246" t="s">
        <v>7218</v>
      </c>
      <c r="D246">
        <v>3</v>
      </c>
      <c r="E246" t="s">
        <v>138</v>
      </c>
    </row>
    <row r="247" spans="2:5">
      <c r="B247" t="s">
        <v>7219</v>
      </c>
      <c r="C247" t="s">
        <v>7220</v>
      </c>
      <c r="D247">
        <v>10</v>
      </c>
      <c r="E247" t="s">
        <v>5395</v>
      </c>
    </row>
    <row r="248" spans="2:5">
      <c r="B248" t="s">
        <v>7221</v>
      </c>
      <c r="C248" t="s">
        <v>7222</v>
      </c>
      <c r="D248">
        <v>5</v>
      </c>
      <c r="E248" t="s">
        <v>9455</v>
      </c>
    </row>
    <row r="249" spans="2:5">
      <c r="B249" t="s">
        <v>7223</v>
      </c>
      <c r="D249">
        <v>0</v>
      </c>
      <c r="E249" t="s">
        <v>137</v>
      </c>
    </row>
    <row r="250" spans="2:5">
      <c r="B250" t="s">
        <v>7224</v>
      </c>
      <c r="C250" t="s">
        <v>7225</v>
      </c>
      <c r="D250">
        <v>35</v>
      </c>
      <c r="E250" t="s">
        <v>9455</v>
      </c>
    </row>
    <row r="251" spans="2:5">
      <c r="B251" t="s">
        <v>7226</v>
      </c>
      <c r="C251" t="s">
        <v>7227</v>
      </c>
      <c r="D251">
        <v>12</v>
      </c>
      <c r="E251" t="s">
        <v>5395</v>
      </c>
    </row>
    <row r="252" spans="2:5">
      <c r="B252" t="s">
        <v>7228</v>
      </c>
      <c r="C252" t="s">
        <v>7229</v>
      </c>
      <c r="D252">
        <v>38</v>
      </c>
      <c r="E252" t="s">
        <v>9455</v>
      </c>
    </row>
    <row r="253" spans="2:5">
      <c r="B253" t="s">
        <v>7230</v>
      </c>
      <c r="C253" t="s">
        <v>7231</v>
      </c>
      <c r="D253">
        <v>17</v>
      </c>
      <c r="E253" t="s">
        <v>9455</v>
      </c>
    </row>
    <row r="254" spans="2:5">
      <c r="B254" t="s">
        <v>7232</v>
      </c>
      <c r="C254" t="s">
        <v>7233</v>
      </c>
      <c r="D254">
        <v>133</v>
      </c>
      <c r="E254" t="s">
        <v>5395</v>
      </c>
    </row>
    <row r="255" spans="2:5">
      <c r="B255" t="s">
        <v>7234</v>
      </c>
      <c r="C255" t="s">
        <v>7235</v>
      </c>
      <c r="D255">
        <v>44</v>
      </c>
      <c r="E255" t="s">
        <v>9455</v>
      </c>
    </row>
    <row r="256" spans="2:5">
      <c r="B256" t="s">
        <v>7236</v>
      </c>
      <c r="C256" t="s">
        <v>7237</v>
      </c>
      <c r="D256">
        <v>7</v>
      </c>
      <c r="E256" t="s">
        <v>9455</v>
      </c>
    </row>
    <row r="257" spans="2:5">
      <c r="B257" t="s">
        <v>7238</v>
      </c>
      <c r="C257" t="s">
        <v>7239</v>
      </c>
      <c r="D257">
        <v>8</v>
      </c>
      <c r="E257" t="s">
        <v>9455</v>
      </c>
    </row>
    <row r="258" spans="2:5">
      <c r="B258" t="s">
        <v>7240</v>
      </c>
      <c r="D258">
        <v>0</v>
      </c>
      <c r="E258" t="s">
        <v>137</v>
      </c>
    </row>
    <row r="259" spans="2:5">
      <c r="B259" t="s">
        <v>7241</v>
      </c>
      <c r="C259" t="s">
        <v>7242</v>
      </c>
      <c r="D259">
        <v>0</v>
      </c>
      <c r="E259" t="s">
        <v>5395</v>
      </c>
    </row>
    <row r="260" spans="2:5">
      <c r="B260" t="s">
        <v>7243</v>
      </c>
      <c r="C260" t="s">
        <v>7244</v>
      </c>
      <c r="D260">
        <v>3</v>
      </c>
      <c r="E260" t="s">
        <v>9455</v>
      </c>
    </row>
    <row r="261" spans="2:5">
      <c r="B261" t="s">
        <v>5642</v>
      </c>
      <c r="C261" t="s">
        <v>7245</v>
      </c>
      <c r="D261">
        <v>5</v>
      </c>
      <c r="E261" t="s">
        <v>9455</v>
      </c>
    </row>
    <row r="262" spans="2:5">
      <c r="B262" t="s">
        <v>7246</v>
      </c>
      <c r="C262" t="s">
        <v>7247</v>
      </c>
      <c r="D262">
        <v>10</v>
      </c>
      <c r="E262" t="s">
        <v>5395</v>
      </c>
    </row>
    <row r="263" spans="2:5">
      <c r="B263" t="s">
        <v>7248</v>
      </c>
      <c r="C263" t="s">
        <v>7249</v>
      </c>
      <c r="D263">
        <v>349</v>
      </c>
      <c r="E263" t="s">
        <v>5395</v>
      </c>
    </row>
    <row r="264" spans="2:5">
      <c r="B264" t="s">
        <v>7250</v>
      </c>
      <c r="C264" t="s">
        <v>7251</v>
      </c>
      <c r="D264">
        <v>6</v>
      </c>
      <c r="E264" t="s">
        <v>138</v>
      </c>
    </row>
    <row r="265" spans="2:5">
      <c r="B265" t="s">
        <v>7252</v>
      </c>
      <c r="C265" t="s">
        <v>7253</v>
      </c>
      <c r="D265">
        <v>63</v>
      </c>
      <c r="E265" t="s">
        <v>5395</v>
      </c>
    </row>
    <row r="266" spans="2:5">
      <c r="B266" t="s">
        <v>7254</v>
      </c>
      <c r="C266" t="s">
        <v>7255</v>
      </c>
      <c r="D266">
        <v>27</v>
      </c>
      <c r="E266" t="s">
        <v>138</v>
      </c>
    </row>
    <row r="267" spans="2:5">
      <c r="B267" t="s">
        <v>7256</v>
      </c>
      <c r="C267" t="s">
        <v>7257</v>
      </c>
      <c r="D267">
        <v>51</v>
      </c>
      <c r="E267" t="s">
        <v>5395</v>
      </c>
    </row>
    <row r="268" spans="2:5">
      <c r="B268" t="s">
        <v>7258</v>
      </c>
      <c r="C268" t="s">
        <v>7259</v>
      </c>
      <c r="D268">
        <v>1</v>
      </c>
      <c r="E268" t="s">
        <v>9455</v>
      </c>
    </row>
    <row r="269" spans="2:5">
      <c r="B269" t="s">
        <v>7260</v>
      </c>
      <c r="C269" t="s">
        <v>7261</v>
      </c>
      <c r="D269">
        <v>240</v>
      </c>
      <c r="E269" t="s">
        <v>5395</v>
      </c>
    </row>
    <row r="270" spans="2:5">
      <c r="B270" t="s">
        <v>7262</v>
      </c>
      <c r="C270" t="s">
        <v>7263</v>
      </c>
      <c r="D270">
        <v>22</v>
      </c>
      <c r="E270" t="s">
        <v>5395</v>
      </c>
    </row>
    <row r="271" spans="2:5">
      <c r="B271" t="s">
        <v>5649</v>
      </c>
      <c r="C271" t="s">
        <v>7264</v>
      </c>
      <c r="D271">
        <v>50</v>
      </c>
      <c r="E271" t="s">
        <v>9452</v>
      </c>
    </row>
    <row r="272" spans="2:5">
      <c r="B272" t="s">
        <v>5655</v>
      </c>
      <c r="C272" t="s">
        <v>7265</v>
      </c>
      <c r="D272">
        <v>72</v>
      </c>
      <c r="E272" t="s">
        <v>9455</v>
      </c>
    </row>
    <row r="273" spans="2:5">
      <c r="B273" t="s">
        <v>5661</v>
      </c>
      <c r="C273" t="s">
        <v>7266</v>
      </c>
      <c r="D273">
        <v>32</v>
      </c>
      <c r="E273" t="s">
        <v>140</v>
      </c>
    </row>
    <row r="274" spans="2:5">
      <c r="B274" t="s">
        <v>5666</v>
      </c>
      <c r="C274" t="s">
        <v>7267</v>
      </c>
      <c r="D274">
        <v>15</v>
      </c>
      <c r="E274" t="s">
        <v>9455</v>
      </c>
    </row>
    <row r="275" spans="2:5">
      <c r="B275" t="s">
        <v>5672</v>
      </c>
      <c r="C275" t="s">
        <v>7268</v>
      </c>
      <c r="D275">
        <v>0</v>
      </c>
      <c r="E275" t="s">
        <v>138</v>
      </c>
    </row>
    <row r="276" spans="2:5">
      <c r="B276" t="s">
        <v>5678</v>
      </c>
      <c r="C276" t="s">
        <v>7269</v>
      </c>
      <c r="D276">
        <v>6</v>
      </c>
      <c r="E276" t="s">
        <v>9455</v>
      </c>
    </row>
    <row r="277" spans="2:5">
      <c r="B277" t="s">
        <v>5684</v>
      </c>
      <c r="C277" t="s">
        <v>7270</v>
      </c>
      <c r="D277">
        <v>10</v>
      </c>
      <c r="E277" t="s">
        <v>9452</v>
      </c>
    </row>
    <row r="278" spans="2:5">
      <c r="B278" t="s">
        <v>7271</v>
      </c>
      <c r="C278" t="s">
        <v>7272</v>
      </c>
      <c r="D278">
        <v>0</v>
      </c>
      <c r="E278" t="s">
        <v>9452</v>
      </c>
    </row>
    <row r="279" spans="2:5">
      <c r="B279" t="s">
        <v>5691</v>
      </c>
      <c r="C279" t="s">
        <v>7273</v>
      </c>
      <c r="D279">
        <v>73</v>
      </c>
      <c r="E279" t="s">
        <v>9452</v>
      </c>
    </row>
    <row r="280" spans="2:5">
      <c r="B280" t="s">
        <v>5698</v>
      </c>
      <c r="C280" t="s">
        <v>7274</v>
      </c>
      <c r="D280">
        <v>104</v>
      </c>
      <c r="E280" t="s">
        <v>9452</v>
      </c>
    </row>
    <row r="281" spans="2:5">
      <c r="B281" t="s">
        <v>5704</v>
      </c>
      <c r="C281" t="s">
        <v>7275</v>
      </c>
      <c r="D281">
        <v>13</v>
      </c>
      <c r="E281" t="s">
        <v>9452</v>
      </c>
    </row>
    <row r="282" spans="2:5">
      <c r="B282" t="s">
        <v>5710</v>
      </c>
      <c r="C282" t="s">
        <v>7276</v>
      </c>
      <c r="D282">
        <v>15</v>
      </c>
      <c r="E282" t="s">
        <v>5396</v>
      </c>
    </row>
    <row r="283" spans="2:5">
      <c r="B283" t="s">
        <v>5716</v>
      </c>
      <c r="C283" t="s">
        <v>7277</v>
      </c>
      <c r="D283">
        <v>44</v>
      </c>
      <c r="E283" t="s">
        <v>9452</v>
      </c>
    </row>
    <row r="284" spans="2:5">
      <c r="B284" t="s">
        <v>5721</v>
      </c>
      <c r="C284" t="s">
        <v>7278</v>
      </c>
      <c r="D284">
        <v>33</v>
      </c>
      <c r="E284" t="s">
        <v>138</v>
      </c>
    </row>
    <row r="285" spans="2:5">
      <c r="B285" t="s">
        <v>5728</v>
      </c>
      <c r="C285" t="s">
        <v>7279</v>
      </c>
      <c r="D285">
        <v>3</v>
      </c>
      <c r="E285" t="s">
        <v>9452</v>
      </c>
    </row>
    <row r="286" spans="2:5">
      <c r="B286" t="s">
        <v>5735</v>
      </c>
      <c r="C286" t="s">
        <v>7280</v>
      </c>
      <c r="D286">
        <v>13</v>
      </c>
      <c r="E286" t="s">
        <v>138</v>
      </c>
    </row>
    <row r="287" spans="2:5">
      <c r="B287" t="s">
        <v>5741</v>
      </c>
      <c r="C287" t="s">
        <v>7281</v>
      </c>
      <c r="D287">
        <v>4</v>
      </c>
      <c r="E287" t="s">
        <v>9452</v>
      </c>
    </row>
    <row r="288" spans="2:5">
      <c r="B288" t="s">
        <v>5747</v>
      </c>
      <c r="C288" t="s">
        <v>7282</v>
      </c>
      <c r="D288">
        <v>8</v>
      </c>
      <c r="E288" t="s">
        <v>9452</v>
      </c>
    </row>
    <row r="289" spans="2:5">
      <c r="B289" t="s">
        <v>5754</v>
      </c>
      <c r="C289" t="s">
        <v>7283</v>
      </c>
      <c r="D289">
        <v>2</v>
      </c>
      <c r="E289" t="s">
        <v>9452</v>
      </c>
    </row>
    <row r="290" spans="2:5">
      <c r="B290" t="s">
        <v>5760</v>
      </c>
      <c r="C290" t="s">
        <v>7284</v>
      </c>
      <c r="D290">
        <v>47</v>
      </c>
      <c r="E290" t="s">
        <v>9452</v>
      </c>
    </row>
    <row r="291" spans="2:5">
      <c r="B291" t="s">
        <v>5766</v>
      </c>
      <c r="C291" t="s">
        <v>7285</v>
      </c>
      <c r="D291">
        <v>14</v>
      </c>
      <c r="E291" t="s">
        <v>9452</v>
      </c>
    </row>
    <row r="292" spans="2:5">
      <c r="B292" t="s">
        <v>5772</v>
      </c>
      <c r="C292" t="s">
        <v>7286</v>
      </c>
      <c r="D292">
        <v>6</v>
      </c>
      <c r="E292" t="s">
        <v>9452</v>
      </c>
    </row>
    <row r="293" spans="2:5">
      <c r="B293" t="s">
        <v>5778</v>
      </c>
      <c r="C293" t="s">
        <v>7287</v>
      </c>
      <c r="D293">
        <v>17</v>
      </c>
      <c r="E293" t="s">
        <v>9452</v>
      </c>
    </row>
    <row r="294" spans="2:5">
      <c r="B294" t="s">
        <v>7288</v>
      </c>
      <c r="C294" t="s">
        <v>7289</v>
      </c>
      <c r="D294">
        <v>29</v>
      </c>
      <c r="E294" t="s">
        <v>138</v>
      </c>
    </row>
    <row r="295" spans="2:5">
      <c r="B295" t="s">
        <v>7290</v>
      </c>
      <c r="C295" t="s">
        <v>7291</v>
      </c>
      <c r="D295">
        <v>1</v>
      </c>
      <c r="E295" t="s">
        <v>138</v>
      </c>
    </row>
    <row r="296" spans="2:5">
      <c r="B296" t="s">
        <v>7292</v>
      </c>
      <c r="C296" t="s">
        <v>7293</v>
      </c>
      <c r="D296">
        <v>5</v>
      </c>
      <c r="E296" t="s">
        <v>9452</v>
      </c>
    </row>
    <row r="297" spans="2:5">
      <c r="B297" t="s">
        <v>5784</v>
      </c>
      <c r="C297" t="s">
        <v>7294</v>
      </c>
      <c r="D297">
        <v>11</v>
      </c>
      <c r="E297" t="s">
        <v>9452</v>
      </c>
    </row>
    <row r="298" spans="2:5">
      <c r="B298" t="s">
        <v>5790</v>
      </c>
      <c r="C298" t="s">
        <v>7295</v>
      </c>
      <c r="D298">
        <v>29</v>
      </c>
      <c r="E298" t="s">
        <v>9452</v>
      </c>
    </row>
    <row r="299" spans="2:5">
      <c r="B299" t="s">
        <v>5797</v>
      </c>
      <c r="C299" t="s">
        <v>7296</v>
      </c>
      <c r="D299">
        <v>76</v>
      </c>
      <c r="E299" t="s">
        <v>9452</v>
      </c>
    </row>
    <row r="300" spans="2:5">
      <c r="B300" t="s">
        <v>7297</v>
      </c>
      <c r="C300" t="s">
        <v>7298</v>
      </c>
      <c r="D300">
        <v>7</v>
      </c>
      <c r="E300" t="s">
        <v>9452</v>
      </c>
    </row>
    <row r="301" spans="2:5">
      <c r="B301" t="s">
        <v>5803</v>
      </c>
      <c r="C301" t="s">
        <v>7299</v>
      </c>
      <c r="D301">
        <v>22</v>
      </c>
      <c r="E301" t="s">
        <v>5390</v>
      </c>
    </row>
    <row r="302" spans="2:5">
      <c r="B302" t="s">
        <v>5810</v>
      </c>
      <c r="C302" t="s">
        <v>7300</v>
      </c>
      <c r="D302">
        <v>104</v>
      </c>
      <c r="E302" t="s">
        <v>5395</v>
      </c>
    </row>
    <row r="303" spans="2:5">
      <c r="B303" t="s">
        <v>5816</v>
      </c>
      <c r="C303" t="s">
        <v>7301</v>
      </c>
      <c r="D303">
        <v>43</v>
      </c>
      <c r="E303" t="s">
        <v>9452</v>
      </c>
    </row>
    <row r="304" spans="2:5">
      <c r="B304" t="s">
        <v>5822</v>
      </c>
      <c r="C304" t="s">
        <v>7302</v>
      </c>
      <c r="D304">
        <v>75</v>
      </c>
      <c r="E304" t="s">
        <v>140</v>
      </c>
    </row>
    <row r="305" spans="2:5">
      <c r="B305" t="s">
        <v>5828</v>
      </c>
      <c r="C305" t="s">
        <v>7303</v>
      </c>
      <c r="D305">
        <v>13</v>
      </c>
      <c r="E305" t="s">
        <v>9452</v>
      </c>
    </row>
    <row r="306" spans="2:5">
      <c r="B306" t="s">
        <v>5835</v>
      </c>
      <c r="C306" t="s">
        <v>7304</v>
      </c>
      <c r="D306">
        <v>76</v>
      </c>
      <c r="E306" t="s">
        <v>9448</v>
      </c>
    </row>
    <row r="307" spans="2:5">
      <c r="B307" t="s">
        <v>7305</v>
      </c>
      <c r="C307" t="s">
        <v>7306</v>
      </c>
      <c r="D307">
        <v>11</v>
      </c>
      <c r="E307" t="s">
        <v>5395</v>
      </c>
    </row>
    <row r="308" spans="2:5">
      <c r="B308" t="s">
        <v>7307</v>
      </c>
      <c r="C308" t="s">
        <v>7308</v>
      </c>
      <c r="D308">
        <v>0</v>
      </c>
      <c r="E308" t="s">
        <v>138</v>
      </c>
    </row>
    <row r="309" spans="2:5">
      <c r="B309" t="s">
        <v>5841</v>
      </c>
      <c r="C309" t="s">
        <v>7309</v>
      </c>
      <c r="D309">
        <v>40</v>
      </c>
      <c r="E309" t="s">
        <v>138</v>
      </c>
    </row>
    <row r="310" spans="2:5">
      <c r="B310" t="s">
        <v>5845</v>
      </c>
      <c r="C310" t="s">
        <v>7194</v>
      </c>
      <c r="D310">
        <v>94</v>
      </c>
      <c r="E310" t="s">
        <v>9448</v>
      </c>
    </row>
    <row r="311" spans="2:5">
      <c r="B311" t="s">
        <v>5851</v>
      </c>
      <c r="C311" t="s">
        <v>7310</v>
      </c>
      <c r="D311">
        <v>19</v>
      </c>
      <c r="E311" t="s">
        <v>5395</v>
      </c>
    </row>
    <row r="312" spans="2:5">
      <c r="B312" t="s">
        <v>7311</v>
      </c>
      <c r="C312" t="s">
        <v>7312</v>
      </c>
      <c r="D312">
        <v>0</v>
      </c>
      <c r="E312" t="s">
        <v>138</v>
      </c>
    </row>
    <row r="313" spans="2:5">
      <c r="B313" t="s">
        <v>5857</v>
      </c>
      <c r="C313" t="s">
        <v>7313</v>
      </c>
      <c r="D313">
        <v>55</v>
      </c>
      <c r="E313" t="s">
        <v>138</v>
      </c>
    </row>
    <row r="314" spans="2:5">
      <c r="B314" t="s">
        <v>5863</v>
      </c>
      <c r="C314" t="s">
        <v>7314</v>
      </c>
      <c r="D314">
        <v>0</v>
      </c>
      <c r="E314" t="s">
        <v>138</v>
      </c>
    </row>
    <row r="315" spans="2:5">
      <c r="B315" t="s">
        <v>7315</v>
      </c>
      <c r="C315" t="s">
        <v>7316</v>
      </c>
      <c r="D315">
        <v>40</v>
      </c>
      <c r="E315" t="s">
        <v>5395</v>
      </c>
    </row>
    <row r="316" spans="2:5">
      <c r="B316" t="s">
        <v>5870</v>
      </c>
      <c r="C316" t="s">
        <v>7317</v>
      </c>
      <c r="D316">
        <v>58</v>
      </c>
      <c r="E316" t="s">
        <v>138</v>
      </c>
    </row>
    <row r="317" spans="2:5">
      <c r="B317" t="s">
        <v>5876</v>
      </c>
      <c r="C317" t="s">
        <v>7318</v>
      </c>
      <c r="D317">
        <v>78</v>
      </c>
      <c r="E317" t="s">
        <v>138</v>
      </c>
    </row>
    <row r="318" spans="2:5">
      <c r="B318" t="s">
        <v>5882</v>
      </c>
      <c r="C318" t="s">
        <v>7319</v>
      </c>
      <c r="D318">
        <v>8</v>
      </c>
      <c r="E318" t="s">
        <v>138</v>
      </c>
    </row>
    <row r="319" spans="2:5">
      <c r="B319" t="s">
        <v>5888</v>
      </c>
      <c r="C319" t="s">
        <v>7320</v>
      </c>
      <c r="D319">
        <v>49</v>
      </c>
      <c r="E319" t="s">
        <v>9455</v>
      </c>
    </row>
    <row r="320" spans="2:5">
      <c r="B320" t="s">
        <v>5894</v>
      </c>
      <c r="C320" t="s">
        <v>7321</v>
      </c>
      <c r="D320">
        <v>221</v>
      </c>
      <c r="E320" t="s">
        <v>9455</v>
      </c>
    </row>
    <row r="321" spans="2:5">
      <c r="B321" t="s">
        <v>7322</v>
      </c>
      <c r="C321" t="s">
        <v>7323</v>
      </c>
      <c r="D321">
        <v>8</v>
      </c>
      <c r="E321" t="s">
        <v>5395</v>
      </c>
    </row>
    <row r="322" spans="2:5">
      <c r="B322" t="s">
        <v>7324</v>
      </c>
      <c r="C322" t="s">
        <v>7325</v>
      </c>
      <c r="D322">
        <v>0</v>
      </c>
      <c r="E322" t="s">
        <v>138</v>
      </c>
    </row>
    <row r="323" spans="2:5">
      <c r="B323" t="s">
        <v>7326</v>
      </c>
      <c r="C323" t="s">
        <v>7327</v>
      </c>
      <c r="D323">
        <v>0</v>
      </c>
      <c r="E323" t="s">
        <v>138</v>
      </c>
    </row>
    <row r="324" spans="2:5">
      <c r="B324" t="s">
        <v>7328</v>
      </c>
      <c r="D324">
        <v>0</v>
      </c>
      <c r="E324" t="s">
        <v>137</v>
      </c>
    </row>
    <row r="325" spans="2:5">
      <c r="B325" t="s">
        <v>7329</v>
      </c>
      <c r="D325">
        <v>0</v>
      </c>
      <c r="E325" t="s">
        <v>137</v>
      </c>
    </row>
    <row r="326" spans="2:5">
      <c r="B326" t="s">
        <v>7330</v>
      </c>
      <c r="C326" t="s">
        <v>7331</v>
      </c>
      <c r="D326">
        <v>0</v>
      </c>
      <c r="E326" t="s">
        <v>9455</v>
      </c>
    </row>
    <row r="327" spans="2:5">
      <c r="B327" t="s">
        <v>7332</v>
      </c>
      <c r="C327" t="s">
        <v>7333</v>
      </c>
      <c r="D327">
        <v>40</v>
      </c>
      <c r="E327" t="s">
        <v>138</v>
      </c>
    </row>
    <row r="328" spans="2:5">
      <c r="B328" t="s">
        <v>7334</v>
      </c>
      <c r="C328" t="s">
        <v>7335</v>
      </c>
      <c r="D328">
        <v>0</v>
      </c>
      <c r="E328" t="s">
        <v>138</v>
      </c>
    </row>
    <row r="329" spans="2:5">
      <c r="B329" t="s">
        <v>7336</v>
      </c>
      <c r="D329">
        <v>0</v>
      </c>
      <c r="E329" t="s">
        <v>137</v>
      </c>
    </row>
    <row r="330" spans="2:5">
      <c r="B330" t="s">
        <v>7337</v>
      </c>
      <c r="D330">
        <v>0</v>
      </c>
      <c r="E330" t="s">
        <v>137</v>
      </c>
    </row>
    <row r="331" spans="2:5">
      <c r="B331" t="s">
        <v>7338</v>
      </c>
      <c r="C331" t="s">
        <v>7339</v>
      </c>
      <c r="D331">
        <v>26</v>
      </c>
      <c r="E331" t="s">
        <v>5395</v>
      </c>
    </row>
    <row r="332" spans="2:5">
      <c r="B332" t="s">
        <v>7340</v>
      </c>
      <c r="C332" t="s">
        <v>7341</v>
      </c>
      <c r="D332">
        <v>0</v>
      </c>
      <c r="E332" t="s">
        <v>9455</v>
      </c>
    </row>
    <row r="333" spans="2:5">
      <c r="B333" t="s">
        <v>7342</v>
      </c>
      <c r="C333" t="s">
        <v>7343</v>
      </c>
      <c r="D333">
        <v>0</v>
      </c>
      <c r="E333" t="s">
        <v>9455</v>
      </c>
    </row>
    <row r="334" spans="2:5">
      <c r="B334" t="s">
        <v>7344</v>
      </c>
      <c r="D334">
        <v>0</v>
      </c>
      <c r="E334" t="s">
        <v>137</v>
      </c>
    </row>
    <row r="335" spans="2:5">
      <c r="B335" t="s">
        <v>7345</v>
      </c>
      <c r="C335" t="s">
        <v>7346</v>
      </c>
      <c r="D335">
        <v>0</v>
      </c>
      <c r="E335" t="s">
        <v>138</v>
      </c>
    </row>
    <row r="336" spans="2:5">
      <c r="B336" t="s">
        <v>7347</v>
      </c>
      <c r="C336" t="s">
        <v>7348</v>
      </c>
      <c r="D336">
        <v>0</v>
      </c>
      <c r="E336" t="s">
        <v>138</v>
      </c>
    </row>
    <row r="337" spans="2:5">
      <c r="B337" t="s">
        <v>7349</v>
      </c>
      <c r="C337" t="s">
        <v>7350</v>
      </c>
      <c r="D337">
        <v>2</v>
      </c>
      <c r="E337" t="s">
        <v>138</v>
      </c>
    </row>
    <row r="338" spans="2:5">
      <c r="B338" t="s">
        <v>7351</v>
      </c>
      <c r="D338">
        <v>0</v>
      </c>
      <c r="E338" t="s">
        <v>137</v>
      </c>
    </row>
    <row r="339" spans="2:5">
      <c r="B339" t="s">
        <v>7352</v>
      </c>
      <c r="C339" t="s">
        <v>7353</v>
      </c>
      <c r="D339">
        <v>2</v>
      </c>
      <c r="E339" t="s">
        <v>5396</v>
      </c>
    </row>
    <row r="340" spans="2:5">
      <c r="B340" t="s">
        <v>7354</v>
      </c>
      <c r="C340" t="s">
        <v>7355</v>
      </c>
      <c r="D340">
        <v>0</v>
      </c>
      <c r="E340" t="s">
        <v>138</v>
      </c>
    </row>
    <row r="341" spans="2:5">
      <c r="B341" t="s">
        <v>7356</v>
      </c>
      <c r="D341">
        <v>0</v>
      </c>
      <c r="E341" t="s">
        <v>137</v>
      </c>
    </row>
    <row r="342" spans="2:5">
      <c r="B342" t="s">
        <v>7357</v>
      </c>
      <c r="C342" t="s">
        <v>7358</v>
      </c>
      <c r="D342">
        <v>0</v>
      </c>
      <c r="E342" t="s">
        <v>5396</v>
      </c>
    </row>
    <row r="343" spans="2:5">
      <c r="B343" t="s">
        <v>7359</v>
      </c>
      <c r="C343" t="s">
        <v>7360</v>
      </c>
      <c r="D343">
        <v>6</v>
      </c>
      <c r="E343" t="s">
        <v>5396</v>
      </c>
    </row>
    <row r="344" spans="2:5">
      <c r="B344" t="s">
        <v>7361</v>
      </c>
      <c r="C344" t="s">
        <v>7362</v>
      </c>
      <c r="D344">
        <v>0</v>
      </c>
      <c r="E344" t="s">
        <v>138</v>
      </c>
    </row>
    <row r="345" spans="2:5">
      <c r="B345" t="s">
        <v>7363</v>
      </c>
      <c r="C345" t="s">
        <v>7364</v>
      </c>
      <c r="D345">
        <v>0</v>
      </c>
      <c r="E345" t="s">
        <v>138</v>
      </c>
    </row>
    <row r="346" spans="2:5">
      <c r="B346" t="s">
        <v>7365</v>
      </c>
      <c r="C346" t="s">
        <v>7366</v>
      </c>
      <c r="D346">
        <v>0</v>
      </c>
      <c r="E346" t="s">
        <v>137</v>
      </c>
    </row>
    <row r="347" spans="2:5">
      <c r="B347" t="s">
        <v>7367</v>
      </c>
      <c r="D347">
        <v>0</v>
      </c>
      <c r="E347" t="s">
        <v>137</v>
      </c>
    </row>
    <row r="348" spans="2:5">
      <c r="B348" t="s">
        <v>7368</v>
      </c>
      <c r="D348">
        <v>0</v>
      </c>
      <c r="E348" t="s">
        <v>137</v>
      </c>
    </row>
    <row r="349" spans="2:5">
      <c r="B349" t="s">
        <v>7369</v>
      </c>
      <c r="D349">
        <v>0</v>
      </c>
      <c r="E349" t="s">
        <v>137</v>
      </c>
    </row>
    <row r="350" spans="2:5">
      <c r="B350" t="s">
        <v>7370</v>
      </c>
      <c r="C350" t="s">
        <v>7371</v>
      </c>
      <c r="D350">
        <v>0</v>
      </c>
      <c r="E350" t="s">
        <v>9455</v>
      </c>
    </row>
    <row r="351" spans="2:5">
      <c r="B351" t="s">
        <v>7372</v>
      </c>
      <c r="C351" t="s">
        <v>7373</v>
      </c>
      <c r="D351">
        <v>96</v>
      </c>
      <c r="E351" t="s">
        <v>5395</v>
      </c>
    </row>
    <row r="352" spans="2:5">
      <c r="B352" t="s">
        <v>7374</v>
      </c>
      <c r="C352" t="s">
        <v>7375</v>
      </c>
      <c r="D352">
        <v>0</v>
      </c>
      <c r="E352" t="s">
        <v>138</v>
      </c>
    </row>
    <row r="353" spans="2:5">
      <c r="B353" t="s">
        <v>7376</v>
      </c>
      <c r="C353" t="s">
        <v>7377</v>
      </c>
      <c r="D353">
        <v>0</v>
      </c>
      <c r="E353" t="s">
        <v>9455</v>
      </c>
    </row>
    <row r="354" spans="2:5">
      <c r="B354" t="s">
        <v>7378</v>
      </c>
      <c r="C354" t="s">
        <v>7379</v>
      </c>
      <c r="D354">
        <v>0</v>
      </c>
      <c r="E354" t="s">
        <v>9455</v>
      </c>
    </row>
    <row r="355" spans="2:5">
      <c r="B355" t="s">
        <v>7380</v>
      </c>
      <c r="C355" t="s">
        <v>7381</v>
      </c>
      <c r="D355">
        <v>1</v>
      </c>
      <c r="E355" t="s">
        <v>9455</v>
      </c>
    </row>
    <row r="356" spans="2:5">
      <c r="B356" t="s">
        <v>7382</v>
      </c>
      <c r="C356" t="s">
        <v>7383</v>
      </c>
      <c r="D356">
        <v>5</v>
      </c>
      <c r="E356" t="s">
        <v>5396</v>
      </c>
    </row>
    <row r="357" spans="2:5">
      <c r="B357" t="s">
        <v>7384</v>
      </c>
      <c r="C357" t="s">
        <v>7385</v>
      </c>
      <c r="D357">
        <v>4</v>
      </c>
      <c r="E357" t="s">
        <v>9455</v>
      </c>
    </row>
    <row r="358" spans="2:5">
      <c r="B358" t="s">
        <v>7386</v>
      </c>
      <c r="C358" t="s">
        <v>7387</v>
      </c>
      <c r="D358">
        <v>39</v>
      </c>
      <c r="E358" t="s">
        <v>9455</v>
      </c>
    </row>
    <row r="359" spans="2:5">
      <c r="B359" t="s">
        <v>7388</v>
      </c>
      <c r="C359" t="s">
        <v>7389</v>
      </c>
      <c r="D359">
        <v>2</v>
      </c>
      <c r="E359" t="s">
        <v>9455</v>
      </c>
    </row>
    <row r="360" spans="2:5">
      <c r="B360" t="s">
        <v>7390</v>
      </c>
      <c r="C360" t="s">
        <v>7391</v>
      </c>
      <c r="D360">
        <v>17</v>
      </c>
      <c r="E360" t="s">
        <v>9455</v>
      </c>
    </row>
    <row r="361" spans="2:5">
      <c r="B361" t="s">
        <v>7392</v>
      </c>
      <c r="C361" t="s">
        <v>7393</v>
      </c>
      <c r="D361">
        <v>16</v>
      </c>
      <c r="E361" t="s">
        <v>9455</v>
      </c>
    </row>
    <row r="362" spans="2:5">
      <c r="B362" t="s">
        <v>7394</v>
      </c>
      <c r="C362" t="s">
        <v>7395</v>
      </c>
      <c r="D362">
        <v>6</v>
      </c>
      <c r="E362" t="s">
        <v>9455</v>
      </c>
    </row>
    <row r="363" spans="2:5">
      <c r="B363" t="s">
        <v>7396</v>
      </c>
      <c r="C363" t="s">
        <v>7397</v>
      </c>
      <c r="D363">
        <v>1</v>
      </c>
      <c r="E363" t="s">
        <v>9455</v>
      </c>
    </row>
    <row r="364" spans="2:5">
      <c r="B364" t="s">
        <v>7398</v>
      </c>
      <c r="C364" t="s">
        <v>7399</v>
      </c>
      <c r="D364">
        <v>3</v>
      </c>
      <c r="E364" t="s">
        <v>9455</v>
      </c>
    </row>
    <row r="365" spans="2:5">
      <c r="B365" t="s">
        <v>7400</v>
      </c>
      <c r="C365" t="s">
        <v>7401</v>
      </c>
      <c r="D365">
        <v>3</v>
      </c>
      <c r="E365" t="s">
        <v>9455</v>
      </c>
    </row>
    <row r="366" spans="2:5">
      <c r="B366" t="s">
        <v>7402</v>
      </c>
      <c r="C366" t="s">
        <v>7403</v>
      </c>
      <c r="D366">
        <v>4</v>
      </c>
      <c r="E366" t="s">
        <v>9455</v>
      </c>
    </row>
    <row r="367" spans="2:5">
      <c r="B367" t="s">
        <v>7404</v>
      </c>
      <c r="C367" t="s">
        <v>7405</v>
      </c>
      <c r="D367">
        <v>0</v>
      </c>
      <c r="E367" t="s">
        <v>138</v>
      </c>
    </row>
    <row r="368" spans="2:5">
      <c r="B368" t="s">
        <v>7406</v>
      </c>
      <c r="C368" t="s">
        <v>7407</v>
      </c>
      <c r="D368">
        <v>12</v>
      </c>
      <c r="E368" t="s">
        <v>9455</v>
      </c>
    </row>
    <row r="369" spans="2:5">
      <c r="B369" t="s">
        <v>7408</v>
      </c>
      <c r="C369" t="s">
        <v>7409</v>
      </c>
      <c r="D369">
        <v>6</v>
      </c>
      <c r="E369" t="s">
        <v>9455</v>
      </c>
    </row>
    <row r="370" spans="2:5">
      <c r="B370" t="s">
        <v>7410</v>
      </c>
      <c r="C370" t="s">
        <v>7411</v>
      </c>
      <c r="D370">
        <v>0</v>
      </c>
      <c r="E370" t="s">
        <v>9455</v>
      </c>
    </row>
    <row r="371" spans="2:5">
      <c r="B371" t="s">
        <v>7412</v>
      </c>
      <c r="C371" t="s">
        <v>7413</v>
      </c>
      <c r="D371">
        <v>0</v>
      </c>
      <c r="E371" t="s">
        <v>9455</v>
      </c>
    </row>
    <row r="372" spans="2:5">
      <c r="B372" t="s">
        <v>7414</v>
      </c>
      <c r="C372" t="s">
        <v>7415</v>
      </c>
      <c r="D372">
        <v>5</v>
      </c>
      <c r="E372" t="s">
        <v>9455</v>
      </c>
    </row>
    <row r="373" spans="2:5">
      <c r="B373" t="s">
        <v>7416</v>
      </c>
      <c r="C373" t="s">
        <v>7417</v>
      </c>
      <c r="D373">
        <v>9</v>
      </c>
      <c r="E373" t="s">
        <v>138</v>
      </c>
    </row>
    <row r="374" spans="2:5">
      <c r="B374" t="s">
        <v>7418</v>
      </c>
      <c r="C374" t="s">
        <v>7419</v>
      </c>
      <c r="D374">
        <v>0</v>
      </c>
      <c r="E374" t="s">
        <v>9455</v>
      </c>
    </row>
    <row r="375" spans="2:5">
      <c r="B375" t="s">
        <v>7420</v>
      </c>
      <c r="C375" t="s">
        <v>7421</v>
      </c>
      <c r="D375">
        <v>1</v>
      </c>
      <c r="E375" t="s">
        <v>9455</v>
      </c>
    </row>
    <row r="376" spans="2:5">
      <c r="B376" t="s">
        <v>7422</v>
      </c>
      <c r="C376" t="s">
        <v>7423</v>
      </c>
      <c r="D376">
        <v>5</v>
      </c>
      <c r="E376" t="s">
        <v>9455</v>
      </c>
    </row>
    <row r="377" spans="2:5">
      <c r="B377" t="s">
        <v>7424</v>
      </c>
      <c r="C377" t="s">
        <v>7425</v>
      </c>
      <c r="D377">
        <v>2</v>
      </c>
      <c r="E377" t="s">
        <v>9455</v>
      </c>
    </row>
    <row r="378" spans="2:5">
      <c r="B378" t="s">
        <v>7426</v>
      </c>
      <c r="C378" t="s">
        <v>7427</v>
      </c>
      <c r="D378">
        <v>0</v>
      </c>
      <c r="E378" t="s">
        <v>9457</v>
      </c>
    </row>
    <row r="379" spans="2:5">
      <c r="B379" t="s">
        <v>7428</v>
      </c>
      <c r="C379" t="s">
        <v>7429</v>
      </c>
      <c r="D379">
        <v>0</v>
      </c>
      <c r="E379" t="s">
        <v>9455</v>
      </c>
    </row>
    <row r="380" spans="2:5">
      <c r="B380" t="s">
        <v>7430</v>
      </c>
      <c r="C380" t="s">
        <v>7431</v>
      </c>
      <c r="D380">
        <v>0</v>
      </c>
      <c r="E380" t="s">
        <v>9455</v>
      </c>
    </row>
    <row r="381" spans="2:5">
      <c r="B381" t="s">
        <v>7432</v>
      </c>
      <c r="C381" t="s">
        <v>7433</v>
      </c>
      <c r="D381">
        <v>49</v>
      </c>
      <c r="E381" t="s">
        <v>9458</v>
      </c>
    </row>
    <row r="382" spans="2:5">
      <c r="B382" t="s">
        <v>7434</v>
      </c>
      <c r="C382" t="s">
        <v>7435</v>
      </c>
      <c r="D382">
        <v>1</v>
      </c>
      <c r="E382" t="s">
        <v>9455</v>
      </c>
    </row>
    <row r="383" spans="2:5">
      <c r="B383" t="s">
        <v>7436</v>
      </c>
      <c r="C383" t="s">
        <v>7437</v>
      </c>
      <c r="D383">
        <v>3</v>
      </c>
      <c r="E383" t="s">
        <v>9455</v>
      </c>
    </row>
    <row r="384" spans="2:5">
      <c r="B384" t="s">
        <v>7438</v>
      </c>
      <c r="C384" t="s">
        <v>7439</v>
      </c>
      <c r="D384">
        <v>0</v>
      </c>
      <c r="E384" t="s">
        <v>5396</v>
      </c>
    </row>
    <row r="385" spans="2:5">
      <c r="B385" t="s">
        <v>7440</v>
      </c>
      <c r="C385" t="s">
        <v>7441</v>
      </c>
      <c r="D385">
        <v>0</v>
      </c>
      <c r="E385" t="s">
        <v>5396</v>
      </c>
    </row>
    <row r="386" spans="2:5">
      <c r="B386" t="s">
        <v>7442</v>
      </c>
      <c r="C386" t="s">
        <v>7443</v>
      </c>
      <c r="D386">
        <v>4</v>
      </c>
      <c r="E386" t="s">
        <v>9455</v>
      </c>
    </row>
    <row r="387" spans="2:5">
      <c r="B387" t="s">
        <v>7444</v>
      </c>
      <c r="C387" t="s">
        <v>7445</v>
      </c>
      <c r="D387">
        <v>9</v>
      </c>
      <c r="E387" t="s">
        <v>9455</v>
      </c>
    </row>
    <row r="388" spans="2:5">
      <c r="B388" t="s">
        <v>7446</v>
      </c>
      <c r="C388" t="s">
        <v>7447</v>
      </c>
      <c r="D388">
        <v>4</v>
      </c>
      <c r="E388" t="s">
        <v>5396</v>
      </c>
    </row>
    <row r="389" spans="2:5">
      <c r="B389" t="s">
        <v>7448</v>
      </c>
      <c r="C389" t="s">
        <v>7449</v>
      </c>
      <c r="D389">
        <v>5</v>
      </c>
      <c r="E389" t="s">
        <v>5396</v>
      </c>
    </row>
    <row r="390" spans="2:5">
      <c r="B390" t="s">
        <v>7450</v>
      </c>
      <c r="C390" t="s">
        <v>7451</v>
      </c>
      <c r="D390">
        <v>0</v>
      </c>
      <c r="E390" t="s">
        <v>9455</v>
      </c>
    </row>
    <row r="391" spans="2:5">
      <c r="B391" t="s">
        <v>7452</v>
      </c>
      <c r="C391" t="s">
        <v>7453</v>
      </c>
      <c r="D391">
        <v>7</v>
      </c>
      <c r="E391" t="s">
        <v>9455</v>
      </c>
    </row>
    <row r="392" spans="2:5">
      <c r="B392" t="s">
        <v>7454</v>
      </c>
      <c r="D392">
        <v>0</v>
      </c>
      <c r="E392" t="s">
        <v>137</v>
      </c>
    </row>
    <row r="393" spans="2:5">
      <c r="B393" t="s">
        <v>7455</v>
      </c>
      <c r="C393" t="s">
        <v>7456</v>
      </c>
      <c r="D393">
        <v>0</v>
      </c>
      <c r="E393" t="s">
        <v>9455</v>
      </c>
    </row>
    <row r="394" spans="2:5">
      <c r="B394" t="s">
        <v>7457</v>
      </c>
      <c r="C394" t="s">
        <v>7458</v>
      </c>
      <c r="D394">
        <v>17</v>
      </c>
      <c r="E394" t="s">
        <v>9455</v>
      </c>
    </row>
    <row r="395" spans="2:5">
      <c r="B395" t="s">
        <v>7459</v>
      </c>
      <c r="C395" t="s">
        <v>7460</v>
      </c>
      <c r="D395">
        <v>3</v>
      </c>
      <c r="E395" t="s">
        <v>9455</v>
      </c>
    </row>
    <row r="396" spans="2:5">
      <c r="B396" t="s">
        <v>7461</v>
      </c>
      <c r="C396" t="s">
        <v>7074</v>
      </c>
      <c r="D396">
        <v>0</v>
      </c>
      <c r="E396" t="s">
        <v>5395</v>
      </c>
    </row>
    <row r="397" spans="2:5">
      <c r="B397" t="s">
        <v>7462</v>
      </c>
      <c r="D397">
        <v>0</v>
      </c>
      <c r="E397" t="s">
        <v>137</v>
      </c>
    </row>
    <row r="398" spans="2:5">
      <c r="B398" t="s">
        <v>7463</v>
      </c>
      <c r="C398" t="s">
        <v>7464</v>
      </c>
      <c r="D398">
        <v>2</v>
      </c>
      <c r="E398" t="s">
        <v>5385</v>
      </c>
    </row>
    <row r="399" spans="2:5">
      <c r="B399" t="s">
        <v>5900</v>
      </c>
      <c r="C399" t="s">
        <v>7465</v>
      </c>
      <c r="D399">
        <v>15</v>
      </c>
      <c r="E399" t="s">
        <v>9448</v>
      </c>
    </row>
    <row r="400" spans="2:5">
      <c r="B400" t="s">
        <v>7466</v>
      </c>
      <c r="C400" t="s">
        <v>7467</v>
      </c>
      <c r="D400">
        <v>1</v>
      </c>
      <c r="E400" t="s">
        <v>5385</v>
      </c>
    </row>
    <row r="401" spans="2:5">
      <c r="B401" t="s">
        <v>7468</v>
      </c>
      <c r="C401" t="s">
        <v>7469</v>
      </c>
      <c r="D401">
        <v>1</v>
      </c>
      <c r="E401" t="s">
        <v>5385</v>
      </c>
    </row>
    <row r="402" spans="2:5">
      <c r="B402" t="s">
        <v>7470</v>
      </c>
      <c r="C402" t="s">
        <v>7471</v>
      </c>
      <c r="D402">
        <v>10</v>
      </c>
      <c r="E402" t="s">
        <v>5385</v>
      </c>
    </row>
    <row r="403" spans="2:5">
      <c r="B403" t="s">
        <v>7472</v>
      </c>
      <c r="C403" t="s">
        <v>7473</v>
      </c>
      <c r="D403">
        <v>2</v>
      </c>
      <c r="E403" t="s">
        <v>5385</v>
      </c>
    </row>
    <row r="404" spans="2:5">
      <c r="B404" t="s">
        <v>7474</v>
      </c>
      <c r="C404" t="s">
        <v>7475</v>
      </c>
      <c r="D404">
        <v>0</v>
      </c>
      <c r="E404" t="s">
        <v>5385</v>
      </c>
    </row>
    <row r="405" spans="2:5">
      <c r="B405" t="s">
        <v>7476</v>
      </c>
      <c r="C405" t="s">
        <v>7477</v>
      </c>
      <c r="D405">
        <v>17</v>
      </c>
      <c r="E405" t="s">
        <v>138</v>
      </c>
    </row>
    <row r="406" spans="2:5">
      <c r="B406" t="s">
        <v>7478</v>
      </c>
      <c r="C406" t="s">
        <v>7479</v>
      </c>
      <c r="D406">
        <v>8</v>
      </c>
      <c r="E406" t="s">
        <v>5385</v>
      </c>
    </row>
    <row r="407" spans="2:5">
      <c r="B407" t="s">
        <v>7480</v>
      </c>
      <c r="C407" t="s">
        <v>7481</v>
      </c>
      <c r="D407">
        <v>1</v>
      </c>
      <c r="E407" t="s">
        <v>138</v>
      </c>
    </row>
    <row r="408" spans="2:5">
      <c r="B408" t="s">
        <v>7482</v>
      </c>
      <c r="C408" t="s">
        <v>7483</v>
      </c>
      <c r="D408">
        <v>5</v>
      </c>
      <c r="E408" t="s">
        <v>138</v>
      </c>
    </row>
    <row r="409" spans="2:5">
      <c r="B409" t="s">
        <v>7484</v>
      </c>
      <c r="C409" t="s">
        <v>7485</v>
      </c>
      <c r="D409">
        <v>13</v>
      </c>
      <c r="E409" t="s">
        <v>138</v>
      </c>
    </row>
    <row r="410" spans="2:5">
      <c r="B410" t="s">
        <v>7486</v>
      </c>
      <c r="C410" t="s">
        <v>7487</v>
      </c>
      <c r="D410">
        <v>14</v>
      </c>
      <c r="E410" t="s">
        <v>138</v>
      </c>
    </row>
    <row r="411" spans="2:5">
      <c r="B411" t="s">
        <v>7488</v>
      </c>
      <c r="C411" t="s">
        <v>7489</v>
      </c>
      <c r="D411">
        <v>4</v>
      </c>
      <c r="E411" t="s">
        <v>138</v>
      </c>
    </row>
    <row r="412" spans="2:5">
      <c r="B412" t="s">
        <v>7490</v>
      </c>
      <c r="C412" t="s">
        <v>7491</v>
      </c>
      <c r="D412">
        <v>9</v>
      </c>
      <c r="E412" t="s">
        <v>138</v>
      </c>
    </row>
    <row r="413" spans="2:5">
      <c r="B413" t="s">
        <v>7492</v>
      </c>
      <c r="C413" t="s">
        <v>7493</v>
      </c>
      <c r="D413">
        <v>3</v>
      </c>
      <c r="E413" t="s">
        <v>138</v>
      </c>
    </row>
    <row r="414" spans="2:5">
      <c r="B414" t="s">
        <v>7494</v>
      </c>
      <c r="C414" t="s">
        <v>7495</v>
      </c>
      <c r="D414">
        <v>21</v>
      </c>
      <c r="E414" t="s">
        <v>9458</v>
      </c>
    </row>
    <row r="415" spans="2:5">
      <c r="B415" t="s">
        <v>7496</v>
      </c>
      <c r="C415" t="s">
        <v>7497</v>
      </c>
      <c r="D415">
        <v>11</v>
      </c>
      <c r="E415" t="s">
        <v>9458</v>
      </c>
    </row>
    <row r="416" spans="2:5">
      <c r="B416" t="s">
        <v>7498</v>
      </c>
      <c r="C416" t="s">
        <v>7499</v>
      </c>
      <c r="D416">
        <v>16</v>
      </c>
      <c r="E416" t="s">
        <v>9458</v>
      </c>
    </row>
    <row r="417" spans="2:5">
      <c r="B417" t="s">
        <v>7500</v>
      </c>
      <c r="C417" t="s">
        <v>7501</v>
      </c>
      <c r="D417">
        <v>0</v>
      </c>
      <c r="E417" t="s">
        <v>9458</v>
      </c>
    </row>
    <row r="418" spans="2:5">
      <c r="B418" t="s">
        <v>7502</v>
      </c>
      <c r="C418" t="s">
        <v>7503</v>
      </c>
      <c r="D418">
        <v>1</v>
      </c>
      <c r="E418" t="s">
        <v>9458</v>
      </c>
    </row>
    <row r="419" spans="2:5">
      <c r="B419" t="s">
        <v>7504</v>
      </c>
      <c r="C419" t="s">
        <v>7505</v>
      </c>
      <c r="D419">
        <v>4</v>
      </c>
      <c r="E419" t="s">
        <v>9458</v>
      </c>
    </row>
    <row r="420" spans="2:5">
      <c r="B420" t="s">
        <v>7506</v>
      </c>
      <c r="C420" t="s">
        <v>7507</v>
      </c>
      <c r="D420">
        <v>2</v>
      </c>
      <c r="E420" t="s">
        <v>9458</v>
      </c>
    </row>
    <row r="421" spans="2:5">
      <c r="B421" t="s">
        <v>7508</v>
      </c>
      <c r="C421" t="s">
        <v>7509</v>
      </c>
      <c r="D421">
        <v>58</v>
      </c>
      <c r="E421" t="s">
        <v>140</v>
      </c>
    </row>
    <row r="422" spans="2:5">
      <c r="B422" t="s">
        <v>7510</v>
      </c>
      <c r="C422" t="s">
        <v>7511</v>
      </c>
      <c r="D422">
        <v>0</v>
      </c>
      <c r="E422" t="s">
        <v>138</v>
      </c>
    </row>
    <row r="423" spans="2:5">
      <c r="B423" t="s">
        <v>7512</v>
      </c>
      <c r="C423" t="s">
        <v>7513</v>
      </c>
      <c r="D423">
        <v>0</v>
      </c>
      <c r="E423" t="s">
        <v>138</v>
      </c>
    </row>
    <row r="424" spans="2:5">
      <c r="B424" t="s">
        <v>7514</v>
      </c>
      <c r="C424" t="s">
        <v>7515</v>
      </c>
      <c r="D424">
        <v>1</v>
      </c>
      <c r="E424" t="s">
        <v>138</v>
      </c>
    </row>
    <row r="425" spans="2:5">
      <c r="B425" t="s">
        <v>7516</v>
      </c>
      <c r="C425" t="s">
        <v>7517</v>
      </c>
      <c r="D425">
        <v>24</v>
      </c>
      <c r="E425" t="s">
        <v>5396</v>
      </c>
    </row>
    <row r="426" spans="2:5">
      <c r="B426" t="s">
        <v>7518</v>
      </c>
      <c r="C426" t="s">
        <v>7519</v>
      </c>
      <c r="D426">
        <v>10</v>
      </c>
      <c r="E426" t="s">
        <v>138</v>
      </c>
    </row>
    <row r="427" spans="2:5">
      <c r="B427" t="s">
        <v>7520</v>
      </c>
      <c r="C427" t="s">
        <v>7521</v>
      </c>
      <c r="D427">
        <v>11</v>
      </c>
      <c r="E427" t="s">
        <v>5396</v>
      </c>
    </row>
    <row r="428" spans="2:5">
      <c r="B428" t="s">
        <v>7522</v>
      </c>
      <c r="D428">
        <v>0</v>
      </c>
      <c r="E428" t="s">
        <v>137</v>
      </c>
    </row>
    <row r="429" spans="2:5">
      <c r="B429" t="s">
        <v>7523</v>
      </c>
      <c r="C429" t="s">
        <v>7524</v>
      </c>
      <c r="D429">
        <v>4</v>
      </c>
      <c r="E429" t="s">
        <v>138</v>
      </c>
    </row>
    <row r="430" spans="2:5">
      <c r="B430" t="s">
        <v>7525</v>
      </c>
      <c r="C430" t="s">
        <v>7526</v>
      </c>
      <c r="D430">
        <v>5</v>
      </c>
      <c r="E430" t="s">
        <v>9458</v>
      </c>
    </row>
    <row r="431" spans="2:5">
      <c r="B431" t="s">
        <v>7527</v>
      </c>
      <c r="C431" t="s">
        <v>7528</v>
      </c>
      <c r="D431">
        <v>18</v>
      </c>
      <c r="E431" t="s">
        <v>9458</v>
      </c>
    </row>
    <row r="432" spans="2:5">
      <c r="B432" t="s">
        <v>5906</v>
      </c>
      <c r="C432" t="s">
        <v>7529</v>
      </c>
      <c r="D432">
        <v>158</v>
      </c>
      <c r="E432" t="s">
        <v>138</v>
      </c>
    </row>
    <row r="433" spans="2:5">
      <c r="B433" t="s">
        <v>7530</v>
      </c>
      <c r="C433" t="s">
        <v>7531</v>
      </c>
      <c r="D433">
        <v>6</v>
      </c>
      <c r="E433" t="s">
        <v>138</v>
      </c>
    </row>
    <row r="434" spans="2:5">
      <c r="B434" t="s">
        <v>7532</v>
      </c>
      <c r="C434" t="s">
        <v>7533</v>
      </c>
      <c r="D434">
        <v>0</v>
      </c>
      <c r="E434" t="s">
        <v>138</v>
      </c>
    </row>
    <row r="435" spans="2:5">
      <c r="B435" t="s">
        <v>7534</v>
      </c>
      <c r="C435" t="s">
        <v>7535</v>
      </c>
      <c r="D435">
        <v>1</v>
      </c>
      <c r="E435" t="s">
        <v>138</v>
      </c>
    </row>
    <row r="436" spans="2:5">
      <c r="B436" t="s">
        <v>7536</v>
      </c>
      <c r="C436" t="s">
        <v>7537</v>
      </c>
      <c r="D436">
        <v>4</v>
      </c>
      <c r="E436" t="s">
        <v>9458</v>
      </c>
    </row>
    <row r="437" spans="2:5">
      <c r="B437" t="s">
        <v>7538</v>
      </c>
      <c r="C437" t="s">
        <v>7539</v>
      </c>
      <c r="D437">
        <v>0</v>
      </c>
      <c r="E437" t="s">
        <v>137</v>
      </c>
    </row>
    <row r="438" spans="2:5">
      <c r="B438" t="s">
        <v>7540</v>
      </c>
      <c r="C438" t="s">
        <v>7541</v>
      </c>
      <c r="D438">
        <v>0</v>
      </c>
      <c r="E438" t="s">
        <v>9458</v>
      </c>
    </row>
    <row r="439" spans="2:5">
      <c r="B439" t="s">
        <v>7542</v>
      </c>
      <c r="C439" t="s">
        <v>7543</v>
      </c>
      <c r="D439">
        <v>0</v>
      </c>
      <c r="E439" t="s">
        <v>137</v>
      </c>
    </row>
    <row r="440" spans="2:5">
      <c r="B440" t="s">
        <v>7544</v>
      </c>
      <c r="C440" t="s">
        <v>7545</v>
      </c>
      <c r="D440">
        <v>0</v>
      </c>
      <c r="E440" t="s">
        <v>9458</v>
      </c>
    </row>
    <row r="441" spans="2:5">
      <c r="B441" t="s">
        <v>7546</v>
      </c>
      <c r="C441" t="s">
        <v>7547</v>
      </c>
      <c r="D441">
        <v>23</v>
      </c>
      <c r="E441" t="s">
        <v>5395</v>
      </c>
    </row>
    <row r="442" spans="2:5">
      <c r="B442" t="s">
        <v>7548</v>
      </c>
      <c r="C442" t="s">
        <v>7549</v>
      </c>
      <c r="D442">
        <v>0</v>
      </c>
      <c r="E442" t="s">
        <v>138</v>
      </c>
    </row>
    <row r="443" spans="2:5">
      <c r="B443" t="s">
        <v>7550</v>
      </c>
      <c r="C443" t="s">
        <v>7551</v>
      </c>
      <c r="D443">
        <v>12</v>
      </c>
      <c r="E443" t="s">
        <v>5394</v>
      </c>
    </row>
    <row r="444" spans="2:5">
      <c r="B444" t="s">
        <v>7552</v>
      </c>
      <c r="C444" t="s">
        <v>7553</v>
      </c>
      <c r="D444">
        <v>0</v>
      </c>
      <c r="E444" t="s">
        <v>9458</v>
      </c>
    </row>
    <row r="445" spans="2:5">
      <c r="B445" t="s">
        <v>7554</v>
      </c>
      <c r="C445" t="s">
        <v>7555</v>
      </c>
      <c r="D445">
        <v>0</v>
      </c>
      <c r="E445" t="s">
        <v>9458</v>
      </c>
    </row>
    <row r="446" spans="2:5">
      <c r="B446" t="s">
        <v>5913</v>
      </c>
      <c r="C446" t="s">
        <v>7556</v>
      </c>
      <c r="D446">
        <v>2</v>
      </c>
      <c r="E446" t="s">
        <v>9448</v>
      </c>
    </row>
    <row r="447" spans="2:5">
      <c r="B447" t="s">
        <v>7557</v>
      </c>
      <c r="C447" t="s">
        <v>7558</v>
      </c>
      <c r="D447">
        <v>5</v>
      </c>
      <c r="E447" t="s">
        <v>9458</v>
      </c>
    </row>
    <row r="448" spans="2:5">
      <c r="B448" t="s">
        <v>7559</v>
      </c>
      <c r="C448" t="s">
        <v>7560</v>
      </c>
      <c r="D448">
        <v>0</v>
      </c>
      <c r="E448" t="s">
        <v>9458</v>
      </c>
    </row>
    <row r="449" spans="2:5">
      <c r="B449" t="s">
        <v>7561</v>
      </c>
      <c r="C449" t="s">
        <v>7562</v>
      </c>
      <c r="D449">
        <v>35</v>
      </c>
      <c r="E449" t="s">
        <v>5395</v>
      </c>
    </row>
    <row r="450" spans="2:5">
      <c r="B450" t="s">
        <v>7563</v>
      </c>
      <c r="C450" t="s">
        <v>7564</v>
      </c>
      <c r="D450">
        <v>4</v>
      </c>
      <c r="E450" t="s">
        <v>9458</v>
      </c>
    </row>
    <row r="451" spans="2:5">
      <c r="B451" t="s">
        <v>7565</v>
      </c>
      <c r="C451" t="s">
        <v>7566</v>
      </c>
      <c r="D451">
        <v>4</v>
      </c>
      <c r="E451" t="s">
        <v>5396</v>
      </c>
    </row>
    <row r="452" spans="2:5">
      <c r="B452" t="s">
        <v>7567</v>
      </c>
      <c r="C452" t="s">
        <v>7568</v>
      </c>
      <c r="D452">
        <v>0</v>
      </c>
      <c r="E452" t="s">
        <v>5394</v>
      </c>
    </row>
    <row r="453" spans="2:5">
      <c r="B453" t="s">
        <v>7569</v>
      </c>
      <c r="C453" t="s">
        <v>7570</v>
      </c>
      <c r="D453">
        <v>5</v>
      </c>
      <c r="E453" t="s">
        <v>5394</v>
      </c>
    </row>
    <row r="454" spans="2:5">
      <c r="B454" t="s">
        <v>7571</v>
      </c>
      <c r="C454" t="s">
        <v>7572</v>
      </c>
      <c r="D454">
        <v>0</v>
      </c>
      <c r="E454" t="s">
        <v>138</v>
      </c>
    </row>
    <row r="455" spans="2:5">
      <c r="B455" t="s">
        <v>7573</v>
      </c>
      <c r="C455" t="s">
        <v>7574</v>
      </c>
      <c r="D455">
        <v>0</v>
      </c>
      <c r="E455" t="s">
        <v>138</v>
      </c>
    </row>
    <row r="456" spans="2:5">
      <c r="B456" t="s">
        <v>7575</v>
      </c>
      <c r="C456" t="s">
        <v>7576</v>
      </c>
      <c r="D456">
        <v>3</v>
      </c>
      <c r="E456" t="s">
        <v>9458</v>
      </c>
    </row>
    <row r="457" spans="2:5">
      <c r="B457" t="s">
        <v>7577</v>
      </c>
      <c r="C457" t="s">
        <v>7578</v>
      </c>
      <c r="D457">
        <v>4</v>
      </c>
      <c r="E457" t="s">
        <v>9458</v>
      </c>
    </row>
    <row r="458" spans="2:5">
      <c r="B458" t="s">
        <v>7579</v>
      </c>
      <c r="C458" t="s">
        <v>7580</v>
      </c>
      <c r="D458">
        <v>2</v>
      </c>
      <c r="E458" t="s">
        <v>5385</v>
      </c>
    </row>
    <row r="459" spans="2:5">
      <c r="B459" t="s">
        <v>7581</v>
      </c>
      <c r="C459" t="s">
        <v>7582</v>
      </c>
      <c r="D459">
        <v>6</v>
      </c>
      <c r="E459" t="s">
        <v>138</v>
      </c>
    </row>
    <row r="460" spans="2:5">
      <c r="B460" t="s">
        <v>7583</v>
      </c>
      <c r="C460" t="s">
        <v>7584</v>
      </c>
      <c r="D460">
        <v>3</v>
      </c>
      <c r="E460" t="s">
        <v>9458</v>
      </c>
    </row>
    <row r="461" spans="2:5">
      <c r="B461" t="s">
        <v>7585</v>
      </c>
      <c r="C461" t="s">
        <v>7586</v>
      </c>
      <c r="D461">
        <v>2</v>
      </c>
      <c r="E461" t="s">
        <v>9458</v>
      </c>
    </row>
    <row r="462" spans="2:5">
      <c r="B462" t="s">
        <v>7587</v>
      </c>
      <c r="C462" t="s">
        <v>7588</v>
      </c>
      <c r="D462">
        <v>0</v>
      </c>
      <c r="E462" t="s">
        <v>9458</v>
      </c>
    </row>
    <row r="463" spans="2:5">
      <c r="B463" t="s">
        <v>7589</v>
      </c>
      <c r="C463" t="s">
        <v>7590</v>
      </c>
      <c r="D463">
        <v>5</v>
      </c>
      <c r="E463" t="s">
        <v>9458</v>
      </c>
    </row>
    <row r="464" spans="2:5">
      <c r="B464" t="s">
        <v>7591</v>
      </c>
      <c r="C464" t="s">
        <v>7592</v>
      </c>
      <c r="D464">
        <v>0</v>
      </c>
      <c r="E464" t="s">
        <v>5396</v>
      </c>
    </row>
    <row r="465" spans="2:5">
      <c r="B465" t="s">
        <v>7593</v>
      </c>
      <c r="C465" t="s">
        <v>7594</v>
      </c>
      <c r="D465">
        <v>8</v>
      </c>
      <c r="E465" t="s">
        <v>9458</v>
      </c>
    </row>
    <row r="466" spans="2:5">
      <c r="B466" t="s">
        <v>7595</v>
      </c>
      <c r="C466" t="s">
        <v>7596</v>
      </c>
      <c r="D466">
        <v>0</v>
      </c>
      <c r="E466" t="s">
        <v>138</v>
      </c>
    </row>
    <row r="467" spans="2:5">
      <c r="B467" t="s">
        <v>7597</v>
      </c>
      <c r="C467" t="s">
        <v>7598</v>
      </c>
      <c r="D467">
        <v>0</v>
      </c>
      <c r="E467" t="s">
        <v>9458</v>
      </c>
    </row>
    <row r="468" spans="2:5">
      <c r="B468" t="s">
        <v>7599</v>
      </c>
      <c r="C468" t="s">
        <v>7600</v>
      </c>
      <c r="D468">
        <v>0</v>
      </c>
      <c r="E468" t="s">
        <v>9458</v>
      </c>
    </row>
    <row r="469" spans="2:5">
      <c r="B469" t="s">
        <v>7601</v>
      </c>
      <c r="C469" t="s">
        <v>7602</v>
      </c>
      <c r="D469">
        <v>1</v>
      </c>
      <c r="E469" t="s">
        <v>9458</v>
      </c>
    </row>
    <row r="470" spans="2:5">
      <c r="B470" t="s">
        <v>7603</v>
      </c>
      <c r="C470" t="s">
        <v>7604</v>
      </c>
      <c r="D470">
        <v>1</v>
      </c>
      <c r="E470" t="s">
        <v>138</v>
      </c>
    </row>
    <row r="471" spans="2:5">
      <c r="B471" t="s">
        <v>7605</v>
      </c>
      <c r="C471" t="s">
        <v>7606</v>
      </c>
      <c r="D471">
        <v>0</v>
      </c>
      <c r="E471" t="s">
        <v>9458</v>
      </c>
    </row>
    <row r="472" spans="2:5">
      <c r="B472" t="s">
        <v>7607</v>
      </c>
      <c r="C472" t="s">
        <v>7608</v>
      </c>
      <c r="D472">
        <v>8</v>
      </c>
      <c r="E472" t="s">
        <v>138</v>
      </c>
    </row>
    <row r="473" spans="2:5">
      <c r="B473" t="s">
        <v>7609</v>
      </c>
      <c r="C473" t="s">
        <v>7610</v>
      </c>
      <c r="D473">
        <v>0</v>
      </c>
      <c r="E473" t="s">
        <v>5396</v>
      </c>
    </row>
    <row r="474" spans="2:5">
      <c r="B474" t="s">
        <v>7611</v>
      </c>
      <c r="C474" t="s">
        <v>7612</v>
      </c>
      <c r="D474">
        <v>154</v>
      </c>
      <c r="E474" t="s">
        <v>5394</v>
      </c>
    </row>
    <row r="475" spans="2:5">
      <c r="B475" t="s">
        <v>7613</v>
      </c>
      <c r="C475" t="s">
        <v>7614</v>
      </c>
      <c r="D475">
        <v>1</v>
      </c>
      <c r="E475" t="s">
        <v>138</v>
      </c>
    </row>
    <row r="476" spans="2:5">
      <c r="B476" t="s">
        <v>7615</v>
      </c>
      <c r="C476" t="s">
        <v>7616</v>
      </c>
      <c r="D476">
        <v>5</v>
      </c>
      <c r="E476" t="s">
        <v>9458</v>
      </c>
    </row>
    <row r="477" spans="2:5">
      <c r="B477" t="s">
        <v>7617</v>
      </c>
      <c r="C477" t="s">
        <v>7618</v>
      </c>
      <c r="D477">
        <v>0</v>
      </c>
      <c r="E477" t="s">
        <v>9458</v>
      </c>
    </row>
    <row r="478" spans="2:5">
      <c r="B478" t="s">
        <v>7619</v>
      </c>
      <c r="C478" t="s">
        <v>7620</v>
      </c>
      <c r="D478">
        <v>0</v>
      </c>
      <c r="E478" t="s">
        <v>138</v>
      </c>
    </row>
    <row r="479" spans="2:5">
      <c r="B479" t="s">
        <v>7621</v>
      </c>
      <c r="C479" t="s">
        <v>7622</v>
      </c>
      <c r="D479">
        <v>15</v>
      </c>
      <c r="E479" t="s">
        <v>5394</v>
      </c>
    </row>
    <row r="480" spans="2:5">
      <c r="B480" t="s">
        <v>7623</v>
      </c>
      <c r="C480" t="s">
        <v>7624</v>
      </c>
      <c r="D480">
        <v>0</v>
      </c>
      <c r="E480" t="s">
        <v>138</v>
      </c>
    </row>
    <row r="481" spans="2:5">
      <c r="B481" t="s">
        <v>7625</v>
      </c>
      <c r="C481" t="s">
        <v>7626</v>
      </c>
      <c r="D481">
        <v>0</v>
      </c>
      <c r="E481" t="s">
        <v>9458</v>
      </c>
    </row>
    <row r="482" spans="2:5">
      <c r="B482" t="s">
        <v>7627</v>
      </c>
      <c r="C482" t="s">
        <v>7628</v>
      </c>
      <c r="D482">
        <v>8</v>
      </c>
      <c r="E482" t="s">
        <v>5394</v>
      </c>
    </row>
    <row r="483" spans="2:5">
      <c r="B483" t="s">
        <v>7629</v>
      </c>
      <c r="C483" t="s">
        <v>7630</v>
      </c>
      <c r="D483">
        <v>0</v>
      </c>
      <c r="E483" t="s">
        <v>138</v>
      </c>
    </row>
    <row r="484" spans="2:5">
      <c r="B484" t="s">
        <v>7631</v>
      </c>
      <c r="C484" t="s">
        <v>7632</v>
      </c>
      <c r="D484">
        <v>19</v>
      </c>
      <c r="E484" t="s">
        <v>5394</v>
      </c>
    </row>
    <row r="485" spans="2:5">
      <c r="B485" t="s">
        <v>5920</v>
      </c>
      <c r="C485" t="s">
        <v>7633</v>
      </c>
      <c r="D485">
        <v>3</v>
      </c>
      <c r="E485" t="s">
        <v>137</v>
      </c>
    </row>
    <row r="486" spans="2:5">
      <c r="B486" t="s">
        <v>7634</v>
      </c>
      <c r="C486" t="s">
        <v>7635</v>
      </c>
      <c r="D486">
        <v>1</v>
      </c>
      <c r="E486" t="s">
        <v>9458</v>
      </c>
    </row>
    <row r="487" spans="2:5">
      <c r="B487" t="s">
        <v>7636</v>
      </c>
      <c r="C487" t="s">
        <v>7637</v>
      </c>
      <c r="D487">
        <v>4</v>
      </c>
      <c r="E487" t="s">
        <v>9458</v>
      </c>
    </row>
    <row r="488" spans="2:5">
      <c r="B488" t="s">
        <v>5927</v>
      </c>
      <c r="C488" t="s">
        <v>7638</v>
      </c>
      <c r="D488">
        <v>26</v>
      </c>
      <c r="E488" t="s">
        <v>9458</v>
      </c>
    </row>
    <row r="489" spans="2:5">
      <c r="B489" t="s">
        <v>7639</v>
      </c>
      <c r="C489" t="s">
        <v>7640</v>
      </c>
      <c r="D489">
        <v>7</v>
      </c>
      <c r="E489" t="s">
        <v>9458</v>
      </c>
    </row>
    <row r="490" spans="2:5">
      <c r="B490" t="s">
        <v>7641</v>
      </c>
      <c r="C490" t="s">
        <v>7642</v>
      </c>
      <c r="D490">
        <v>0</v>
      </c>
      <c r="E490" t="s">
        <v>9458</v>
      </c>
    </row>
    <row r="491" spans="2:5">
      <c r="B491" t="s">
        <v>7643</v>
      </c>
      <c r="C491" t="s">
        <v>7644</v>
      </c>
      <c r="D491">
        <v>3</v>
      </c>
      <c r="E491" t="s">
        <v>9458</v>
      </c>
    </row>
    <row r="492" spans="2:5">
      <c r="B492" t="s">
        <v>7645</v>
      </c>
      <c r="C492" t="s">
        <v>7646</v>
      </c>
      <c r="D492">
        <v>12</v>
      </c>
      <c r="E492" t="s">
        <v>138</v>
      </c>
    </row>
    <row r="493" spans="2:5">
      <c r="B493" t="s">
        <v>7647</v>
      </c>
      <c r="C493" t="s">
        <v>7648</v>
      </c>
      <c r="D493">
        <v>6</v>
      </c>
      <c r="E493" t="s">
        <v>140</v>
      </c>
    </row>
    <row r="494" spans="2:5">
      <c r="B494" t="s">
        <v>7649</v>
      </c>
      <c r="C494" t="s">
        <v>7650</v>
      </c>
      <c r="D494">
        <v>6</v>
      </c>
      <c r="E494" t="s">
        <v>9458</v>
      </c>
    </row>
    <row r="495" spans="2:5">
      <c r="B495" t="s">
        <v>7651</v>
      </c>
      <c r="C495" t="s">
        <v>7652</v>
      </c>
      <c r="D495">
        <v>11</v>
      </c>
      <c r="E495" t="s">
        <v>9458</v>
      </c>
    </row>
    <row r="496" spans="2:5">
      <c r="B496" t="s">
        <v>7653</v>
      </c>
      <c r="C496" t="s">
        <v>7654</v>
      </c>
      <c r="D496">
        <v>12</v>
      </c>
      <c r="E496" t="s">
        <v>9458</v>
      </c>
    </row>
    <row r="497" spans="2:5">
      <c r="B497" t="s">
        <v>7655</v>
      </c>
      <c r="C497" t="s">
        <v>7656</v>
      </c>
      <c r="D497">
        <v>10</v>
      </c>
      <c r="E497" t="s">
        <v>5394</v>
      </c>
    </row>
    <row r="498" spans="2:5">
      <c r="B498" t="s">
        <v>7657</v>
      </c>
      <c r="C498" t="s">
        <v>7658</v>
      </c>
      <c r="D498">
        <v>1</v>
      </c>
      <c r="E498" t="s">
        <v>9458</v>
      </c>
    </row>
    <row r="499" spans="2:5">
      <c r="B499" t="s">
        <v>7659</v>
      </c>
      <c r="C499" t="s">
        <v>7660</v>
      </c>
      <c r="D499">
        <v>0</v>
      </c>
      <c r="E499" t="s">
        <v>138</v>
      </c>
    </row>
    <row r="500" spans="2:5">
      <c r="B500" t="s">
        <v>7661</v>
      </c>
      <c r="C500" t="s">
        <v>7662</v>
      </c>
      <c r="D500">
        <v>9</v>
      </c>
      <c r="E500" t="s">
        <v>5394</v>
      </c>
    </row>
    <row r="501" spans="2:5">
      <c r="B501" t="s">
        <v>7663</v>
      </c>
      <c r="C501" t="s">
        <v>7664</v>
      </c>
      <c r="D501">
        <v>0</v>
      </c>
      <c r="E501" t="s">
        <v>137</v>
      </c>
    </row>
    <row r="502" spans="2:5">
      <c r="B502" t="s">
        <v>7665</v>
      </c>
      <c r="C502" t="s">
        <v>7666</v>
      </c>
      <c r="D502">
        <v>33</v>
      </c>
      <c r="E502" t="s">
        <v>5394</v>
      </c>
    </row>
    <row r="503" spans="2:5">
      <c r="B503" t="s">
        <v>5933</v>
      </c>
      <c r="C503" t="s">
        <v>7667</v>
      </c>
      <c r="D503">
        <v>48</v>
      </c>
      <c r="E503" t="s">
        <v>9458</v>
      </c>
    </row>
    <row r="504" spans="2:5">
      <c r="B504" t="s">
        <v>7668</v>
      </c>
      <c r="C504" t="s">
        <v>7669</v>
      </c>
      <c r="D504">
        <v>12</v>
      </c>
      <c r="E504" t="s">
        <v>5394</v>
      </c>
    </row>
    <row r="505" spans="2:5">
      <c r="B505" t="s">
        <v>7670</v>
      </c>
      <c r="C505" t="s">
        <v>7671</v>
      </c>
      <c r="D505">
        <v>29</v>
      </c>
      <c r="E505" t="s">
        <v>5394</v>
      </c>
    </row>
    <row r="506" spans="2:5">
      <c r="B506" t="s">
        <v>7672</v>
      </c>
      <c r="C506" t="s">
        <v>7673</v>
      </c>
      <c r="D506">
        <v>18</v>
      </c>
      <c r="E506" t="s">
        <v>9458</v>
      </c>
    </row>
    <row r="507" spans="2:5">
      <c r="B507" t="s">
        <v>5940</v>
      </c>
      <c r="C507" t="s">
        <v>7674</v>
      </c>
      <c r="D507">
        <v>22</v>
      </c>
      <c r="E507" t="s">
        <v>5396</v>
      </c>
    </row>
    <row r="508" spans="2:5">
      <c r="B508" t="s">
        <v>7675</v>
      </c>
      <c r="C508" t="s">
        <v>7676</v>
      </c>
      <c r="D508">
        <v>5</v>
      </c>
      <c r="E508" t="s">
        <v>5396</v>
      </c>
    </row>
    <row r="509" spans="2:5">
      <c r="B509" t="s">
        <v>5946</v>
      </c>
      <c r="C509" t="s">
        <v>7677</v>
      </c>
      <c r="D509">
        <v>42</v>
      </c>
      <c r="E509" t="s">
        <v>138</v>
      </c>
    </row>
    <row r="510" spans="2:5">
      <c r="B510" t="s">
        <v>7678</v>
      </c>
      <c r="C510" t="s">
        <v>7679</v>
      </c>
      <c r="D510">
        <v>0</v>
      </c>
      <c r="E510" t="s">
        <v>9458</v>
      </c>
    </row>
    <row r="511" spans="2:5">
      <c r="B511" t="s">
        <v>7680</v>
      </c>
      <c r="C511" t="s">
        <v>7681</v>
      </c>
      <c r="D511">
        <v>12</v>
      </c>
      <c r="E511" t="s">
        <v>5394</v>
      </c>
    </row>
    <row r="512" spans="2:5">
      <c r="B512" t="s">
        <v>7682</v>
      </c>
      <c r="C512" t="s">
        <v>7683</v>
      </c>
      <c r="D512">
        <v>5</v>
      </c>
      <c r="E512" t="s">
        <v>9458</v>
      </c>
    </row>
    <row r="513" spans="2:5">
      <c r="B513" t="s">
        <v>5953</v>
      </c>
      <c r="C513" t="s">
        <v>7684</v>
      </c>
      <c r="D513">
        <v>29</v>
      </c>
      <c r="E513" t="s">
        <v>137</v>
      </c>
    </row>
    <row r="514" spans="2:5">
      <c r="B514" t="s">
        <v>7685</v>
      </c>
      <c r="C514" t="s">
        <v>7686</v>
      </c>
      <c r="D514">
        <v>81</v>
      </c>
      <c r="E514" t="s">
        <v>5394</v>
      </c>
    </row>
    <row r="515" spans="2:5">
      <c r="B515" t="s">
        <v>7687</v>
      </c>
      <c r="C515" t="s">
        <v>7688</v>
      </c>
      <c r="D515">
        <v>9</v>
      </c>
      <c r="E515" t="s">
        <v>9458</v>
      </c>
    </row>
    <row r="516" spans="2:5">
      <c r="B516" t="s">
        <v>7689</v>
      </c>
      <c r="C516" t="s">
        <v>7690</v>
      </c>
      <c r="D516">
        <v>0</v>
      </c>
      <c r="E516" t="s">
        <v>138</v>
      </c>
    </row>
    <row r="517" spans="2:5">
      <c r="B517" t="s">
        <v>5960</v>
      </c>
      <c r="C517" t="s">
        <v>7691</v>
      </c>
      <c r="D517">
        <v>27</v>
      </c>
      <c r="E517" t="s">
        <v>9448</v>
      </c>
    </row>
    <row r="518" spans="2:5">
      <c r="B518" t="s">
        <v>7692</v>
      </c>
      <c r="C518" t="s">
        <v>7693</v>
      </c>
      <c r="D518">
        <v>0</v>
      </c>
      <c r="E518" t="s">
        <v>137</v>
      </c>
    </row>
    <row r="519" spans="2:5">
      <c r="B519" t="s">
        <v>5966</v>
      </c>
      <c r="C519" t="s">
        <v>7694</v>
      </c>
      <c r="D519">
        <v>32</v>
      </c>
      <c r="E519" t="s">
        <v>9459</v>
      </c>
    </row>
    <row r="520" spans="2:5">
      <c r="B520" t="s">
        <v>7695</v>
      </c>
      <c r="D520">
        <v>0</v>
      </c>
      <c r="E520" t="s">
        <v>137</v>
      </c>
    </row>
    <row r="521" spans="2:5">
      <c r="B521" t="s">
        <v>7696</v>
      </c>
      <c r="C521" t="s">
        <v>7697</v>
      </c>
      <c r="D521">
        <v>8</v>
      </c>
      <c r="E521" t="s">
        <v>9458</v>
      </c>
    </row>
    <row r="522" spans="2:5">
      <c r="B522" t="s">
        <v>5972</v>
      </c>
      <c r="C522" t="s">
        <v>7698</v>
      </c>
      <c r="D522">
        <v>23</v>
      </c>
      <c r="E522" t="s">
        <v>5394</v>
      </c>
    </row>
    <row r="523" spans="2:5">
      <c r="B523" t="s">
        <v>7699</v>
      </c>
      <c r="C523" t="s">
        <v>7700</v>
      </c>
      <c r="D523">
        <v>14</v>
      </c>
      <c r="E523" t="s">
        <v>5394</v>
      </c>
    </row>
    <row r="524" spans="2:5">
      <c r="B524" t="s">
        <v>7701</v>
      </c>
      <c r="C524" t="s">
        <v>7702</v>
      </c>
      <c r="D524">
        <v>23</v>
      </c>
      <c r="E524" t="s">
        <v>140</v>
      </c>
    </row>
    <row r="525" spans="2:5">
      <c r="B525" t="s">
        <v>7703</v>
      </c>
      <c r="C525" t="s">
        <v>7704</v>
      </c>
      <c r="D525">
        <v>14</v>
      </c>
      <c r="E525" t="s">
        <v>9458</v>
      </c>
    </row>
    <row r="526" spans="2:5">
      <c r="B526" t="s">
        <v>7705</v>
      </c>
      <c r="C526" t="s">
        <v>7706</v>
      </c>
      <c r="D526">
        <v>7</v>
      </c>
      <c r="E526" t="s">
        <v>5394</v>
      </c>
    </row>
    <row r="527" spans="2:5">
      <c r="B527" t="s">
        <v>7707</v>
      </c>
      <c r="C527" t="s">
        <v>7708</v>
      </c>
      <c r="D527">
        <v>2</v>
      </c>
      <c r="E527" t="s">
        <v>138</v>
      </c>
    </row>
    <row r="528" spans="2:5">
      <c r="B528" t="s">
        <v>7709</v>
      </c>
      <c r="C528" t="s">
        <v>7710</v>
      </c>
      <c r="D528">
        <v>11</v>
      </c>
      <c r="E528" t="s">
        <v>9458</v>
      </c>
    </row>
    <row r="529" spans="2:5">
      <c r="B529" t="s">
        <v>7711</v>
      </c>
      <c r="C529" t="s">
        <v>7712</v>
      </c>
      <c r="D529">
        <v>14</v>
      </c>
      <c r="E529" t="s">
        <v>5394</v>
      </c>
    </row>
    <row r="530" spans="2:5">
      <c r="B530" t="s">
        <v>7713</v>
      </c>
      <c r="C530" t="s">
        <v>7714</v>
      </c>
      <c r="D530">
        <v>0</v>
      </c>
      <c r="E530" t="s">
        <v>138</v>
      </c>
    </row>
    <row r="531" spans="2:5">
      <c r="B531" t="s">
        <v>7715</v>
      </c>
      <c r="C531" t="s">
        <v>7716</v>
      </c>
      <c r="D531">
        <v>1</v>
      </c>
      <c r="E531" t="s">
        <v>138</v>
      </c>
    </row>
    <row r="532" spans="2:5">
      <c r="B532" t="s">
        <v>7717</v>
      </c>
      <c r="C532" t="s">
        <v>7718</v>
      </c>
      <c r="D532">
        <v>1</v>
      </c>
      <c r="E532" t="s">
        <v>9458</v>
      </c>
    </row>
    <row r="533" spans="2:5">
      <c r="B533" t="s">
        <v>7719</v>
      </c>
      <c r="C533" t="s">
        <v>7720</v>
      </c>
      <c r="D533">
        <v>2</v>
      </c>
      <c r="E533" t="s">
        <v>9458</v>
      </c>
    </row>
    <row r="534" spans="2:5">
      <c r="B534" t="s">
        <v>7721</v>
      </c>
      <c r="C534" t="s">
        <v>7722</v>
      </c>
      <c r="D534">
        <v>3</v>
      </c>
      <c r="E534" t="s">
        <v>9460</v>
      </c>
    </row>
    <row r="535" spans="2:5">
      <c r="B535" t="s">
        <v>7723</v>
      </c>
      <c r="C535" t="s">
        <v>7724</v>
      </c>
      <c r="D535">
        <v>37</v>
      </c>
      <c r="E535" t="s">
        <v>9461</v>
      </c>
    </row>
    <row r="536" spans="2:5">
      <c r="B536" t="s">
        <v>7725</v>
      </c>
      <c r="C536" t="s">
        <v>7726</v>
      </c>
      <c r="D536">
        <v>35</v>
      </c>
      <c r="E536" t="s">
        <v>5394</v>
      </c>
    </row>
    <row r="537" spans="2:5">
      <c r="B537" t="s">
        <v>7727</v>
      </c>
      <c r="C537" t="s">
        <v>7728</v>
      </c>
      <c r="D537">
        <v>12</v>
      </c>
      <c r="E537" t="s">
        <v>5385</v>
      </c>
    </row>
    <row r="538" spans="2:5">
      <c r="B538" t="s">
        <v>7729</v>
      </c>
      <c r="C538" t="s">
        <v>7730</v>
      </c>
      <c r="D538">
        <v>1</v>
      </c>
      <c r="E538" t="s">
        <v>5396</v>
      </c>
    </row>
    <row r="539" spans="2:5">
      <c r="B539" t="s">
        <v>7731</v>
      </c>
      <c r="C539" t="s">
        <v>7732</v>
      </c>
      <c r="D539">
        <v>0</v>
      </c>
      <c r="E539" t="s">
        <v>137</v>
      </c>
    </row>
    <row r="540" spans="2:5">
      <c r="B540" t="s">
        <v>5979</v>
      </c>
      <c r="C540" t="s">
        <v>7733</v>
      </c>
      <c r="D540">
        <v>5</v>
      </c>
      <c r="E540" t="s">
        <v>138</v>
      </c>
    </row>
    <row r="541" spans="2:5">
      <c r="B541" t="s">
        <v>7734</v>
      </c>
      <c r="C541" t="s">
        <v>7735</v>
      </c>
      <c r="D541">
        <v>2</v>
      </c>
      <c r="E541" t="s">
        <v>5394</v>
      </c>
    </row>
    <row r="542" spans="2:5">
      <c r="B542" t="s">
        <v>7736</v>
      </c>
      <c r="C542" t="s">
        <v>7737</v>
      </c>
      <c r="D542">
        <v>4</v>
      </c>
      <c r="E542" t="s">
        <v>5396</v>
      </c>
    </row>
    <row r="543" spans="2:5">
      <c r="B543" t="s">
        <v>7738</v>
      </c>
      <c r="C543" t="s">
        <v>7739</v>
      </c>
      <c r="D543">
        <v>0</v>
      </c>
      <c r="E543" t="s">
        <v>5396</v>
      </c>
    </row>
    <row r="544" spans="2:5">
      <c r="B544" t="s">
        <v>5987</v>
      </c>
      <c r="C544" t="s">
        <v>7740</v>
      </c>
      <c r="D544">
        <v>6</v>
      </c>
      <c r="E544" t="s">
        <v>5396</v>
      </c>
    </row>
    <row r="545" spans="2:5">
      <c r="B545" t="s">
        <v>7741</v>
      </c>
      <c r="C545" t="s">
        <v>7742</v>
      </c>
      <c r="D545">
        <v>12</v>
      </c>
      <c r="E545" t="s">
        <v>5394</v>
      </c>
    </row>
    <row r="546" spans="2:5">
      <c r="B546" t="s">
        <v>7743</v>
      </c>
      <c r="C546" t="s">
        <v>7744</v>
      </c>
      <c r="D546">
        <v>0</v>
      </c>
      <c r="E546" t="s">
        <v>5396</v>
      </c>
    </row>
    <row r="547" spans="2:5">
      <c r="B547" t="s">
        <v>5992</v>
      </c>
      <c r="C547" t="s">
        <v>7745</v>
      </c>
      <c r="D547">
        <v>11</v>
      </c>
      <c r="E547" t="s">
        <v>5390</v>
      </c>
    </row>
    <row r="548" spans="2:5">
      <c r="B548" t="s">
        <v>7746</v>
      </c>
      <c r="C548" t="s">
        <v>7747</v>
      </c>
      <c r="D548">
        <v>2</v>
      </c>
      <c r="E548" t="s">
        <v>9458</v>
      </c>
    </row>
    <row r="549" spans="2:5">
      <c r="B549" t="s">
        <v>7748</v>
      </c>
      <c r="C549" t="s">
        <v>7749</v>
      </c>
      <c r="D549">
        <v>1</v>
      </c>
      <c r="E549" t="s">
        <v>9458</v>
      </c>
    </row>
    <row r="550" spans="2:5">
      <c r="B550" t="s">
        <v>7750</v>
      </c>
      <c r="C550" t="s">
        <v>7751</v>
      </c>
      <c r="D550">
        <v>0</v>
      </c>
      <c r="E550" t="s">
        <v>9458</v>
      </c>
    </row>
    <row r="551" spans="2:5">
      <c r="B551" t="s">
        <v>7752</v>
      </c>
      <c r="C551" t="s">
        <v>7753</v>
      </c>
      <c r="D551">
        <v>1</v>
      </c>
      <c r="E551" t="s">
        <v>9458</v>
      </c>
    </row>
    <row r="552" spans="2:5">
      <c r="B552" t="s">
        <v>7754</v>
      </c>
      <c r="C552" t="s">
        <v>7755</v>
      </c>
      <c r="D552">
        <v>2</v>
      </c>
      <c r="E552" t="s">
        <v>9458</v>
      </c>
    </row>
    <row r="553" spans="2:5">
      <c r="B553" t="s">
        <v>7756</v>
      </c>
      <c r="C553" t="s">
        <v>7757</v>
      </c>
      <c r="D553">
        <v>0</v>
      </c>
      <c r="E553" t="s">
        <v>9458</v>
      </c>
    </row>
    <row r="554" spans="2:5">
      <c r="B554" t="s">
        <v>7758</v>
      </c>
      <c r="C554" t="s">
        <v>7759</v>
      </c>
      <c r="D554">
        <v>0</v>
      </c>
      <c r="E554" t="s">
        <v>9458</v>
      </c>
    </row>
    <row r="555" spans="2:5">
      <c r="B555" t="s">
        <v>7760</v>
      </c>
      <c r="C555" t="s">
        <v>7761</v>
      </c>
      <c r="D555">
        <v>7</v>
      </c>
      <c r="E555" t="s">
        <v>9458</v>
      </c>
    </row>
    <row r="556" spans="2:5">
      <c r="B556" t="s">
        <v>7762</v>
      </c>
      <c r="C556" t="s">
        <v>7763</v>
      </c>
      <c r="D556">
        <v>0</v>
      </c>
      <c r="E556" t="s">
        <v>138</v>
      </c>
    </row>
    <row r="557" spans="2:5">
      <c r="B557" t="s">
        <v>7764</v>
      </c>
      <c r="C557" t="s">
        <v>7765</v>
      </c>
      <c r="D557">
        <v>0</v>
      </c>
      <c r="E557" t="s">
        <v>138</v>
      </c>
    </row>
    <row r="558" spans="2:5">
      <c r="B558" t="s">
        <v>7766</v>
      </c>
      <c r="C558" t="s">
        <v>7767</v>
      </c>
      <c r="D558">
        <v>2</v>
      </c>
      <c r="E558" t="s">
        <v>138</v>
      </c>
    </row>
    <row r="559" spans="2:5">
      <c r="B559" t="s">
        <v>7768</v>
      </c>
      <c r="C559" t="s">
        <v>7769</v>
      </c>
      <c r="D559">
        <v>0</v>
      </c>
      <c r="E559" t="s">
        <v>9458</v>
      </c>
    </row>
    <row r="560" spans="2:5">
      <c r="B560" t="s">
        <v>7770</v>
      </c>
      <c r="C560" t="s">
        <v>7771</v>
      </c>
      <c r="D560">
        <v>25</v>
      </c>
      <c r="E560" t="s">
        <v>5394</v>
      </c>
    </row>
    <row r="561" spans="2:5">
      <c r="B561" t="s">
        <v>5998</v>
      </c>
      <c r="C561" t="s">
        <v>7772</v>
      </c>
      <c r="D561">
        <v>89</v>
      </c>
      <c r="E561" t="s">
        <v>140</v>
      </c>
    </row>
    <row r="562" spans="2:5">
      <c r="B562" t="s">
        <v>6004</v>
      </c>
      <c r="C562" t="s">
        <v>7773</v>
      </c>
      <c r="D562">
        <v>3</v>
      </c>
      <c r="E562" t="s">
        <v>9458</v>
      </c>
    </row>
    <row r="563" spans="2:5">
      <c r="B563" t="s">
        <v>7774</v>
      </c>
      <c r="C563" t="s">
        <v>7775</v>
      </c>
      <c r="D563">
        <v>0</v>
      </c>
      <c r="E563" t="s">
        <v>9458</v>
      </c>
    </row>
    <row r="564" spans="2:5">
      <c r="B564" t="s">
        <v>7776</v>
      </c>
      <c r="C564" t="s">
        <v>7777</v>
      </c>
      <c r="D564">
        <v>11</v>
      </c>
      <c r="E564" t="s">
        <v>9458</v>
      </c>
    </row>
    <row r="565" spans="2:5">
      <c r="B565" t="s">
        <v>7778</v>
      </c>
      <c r="D565">
        <v>0</v>
      </c>
      <c r="E565" t="s">
        <v>137</v>
      </c>
    </row>
    <row r="566" spans="2:5">
      <c r="B566" t="s">
        <v>7779</v>
      </c>
      <c r="C566" t="s">
        <v>7780</v>
      </c>
      <c r="D566">
        <v>6</v>
      </c>
      <c r="E566" t="s">
        <v>9458</v>
      </c>
    </row>
    <row r="567" spans="2:5">
      <c r="B567" t="s">
        <v>7781</v>
      </c>
      <c r="C567" t="s">
        <v>7782</v>
      </c>
      <c r="D567">
        <v>1</v>
      </c>
      <c r="E567" t="s">
        <v>9458</v>
      </c>
    </row>
    <row r="568" spans="2:5">
      <c r="B568" t="s">
        <v>7783</v>
      </c>
      <c r="C568" t="s">
        <v>7784</v>
      </c>
      <c r="D568">
        <v>73</v>
      </c>
      <c r="E568" t="s">
        <v>5394</v>
      </c>
    </row>
    <row r="569" spans="2:5">
      <c r="B569" t="s">
        <v>7785</v>
      </c>
      <c r="C569" t="s">
        <v>7786</v>
      </c>
      <c r="D569">
        <v>48</v>
      </c>
      <c r="E569" t="s">
        <v>5394</v>
      </c>
    </row>
    <row r="570" spans="2:5">
      <c r="B570" t="s">
        <v>7787</v>
      </c>
      <c r="C570" t="s">
        <v>7788</v>
      </c>
      <c r="D570">
        <v>6</v>
      </c>
      <c r="E570" t="s">
        <v>5394</v>
      </c>
    </row>
    <row r="571" spans="2:5">
      <c r="B571" t="s">
        <v>7789</v>
      </c>
      <c r="C571" t="s">
        <v>7790</v>
      </c>
      <c r="D571">
        <v>132</v>
      </c>
      <c r="E571" t="s">
        <v>5394</v>
      </c>
    </row>
    <row r="572" spans="2:5">
      <c r="B572" t="s">
        <v>7791</v>
      </c>
      <c r="C572" t="s">
        <v>7792</v>
      </c>
      <c r="D572">
        <v>4</v>
      </c>
      <c r="E572" t="s">
        <v>9458</v>
      </c>
    </row>
    <row r="573" spans="2:5">
      <c r="B573" t="s">
        <v>7793</v>
      </c>
      <c r="C573" t="s">
        <v>7794</v>
      </c>
      <c r="D573">
        <v>0</v>
      </c>
      <c r="E573" t="s">
        <v>9458</v>
      </c>
    </row>
    <row r="574" spans="2:5">
      <c r="B574" t="s">
        <v>7795</v>
      </c>
      <c r="C574" t="s">
        <v>7796</v>
      </c>
      <c r="D574">
        <v>3</v>
      </c>
      <c r="E574" t="s">
        <v>9458</v>
      </c>
    </row>
    <row r="575" spans="2:5">
      <c r="B575" t="s">
        <v>6011</v>
      </c>
      <c r="C575" t="s">
        <v>7797</v>
      </c>
      <c r="D575">
        <v>15</v>
      </c>
      <c r="E575" t="s">
        <v>9458</v>
      </c>
    </row>
    <row r="576" spans="2:5">
      <c r="B576" t="s">
        <v>7798</v>
      </c>
      <c r="C576" t="s">
        <v>7799</v>
      </c>
      <c r="D576">
        <v>7</v>
      </c>
      <c r="E576" t="s">
        <v>9458</v>
      </c>
    </row>
    <row r="577" spans="2:5">
      <c r="B577" t="s">
        <v>7800</v>
      </c>
      <c r="C577" t="s">
        <v>7801</v>
      </c>
      <c r="D577">
        <v>0</v>
      </c>
      <c r="E577" t="s">
        <v>9458</v>
      </c>
    </row>
    <row r="578" spans="2:5">
      <c r="B578" t="s">
        <v>7802</v>
      </c>
      <c r="C578" t="s">
        <v>7803</v>
      </c>
      <c r="D578">
        <v>0</v>
      </c>
      <c r="E578" t="s">
        <v>138</v>
      </c>
    </row>
    <row r="579" spans="2:5">
      <c r="B579" t="s">
        <v>7804</v>
      </c>
      <c r="C579" t="s">
        <v>7805</v>
      </c>
      <c r="D579">
        <v>2</v>
      </c>
      <c r="E579" t="s">
        <v>5394</v>
      </c>
    </row>
    <row r="580" spans="2:5">
      <c r="B580" t="s">
        <v>6017</v>
      </c>
      <c r="C580" t="s">
        <v>7806</v>
      </c>
      <c r="D580">
        <v>44</v>
      </c>
      <c r="E580" t="s">
        <v>9459</v>
      </c>
    </row>
    <row r="581" spans="2:5">
      <c r="B581" t="s">
        <v>7807</v>
      </c>
      <c r="C581" t="s">
        <v>7808</v>
      </c>
      <c r="D581">
        <v>0</v>
      </c>
      <c r="E581" t="s">
        <v>9458</v>
      </c>
    </row>
    <row r="582" spans="2:5">
      <c r="B582" t="s">
        <v>7809</v>
      </c>
      <c r="C582" t="s">
        <v>7810</v>
      </c>
      <c r="D582">
        <v>0</v>
      </c>
      <c r="E582" t="s">
        <v>5396</v>
      </c>
    </row>
    <row r="583" spans="2:5">
      <c r="B583" t="s">
        <v>7811</v>
      </c>
      <c r="C583" t="s">
        <v>7812</v>
      </c>
      <c r="D583">
        <v>8</v>
      </c>
      <c r="E583" t="s">
        <v>5396</v>
      </c>
    </row>
    <row r="584" spans="2:5">
      <c r="B584" t="s">
        <v>7813</v>
      </c>
      <c r="C584" t="s">
        <v>7814</v>
      </c>
      <c r="D584">
        <v>11</v>
      </c>
      <c r="E584" t="s">
        <v>5396</v>
      </c>
    </row>
    <row r="585" spans="2:5">
      <c r="B585" t="s">
        <v>7815</v>
      </c>
      <c r="C585" t="s">
        <v>7816</v>
      </c>
      <c r="D585">
        <v>2</v>
      </c>
      <c r="E585" t="s">
        <v>5396</v>
      </c>
    </row>
    <row r="586" spans="2:5">
      <c r="B586" t="s">
        <v>7817</v>
      </c>
      <c r="C586" t="s">
        <v>7818</v>
      </c>
      <c r="D586">
        <v>0</v>
      </c>
      <c r="E586" t="s">
        <v>138</v>
      </c>
    </row>
    <row r="587" spans="2:5">
      <c r="B587" t="s">
        <v>7819</v>
      </c>
      <c r="C587" t="s">
        <v>7820</v>
      </c>
      <c r="D587">
        <v>1</v>
      </c>
      <c r="E587" t="s">
        <v>5396</v>
      </c>
    </row>
    <row r="588" spans="2:5">
      <c r="B588" t="s">
        <v>7821</v>
      </c>
      <c r="D588">
        <v>0</v>
      </c>
      <c r="E588" t="s">
        <v>137</v>
      </c>
    </row>
    <row r="589" spans="2:5">
      <c r="B589" t="s">
        <v>7822</v>
      </c>
      <c r="C589" t="s">
        <v>7823</v>
      </c>
      <c r="D589">
        <v>12</v>
      </c>
      <c r="E589" t="s">
        <v>9458</v>
      </c>
    </row>
    <row r="590" spans="2:5">
      <c r="B590" t="s">
        <v>7824</v>
      </c>
      <c r="C590" t="s">
        <v>7825</v>
      </c>
      <c r="D590">
        <v>0</v>
      </c>
      <c r="E590" t="s">
        <v>9458</v>
      </c>
    </row>
    <row r="591" spans="2:5">
      <c r="B591" t="s">
        <v>7826</v>
      </c>
      <c r="C591" t="s">
        <v>7827</v>
      </c>
      <c r="D591">
        <v>1</v>
      </c>
      <c r="E591" t="s">
        <v>9458</v>
      </c>
    </row>
    <row r="592" spans="2:5">
      <c r="B592" t="s">
        <v>7828</v>
      </c>
      <c r="C592" t="s">
        <v>7829</v>
      </c>
      <c r="D592">
        <v>0</v>
      </c>
      <c r="E592" t="s">
        <v>9458</v>
      </c>
    </row>
    <row r="593" spans="2:5">
      <c r="B593" t="s">
        <v>7830</v>
      </c>
      <c r="D593">
        <v>0</v>
      </c>
      <c r="E593" t="s">
        <v>137</v>
      </c>
    </row>
    <row r="594" spans="2:5">
      <c r="B594" t="s">
        <v>7831</v>
      </c>
      <c r="C594" t="s">
        <v>7832</v>
      </c>
      <c r="D594">
        <v>1</v>
      </c>
      <c r="E594" t="s">
        <v>9458</v>
      </c>
    </row>
    <row r="595" spans="2:5">
      <c r="B595" t="s">
        <v>7833</v>
      </c>
      <c r="C595" t="s">
        <v>7834</v>
      </c>
      <c r="D595">
        <v>10</v>
      </c>
      <c r="E595" t="s">
        <v>140</v>
      </c>
    </row>
    <row r="596" spans="2:5">
      <c r="B596" t="s">
        <v>7835</v>
      </c>
      <c r="C596" t="s">
        <v>7836</v>
      </c>
      <c r="D596">
        <v>24</v>
      </c>
      <c r="E596" t="s">
        <v>5394</v>
      </c>
    </row>
    <row r="597" spans="2:5">
      <c r="B597" t="s">
        <v>7837</v>
      </c>
      <c r="C597" t="s">
        <v>7838</v>
      </c>
      <c r="D597">
        <v>0</v>
      </c>
      <c r="E597" t="s">
        <v>138</v>
      </c>
    </row>
    <row r="598" spans="2:5">
      <c r="B598" t="s">
        <v>7839</v>
      </c>
      <c r="C598" t="s">
        <v>7840</v>
      </c>
      <c r="D598">
        <v>0</v>
      </c>
      <c r="E598" t="s">
        <v>138</v>
      </c>
    </row>
    <row r="599" spans="2:5">
      <c r="B599" t="s">
        <v>7841</v>
      </c>
      <c r="D599">
        <v>0</v>
      </c>
      <c r="E599" t="s">
        <v>137</v>
      </c>
    </row>
    <row r="600" spans="2:5">
      <c r="B600" t="s">
        <v>7842</v>
      </c>
      <c r="C600" t="s">
        <v>7843</v>
      </c>
      <c r="D600">
        <v>0</v>
      </c>
      <c r="E600" t="s">
        <v>138</v>
      </c>
    </row>
    <row r="601" spans="2:5">
      <c r="B601" t="s">
        <v>6022</v>
      </c>
      <c r="C601" t="s">
        <v>7844</v>
      </c>
      <c r="D601">
        <v>2</v>
      </c>
      <c r="E601" t="s">
        <v>138</v>
      </c>
    </row>
    <row r="602" spans="2:5">
      <c r="B602" t="s">
        <v>7845</v>
      </c>
      <c r="C602" t="s">
        <v>7846</v>
      </c>
      <c r="D602">
        <v>0</v>
      </c>
      <c r="E602" t="s">
        <v>138</v>
      </c>
    </row>
    <row r="603" spans="2:5">
      <c r="B603" t="s">
        <v>7847</v>
      </c>
      <c r="C603" t="s">
        <v>7848</v>
      </c>
      <c r="D603">
        <v>0</v>
      </c>
      <c r="E603" t="s">
        <v>9458</v>
      </c>
    </row>
    <row r="604" spans="2:5">
      <c r="B604" t="s">
        <v>7849</v>
      </c>
      <c r="C604" t="s">
        <v>7850</v>
      </c>
      <c r="D604">
        <v>0</v>
      </c>
      <c r="E604" t="s">
        <v>9458</v>
      </c>
    </row>
    <row r="605" spans="2:5">
      <c r="B605" t="s">
        <v>7851</v>
      </c>
      <c r="C605" t="s">
        <v>7852</v>
      </c>
      <c r="D605">
        <v>0</v>
      </c>
      <c r="E605" t="s">
        <v>9458</v>
      </c>
    </row>
    <row r="606" spans="2:5">
      <c r="B606" t="s">
        <v>7853</v>
      </c>
      <c r="C606" t="s">
        <v>7854</v>
      </c>
      <c r="D606">
        <v>1</v>
      </c>
      <c r="E606" t="s">
        <v>5394</v>
      </c>
    </row>
    <row r="607" spans="2:5">
      <c r="B607" t="s">
        <v>7855</v>
      </c>
      <c r="C607" t="s">
        <v>7856</v>
      </c>
      <c r="D607">
        <v>0</v>
      </c>
      <c r="E607" t="s">
        <v>9458</v>
      </c>
    </row>
    <row r="608" spans="2:5">
      <c r="B608" t="s">
        <v>7857</v>
      </c>
      <c r="C608" t="s">
        <v>7858</v>
      </c>
      <c r="D608">
        <v>5</v>
      </c>
      <c r="E608" t="s">
        <v>9458</v>
      </c>
    </row>
    <row r="609" spans="2:5">
      <c r="B609" t="s">
        <v>7859</v>
      </c>
      <c r="D609">
        <v>0</v>
      </c>
      <c r="E609" t="s">
        <v>137</v>
      </c>
    </row>
    <row r="610" spans="2:5">
      <c r="B610" t="s">
        <v>7860</v>
      </c>
      <c r="C610" t="s">
        <v>7861</v>
      </c>
      <c r="D610">
        <v>0</v>
      </c>
      <c r="E610" t="s">
        <v>138</v>
      </c>
    </row>
    <row r="611" spans="2:5">
      <c r="B611" t="s">
        <v>6027</v>
      </c>
      <c r="C611" t="s">
        <v>7862</v>
      </c>
      <c r="D611">
        <v>27</v>
      </c>
      <c r="E611" t="s">
        <v>140</v>
      </c>
    </row>
    <row r="612" spans="2:5">
      <c r="B612" t="s">
        <v>7863</v>
      </c>
      <c r="D612">
        <v>0</v>
      </c>
      <c r="E612" t="s">
        <v>137</v>
      </c>
    </row>
    <row r="613" spans="2:5">
      <c r="B613" t="s">
        <v>7864</v>
      </c>
      <c r="C613" t="s">
        <v>7865</v>
      </c>
      <c r="D613">
        <v>0</v>
      </c>
      <c r="E613" t="s">
        <v>9458</v>
      </c>
    </row>
    <row r="614" spans="2:5">
      <c r="B614" t="s">
        <v>7866</v>
      </c>
      <c r="C614" t="s">
        <v>7867</v>
      </c>
      <c r="D614">
        <v>25</v>
      </c>
      <c r="E614" t="s">
        <v>5394</v>
      </c>
    </row>
    <row r="615" spans="2:5">
      <c r="B615" t="s">
        <v>7868</v>
      </c>
      <c r="C615" t="s">
        <v>7869</v>
      </c>
      <c r="D615">
        <v>2</v>
      </c>
      <c r="E615" t="s">
        <v>9458</v>
      </c>
    </row>
    <row r="616" spans="2:5">
      <c r="B616" t="s">
        <v>7870</v>
      </c>
      <c r="C616" t="s">
        <v>7871</v>
      </c>
      <c r="D616">
        <v>0</v>
      </c>
      <c r="E616" t="s">
        <v>9458</v>
      </c>
    </row>
    <row r="617" spans="2:5">
      <c r="B617" t="s">
        <v>7872</v>
      </c>
      <c r="C617" t="s">
        <v>7873</v>
      </c>
      <c r="D617">
        <v>0</v>
      </c>
      <c r="E617" t="s">
        <v>9458</v>
      </c>
    </row>
    <row r="618" spans="2:5">
      <c r="B618" t="s">
        <v>7874</v>
      </c>
      <c r="C618" t="s">
        <v>7875</v>
      </c>
      <c r="D618">
        <v>0</v>
      </c>
      <c r="E618" t="s">
        <v>9458</v>
      </c>
    </row>
    <row r="619" spans="2:5">
      <c r="B619" t="s">
        <v>6033</v>
      </c>
      <c r="C619" t="s">
        <v>7876</v>
      </c>
      <c r="D619">
        <v>2</v>
      </c>
      <c r="E619" t="s">
        <v>138</v>
      </c>
    </row>
    <row r="620" spans="2:5">
      <c r="B620" t="s">
        <v>7877</v>
      </c>
      <c r="C620" t="s">
        <v>7878</v>
      </c>
      <c r="D620">
        <v>0</v>
      </c>
      <c r="E620" t="s">
        <v>9458</v>
      </c>
    </row>
    <row r="621" spans="2:5">
      <c r="B621" t="s">
        <v>7879</v>
      </c>
      <c r="C621" t="s">
        <v>7880</v>
      </c>
      <c r="D621">
        <v>2</v>
      </c>
      <c r="E621" t="s">
        <v>9458</v>
      </c>
    </row>
    <row r="622" spans="2:5">
      <c r="B622" t="s">
        <v>7881</v>
      </c>
      <c r="C622" t="s">
        <v>7882</v>
      </c>
      <c r="D622">
        <v>0</v>
      </c>
      <c r="E622" t="s">
        <v>138</v>
      </c>
    </row>
    <row r="623" spans="2:5">
      <c r="B623" t="s">
        <v>6039</v>
      </c>
      <c r="C623" t="s">
        <v>7883</v>
      </c>
      <c r="D623">
        <v>10</v>
      </c>
      <c r="E623" t="s">
        <v>9458</v>
      </c>
    </row>
    <row r="624" spans="2:5">
      <c r="B624" t="s">
        <v>7884</v>
      </c>
      <c r="C624" t="s">
        <v>7885</v>
      </c>
      <c r="D624">
        <v>5</v>
      </c>
      <c r="E624" t="s">
        <v>138</v>
      </c>
    </row>
    <row r="625" spans="2:5">
      <c r="B625" t="s">
        <v>7886</v>
      </c>
      <c r="C625" t="s">
        <v>7887</v>
      </c>
      <c r="D625">
        <v>0</v>
      </c>
      <c r="E625" t="s">
        <v>9458</v>
      </c>
    </row>
    <row r="626" spans="2:5">
      <c r="B626" t="s">
        <v>6045</v>
      </c>
      <c r="C626" t="s">
        <v>7888</v>
      </c>
      <c r="D626">
        <v>21</v>
      </c>
      <c r="E626" t="s">
        <v>138</v>
      </c>
    </row>
    <row r="627" spans="2:5">
      <c r="B627" t="s">
        <v>6051</v>
      </c>
      <c r="C627" t="s">
        <v>7889</v>
      </c>
      <c r="D627">
        <v>8</v>
      </c>
      <c r="E627" t="s">
        <v>9458</v>
      </c>
    </row>
    <row r="628" spans="2:5">
      <c r="B628" t="s">
        <v>6057</v>
      </c>
      <c r="C628" t="s">
        <v>7890</v>
      </c>
      <c r="D628">
        <v>3</v>
      </c>
      <c r="E628" t="s">
        <v>9458</v>
      </c>
    </row>
    <row r="629" spans="2:5">
      <c r="B629" t="s">
        <v>7891</v>
      </c>
      <c r="C629" t="s">
        <v>7892</v>
      </c>
      <c r="D629">
        <v>0</v>
      </c>
      <c r="E629" t="s">
        <v>9458</v>
      </c>
    </row>
    <row r="630" spans="2:5">
      <c r="B630" t="s">
        <v>7893</v>
      </c>
      <c r="C630" t="s">
        <v>7894</v>
      </c>
      <c r="D630">
        <v>5</v>
      </c>
      <c r="E630" t="s">
        <v>9458</v>
      </c>
    </row>
    <row r="631" spans="2:5">
      <c r="B631" t="s">
        <v>7895</v>
      </c>
      <c r="C631" t="s">
        <v>7896</v>
      </c>
      <c r="D631">
        <v>0</v>
      </c>
      <c r="E631" t="s">
        <v>138</v>
      </c>
    </row>
    <row r="632" spans="2:5">
      <c r="B632" t="s">
        <v>7897</v>
      </c>
      <c r="C632" t="s">
        <v>7646</v>
      </c>
      <c r="D632">
        <v>0</v>
      </c>
      <c r="E632" t="s">
        <v>138</v>
      </c>
    </row>
    <row r="633" spans="2:5">
      <c r="B633" t="s">
        <v>7898</v>
      </c>
      <c r="C633" t="s">
        <v>7899</v>
      </c>
      <c r="D633">
        <v>0</v>
      </c>
      <c r="E633" t="s">
        <v>138</v>
      </c>
    </row>
    <row r="634" spans="2:5">
      <c r="B634" t="s">
        <v>7900</v>
      </c>
      <c r="C634" t="s">
        <v>7901</v>
      </c>
      <c r="D634">
        <v>0</v>
      </c>
      <c r="E634" t="s">
        <v>138</v>
      </c>
    </row>
    <row r="635" spans="2:5">
      <c r="B635" t="s">
        <v>7902</v>
      </c>
      <c r="C635" t="s">
        <v>7903</v>
      </c>
      <c r="D635">
        <v>2</v>
      </c>
      <c r="E635" t="s">
        <v>138</v>
      </c>
    </row>
    <row r="636" spans="2:5">
      <c r="B636" t="s">
        <v>7904</v>
      </c>
      <c r="C636" t="s">
        <v>7905</v>
      </c>
      <c r="D636">
        <v>1</v>
      </c>
      <c r="E636" t="s">
        <v>9458</v>
      </c>
    </row>
    <row r="637" spans="2:5">
      <c r="B637" t="s">
        <v>7906</v>
      </c>
      <c r="C637" t="s">
        <v>7907</v>
      </c>
      <c r="D637">
        <v>0</v>
      </c>
      <c r="E637" t="s">
        <v>9458</v>
      </c>
    </row>
    <row r="638" spans="2:5">
      <c r="B638" t="s">
        <v>7908</v>
      </c>
      <c r="C638" t="s">
        <v>7909</v>
      </c>
      <c r="D638">
        <v>0</v>
      </c>
      <c r="E638" t="s">
        <v>9458</v>
      </c>
    </row>
    <row r="639" spans="2:5">
      <c r="B639" t="s">
        <v>7910</v>
      </c>
      <c r="C639" t="s">
        <v>7911</v>
      </c>
      <c r="D639">
        <v>19</v>
      </c>
      <c r="E639" t="s">
        <v>5394</v>
      </c>
    </row>
    <row r="640" spans="2:5">
      <c r="B640" t="s">
        <v>7912</v>
      </c>
      <c r="C640" t="s">
        <v>7913</v>
      </c>
      <c r="D640">
        <v>4</v>
      </c>
      <c r="E640" t="s">
        <v>5394</v>
      </c>
    </row>
    <row r="641" spans="2:5">
      <c r="B641" t="s">
        <v>7914</v>
      </c>
      <c r="C641" t="s">
        <v>7915</v>
      </c>
      <c r="D641">
        <v>5</v>
      </c>
      <c r="E641" t="s">
        <v>138</v>
      </c>
    </row>
    <row r="642" spans="2:5">
      <c r="B642" t="s">
        <v>7916</v>
      </c>
      <c r="C642" t="s">
        <v>7917</v>
      </c>
      <c r="D642">
        <v>9</v>
      </c>
      <c r="E642" t="s">
        <v>138</v>
      </c>
    </row>
    <row r="643" spans="2:5">
      <c r="B643" t="s">
        <v>7918</v>
      </c>
      <c r="D643">
        <v>0</v>
      </c>
      <c r="E643" t="s">
        <v>137</v>
      </c>
    </row>
    <row r="644" spans="2:5">
      <c r="B644" t="s">
        <v>7919</v>
      </c>
      <c r="C644" t="s">
        <v>7920</v>
      </c>
      <c r="D644">
        <v>10</v>
      </c>
      <c r="E644" t="s">
        <v>138</v>
      </c>
    </row>
    <row r="645" spans="2:5">
      <c r="B645" t="s">
        <v>7921</v>
      </c>
      <c r="C645" t="s">
        <v>7922</v>
      </c>
      <c r="D645">
        <v>24</v>
      </c>
      <c r="E645" t="s">
        <v>9458</v>
      </c>
    </row>
    <row r="646" spans="2:5">
      <c r="B646" t="s">
        <v>7923</v>
      </c>
      <c r="C646" t="s">
        <v>7924</v>
      </c>
      <c r="D646">
        <v>0</v>
      </c>
      <c r="E646" t="s">
        <v>5396</v>
      </c>
    </row>
    <row r="647" spans="2:5">
      <c r="B647" t="s">
        <v>7925</v>
      </c>
      <c r="C647" t="s">
        <v>7926</v>
      </c>
      <c r="D647">
        <v>1</v>
      </c>
      <c r="E647" t="s">
        <v>9458</v>
      </c>
    </row>
    <row r="648" spans="2:5">
      <c r="B648" t="s">
        <v>7927</v>
      </c>
      <c r="C648" t="s">
        <v>7928</v>
      </c>
      <c r="D648">
        <v>0</v>
      </c>
      <c r="E648" t="s">
        <v>137</v>
      </c>
    </row>
    <row r="649" spans="2:5">
      <c r="B649" t="s">
        <v>6063</v>
      </c>
      <c r="C649" t="s">
        <v>7929</v>
      </c>
      <c r="D649">
        <v>4</v>
      </c>
      <c r="E649" t="s">
        <v>9458</v>
      </c>
    </row>
    <row r="650" spans="2:5">
      <c r="B650" t="s">
        <v>7930</v>
      </c>
      <c r="C650" t="s">
        <v>7931</v>
      </c>
      <c r="D650">
        <v>1</v>
      </c>
      <c r="E650" t="s">
        <v>139</v>
      </c>
    </row>
    <row r="651" spans="2:5">
      <c r="B651" t="s">
        <v>7932</v>
      </c>
      <c r="C651" t="s">
        <v>7933</v>
      </c>
      <c r="D651">
        <v>2</v>
      </c>
      <c r="E651" t="s">
        <v>140</v>
      </c>
    </row>
    <row r="652" spans="2:5">
      <c r="B652" t="s">
        <v>6069</v>
      </c>
      <c r="C652" t="s">
        <v>7724</v>
      </c>
      <c r="D652">
        <v>37</v>
      </c>
      <c r="E652" t="s">
        <v>9448</v>
      </c>
    </row>
    <row r="653" spans="2:5">
      <c r="B653" t="s">
        <v>6076</v>
      </c>
      <c r="C653" t="s">
        <v>7934</v>
      </c>
      <c r="D653">
        <v>21</v>
      </c>
      <c r="E653" t="s">
        <v>5396</v>
      </c>
    </row>
    <row r="654" spans="2:5">
      <c r="B654" t="s">
        <v>7935</v>
      </c>
      <c r="C654" t="s">
        <v>7936</v>
      </c>
      <c r="D654">
        <v>6</v>
      </c>
      <c r="E654" t="s">
        <v>5394</v>
      </c>
    </row>
    <row r="655" spans="2:5">
      <c r="B655" t="s">
        <v>7937</v>
      </c>
      <c r="C655" t="s">
        <v>7938</v>
      </c>
      <c r="D655">
        <v>2</v>
      </c>
      <c r="E655" t="s">
        <v>5394</v>
      </c>
    </row>
    <row r="656" spans="2:5">
      <c r="B656" t="s">
        <v>7939</v>
      </c>
      <c r="D656">
        <v>0</v>
      </c>
      <c r="E656" t="s">
        <v>137</v>
      </c>
    </row>
    <row r="657" spans="2:5">
      <c r="B657" t="s">
        <v>7940</v>
      </c>
      <c r="C657" t="s">
        <v>7941</v>
      </c>
      <c r="D657">
        <v>0</v>
      </c>
      <c r="E657" t="s">
        <v>9458</v>
      </c>
    </row>
    <row r="658" spans="2:5">
      <c r="B658" t="s">
        <v>7942</v>
      </c>
      <c r="C658" t="s">
        <v>7943</v>
      </c>
      <c r="D658">
        <v>0</v>
      </c>
      <c r="E658" t="s">
        <v>137</v>
      </c>
    </row>
    <row r="659" spans="2:5">
      <c r="B659" t="s">
        <v>7944</v>
      </c>
      <c r="D659">
        <v>0</v>
      </c>
      <c r="E659" t="s">
        <v>137</v>
      </c>
    </row>
    <row r="660" spans="2:5">
      <c r="B660" t="s">
        <v>7945</v>
      </c>
      <c r="C660" t="s">
        <v>7946</v>
      </c>
      <c r="D660">
        <v>0</v>
      </c>
      <c r="E660" t="s">
        <v>139</v>
      </c>
    </row>
    <row r="661" spans="2:5">
      <c r="B661" t="s">
        <v>7947</v>
      </c>
      <c r="C661" t="s">
        <v>7948</v>
      </c>
      <c r="D661">
        <v>0</v>
      </c>
      <c r="E661" t="s">
        <v>139</v>
      </c>
    </row>
    <row r="662" spans="2:5">
      <c r="B662" t="s">
        <v>7949</v>
      </c>
      <c r="C662" t="s">
        <v>7950</v>
      </c>
      <c r="D662">
        <v>3</v>
      </c>
      <c r="E662" t="s">
        <v>5394</v>
      </c>
    </row>
    <row r="663" spans="2:5">
      <c r="B663" t="s">
        <v>7951</v>
      </c>
      <c r="C663" t="s">
        <v>7952</v>
      </c>
      <c r="D663">
        <v>7</v>
      </c>
      <c r="E663" t="s">
        <v>9458</v>
      </c>
    </row>
    <row r="664" spans="2:5">
      <c r="B664" t="s">
        <v>7953</v>
      </c>
      <c r="C664" t="s">
        <v>7954</v>
      </c>
      <c r="D664">
        <v>22</v>
      </c>
      <c r="E664" t="s">
        <v>5394</v>
      </c>
    </row>
    <row r="665" spans="2:5">
      <c r="B665" t="s">
        <v>7955</v>
      </c>
      <c r="C665" t="s">
        <v>7956</v>
      </c>
      <c r="D665">
        <v>5</v>
      </c>
      <c r="E665" t="s">
        <v>5394</v>
      </c>
    </row>
    <row r="666" spans="2:5">
      <c r="B666" t="s">
        <v>6082</v>
      </c>
      <c r="C666" t="s">
        <v>7957</v>
      </c>
      <c r="D666">
        <v>0</v>
      </c>
      <c r="E666" t="s">
        <v>9458</v>
      </c>
    </row>
    <row r="667" spans="2:5">
      <c r="B667" t="s">
        <v>7958</v>
      </c>
      <c r="C667" t="s">
        <v>7959</v>
      </c>
      <c r="D667">
        <v>1</v>
      </c>
      <c r="E667" t="s">
        <v>9458</v>
      </c>
    </row>
    <row r="668" spans="2:5">
      <c r="B668" t="s">
        <v>7960</v>
      </c>
      <c r="C668" t="s">
        <v>7961</v>
      </c>
      <c r="D668">
        <v>15</v>
      </c>
      <c r="E668" t="s">
        <v>140</v>
      </c>
    </row>
    <row r="669" spans="2:5">
      <c r="B669" t="s">
        <v>6088</v>
      </c>
      <c r="C669" t="s">
        <v>7962</v>
      </c>
      <c r="D669">
        <v>2</v>
      </c>
      <c r="E669" t="s">
        <v>9448</v>
      </c>
    </row>
    <row r="670" spans="2:5">
      <c r="B670" t="s">
        <v>7963</v>
      </c>
      <c r="D670">
        <v>0</v>
      </c>
      <c r="E670" t="s">
        <v>137</v>
      </c>
    </row>
    <row r="671" spans="2:5">
      <c r="B671" t="s">
        <v>7964</v>
      </c>
      <c r="C671" t="s">
        <v>7965</v>
      </c>
      <c r="D671">
        <v>21</v>
      </c>
      <c r="E671" t="s">
        <v>138</v>
      </c>
    </row>
    <row r="672" spans="2:5">
      <c r="B672" t="s">
        <v>7966</v>
      </c>
      <c r="C672" t="s">
        <v>7967</v>
      </c>
      <c r="D672">
        <v>2</v>
      </c>
      <c r="E672" t="s">
        <v>138</v>
      </c>
    </row>
    <row r="673" spans="2:5">
      <c r="B673" t="s">
        <v>7968</v>
      </c>
      <c r="C673" t="s">
        <v>7969</v>
      </c>
      <c r="D673">
        <v>4</v>
      </c>
      <c r="E673" t="s">
        <v>138</v>
      </c>
    </row>
    <row r="674" spans="2:5">
      <c r="B674" t="s">
        <v>7970</v>
      </c>
      <c r="C674" t="s">
        <v>7971</v>
      </c>
      <c r="D674">
        <v>7</v>
      </c>
      <c r="E674" t="s">
        <v>5385</v>
      </c>
    </row>
    <row r="675" spans="2:5">
      <c r="B675" t="s">
        <v>7972</v>
      </c>
      <c r="C675" t="s">
        <v>7973</v>
      </c>
      <c r="D675">
        <v>0</v>
      </c>
      <c r="E675" t="s">
        <v>5396</v>
      </c>
    </row>
    <row r="676" spans="2:5">
      <c r="B676" t="s">
        <v>7974</v>
      </c>
      <c r="C676" t="s">
        <v>7975</v>
      </c>
      <c r="D676">
        <v>17</v>
      </c>
      <c r="E676" t="s">
        <v>138</v>
      </c>
    </row>
    <row r="677" spans="2:5">
      <c r="B677" t="s">
        <v>7976</v>
      </c>
      <c r="C677" t="s">
        <v>7977</v>
      </c>
      <c r="D677">
        <v>8</v>
      </c>
      <c r="E677" t="s">
        <v>138</v>
      </c>
    </row>
    <row r="678" spans="2:5">
      <c r="B678" t="s">
        <v>7978</v>
      </c>
      <c r="C678" t="s">
        <v>7979</v>
      </c>
      <c r="D678">
        <v>2</v>
      </c>
      <c r="E678" t="s">
        <v>5385</v>
      </c>
    </row>
    <row r="679" spans="2:5">
      <c r="B679" t="s">
        <v>7980</v>
      </c>
      <c r="C679" t="s">
        <v>7981</v>
      </c>
      <c r="D679">
        <v>4</v>
      </c>
      <c r="E679" t="s">
        <v>140</v>
      </c>
    </row>
    <row r="680" spans="2:5">
      <c r="B680" t="s">
        <v>7982</v>
      </c>
      <c r="C680" t="s">
        <v>7983</v>
      </c>
      <c r="D680">
        <v>2</v>
      </c>
      <c r="E680" t="s">
        <v>138</v>
      </c>
    </row>
    <row r="681" spans="2:5">
      <c r="B681" t="s">
        <v>7984</v>
      </c>
      <c r="C681" t="s">
        <v>7985</v>
      </c>
      <c r="D681">
        <v>11</v>
      </c>
      <c r="E681" t="s">
        <v>5394</v>
      </c>
    </row>
    <row r="682" spans="2:5">
      <c r="B682" t="s">
        <v>7986</v>
      </c>
      <c r="C682" t="s">
        <v>7987</v>
      </c>
      <c r="D682">
        <v>0</v>
      </c>
      <c r="E682" t="s">
        <v>139</v>
      </c>
    </row>
    <row r="683" spans="2:5">
      <c r="B683" t="s">
        <v>7988</v>
      </c>
      <c r="C683" t="s">
        <v>7989</v>
      </c>
      <c r="D683">
        <v>1</v>
      </c>
      <c r="E683" t="s">
        <v>138</v>
      </c>
    </row>
    <row r="684" spans="2:5">
      <c r="B684" t="s">
        <v>6095</v>
      </c>
      <c r="C684" t="s">
        <v>7990</v>
      </c>
      <c r="D684">
        <v>4</v>
      </c>
      <c r="E684" t="s">
        <v>139</v>
      </c>
    </row>
    <row r="685" spans="2:5">
      <c r="B685" t="s">
        <v>7991</v>
      </c>
      <c r="C685" t="s">
        <v>7992</v>
      </c>
      <c r="D685">
        <v>2</v>
      </c>
      <c r="E685" t="s">
        <v>138</v>
      </c>
    </row>
    <row r="686" spans="2:5">
      <c r="B686" t="s">
        <v>7993</v>
      </c>
      <c r="C686" t="s">
        <v>7994</v>
      </c>
      <c r="D686">
        <v>0</v>
      </c>
      <c r="E686" t="s">
        <v>138</v>
      </c>
    </row>
    <row r="687" spans="2:5">
      <c r="B687" t="s">
        <v>7995</v>
      </c>
      <c r="C687" t="s">
        <v>7996</v>
      </c>
      <c r="D687">
        <v>3</v>
      </c>
      <c r="E687" t="s">
        <v>138</v>
      </c>
    </row>
    <row r="688" spans="2:5">
      <c r="B688" t="s">
        <v>7997</v>
      </c>
      <c r="C688" t="s">
        <v>7998</v>
      </c>
      <c r="D688">
        <v>2</v>
      </c>
      <c r="E688" t="s">
        <v>139</v>
      </c>
    </row>
    <row r="689" spans="2:5">
      <c r="B689" t="s">
        <v>7999</v>
      </c>
      <c r="C689" t="s">
        <v>8000</v>
      </c>
      <c r="D689">
        <v>4</v>
      </c>
      <c r="E689" t="s">
        <v>139</v>
      </c>
    </row>
    <row r="690" spans="2:5">
      <c r="B690" t="s">
        <v>8001</v>
      </c>
      <c r="D690">
        <v>0</v>
      </c>
      <c r="E690" t="s">
        <v>137</v>
      </c>
    </row>
    <row r="691" spans="2:5">
      <c r="B691" t="s">
        <v>8002</v>
      </c>
      <c r="D691">
        <v>0</v>
      </c>
      <c r="E691" t="s">
        <v>137</v>
      </c>
    </row>
    <row r="692" spans="2:5">
      <c r="B692" t="s">
        <v>8003</v>
      </c>
      <c r="C692" t="s">
        <v>8004</v>
      </c>
      <c r="D692">
        <v>0</v>
      </c>
      <c r="E692" t="s">
        <v>139</v>
      </c>
    </row>
    <row r="693" spans="2:5">
      <c r="B693" t="s">
        <v>8005</v>
      </c>
      <c r="C693" t="s">
        <v>8006</v>
      </c>
      <c r="D693">
        <v>0</v>
      </c>
      <c r="E693" t="s">
        <v>139</v>
      </c>
    </row>
    <row r="694" spans="2:5">
      <c r="B694" t="s">
        <v>8007</v>
      </c>
      <c r="C694" t="s">
        <v>8008</v>
      </c>
      <c r="D694">
        <v>1</v>
      </c>
      <c r="E694" t="s">
        <v>138</v>
      </c>
    </row>
    <row r="695" spans="2:5">
      <c r="B695" t="s">
        <v>8009</v>
      </c>
      <c r="C695" t="s">
        <v>8010</v>
      </c>
      <c r="D695">
        <v>3</v>
      </c>
      <c r="E695" t="s">
        <v>138</v>
      </c>
    </row>
    <row r="696" spans="2:5">
      <c r="B696" t="s">
        <v>8011</v>
      </c>
      <c r="C696" t="s">
        <v>8012</v>
      </c>
      <c r="D696">
        <v>4</v>
      </c>
      <c r="E696" t="s">
        <v>5394</v>
      </c>
    </row>
    <row r="697" spans="2:5">
      <c r="B697" t="s">
        <v>8013</v>
      </c>
      <c r="C697" t="s">
        <v>8014</v>
      </c>
      <c r="D697">
        <v>0</v>
      </c>
      <c r="E697" t="s">
        <v>5396</v>
      </c>
    </row>
    <row r="698" spans="2:5">
      <c r="B698" t="s">
        <v>8015</v>
      </c>
      <c r="C698" t="s">
        <v>8016</v>
      </c>
      <c r="D698">
        <v>1</v>
      </c>
      <c r="E698" t="s">
        <v>138</v>
      </c>
    </row>
    <row r="699" spans="2:5">
      <c r="B699" t="s">
        <v>8017</v>
      </c>
      <c r="C699" t="s">
        <v>8018</v>
      </c>
      <c r="D699">
        <v>1</v>
      </c>
      <c r="E699" t="s">
        <v>138</v>
      </c>
    </row>
    <row r="700" spans="2:5">
      <c r="B700" t="s">
        <v>8019</v>
      </c>
      <c r="C700" t="s">
        <v>8020</v>
      </c>
      <c r="D700">
        <v>3</v>
      </c>
      <c r="E700" t="s">
        <v>5385</v>
      </c>
    </row>
    <row r="701" spans="2:5">
      <c r="B701" t="s">
        <v>6101</v>
      </c>
      <c r="C701" t="s">
        <v>8021</v>
      </c>
      <c r="D701">
        <v>16</v>
      </c>
      <c r="E701" t="s">
        <v>138</v>
      </c>
    </row>
    <row r="702" spans="2:5">
      <c r="B702" t="s">
        <v>6107</v>
      </c>
      <c r="C702" t="s">
        <v>8022</v>
      </c>
      <c r="D702">
        <v>6</v>
      </c>
      <c r="E702" t="s">
        <v>139</v>
      </c>
    </row>
    <row r="703" spans="2:5">
      <c r="B703" t="s">
        <v>8023</v>
      </c>
      <c r="C703" t="s">
        <v>8024</v>
      </c>
      <c r="D703">
        <v>15</v>
      </c>
      <c r="E703" t="s">
        <v>139</v>
      </c>
    </row>
    <row r="704" spans="2:5">
      <c r="B704" t="s">
        <v>8025</v>
      </c>
      <c r="C704" t="s">
        <v>8026</v>
      </c>
      <c r="D704">
        <v>6</v>
      </c>
      <c r="E704" t="s">
        <v>139</v>
      </c>
    </row>
    <row r="705" spans="2:5">
      <c r="B705" t="s">
        <v>8027</v>
      </c>
      <c r="C705" t="s">
        <v>8028</v>
      </c>
      <c r="D705">
        <v>1</v>
      </c>
      <c r="E705" t="s">
        <v>5394</v>
      </c>
    </row>
    <row r="706" spans="2:5">
      <c r="B706" t="s">
        <v>8029</v>
      </c>
      <c r="C706" t="s">
        <v>8030</v>
      </c>
      <c r="D706">
        <v>13</v>
      </c>
      <c r="E706" t="s">
        <v>9448</v>
      </c>
    </row>
    <row r="707" spans="2:5">
      <c r="B707" t="s">
        <v>6113</v>
      </c>
      <c r="C707" t="s">
        <v>8031</v>
      </c>
      <c r="D707">
        <v>2</v>
      </c>
      <c r="E707" t="s">
        <v>139</v>
      </c>
    </row>
    <row r="708" spans="2:5">
      <c r="B708" t="s">
        <v>8032</v>
      </c>
      <c r="C708" t="s">
        <v>8033</v>
      </c>
      <c r="D708">
        <v>1</v>
      </c>
      <c r="E708" t="s">
        <v>138</v>
      </c>
    </row>
    <row r="709" spans="2:5">
      <c r="B709" t="s">
        <v>6119</v>
      </c>
      <c r="C709" t="s">
        <v>8034</v>
      </c>
      <c r="D709">
        <v>0</v>
      </c>
      <c r="E709" t="s">
        <v>138</v>
      </c>
    </row>
    <row r="710" spans="2:5">
      <c r="B710" t="s">
        <v>6125</v>
      </c>
      <c r="C710" t="s">
        <v>8035</v>
      </c>
      <c r="D710">
        <v>0</v>
      </c>
      <c r="E710" t="s">
        <v>139</v>
      </c>
    </row>
    <row r="711" spans="2:5">
      <c r="B711" t="s">
        <v>8036</v>
      </c>
      <c r="C711" t="s">
        <v>8037</v>
      </c>
      <c r="D711">
        <v>83</v>
      </c>
      <c r="E711" t="s">
        <v>5394</v>
      </c>
    </row>
    <row r="712" spans="2:5">
      <c r="B712" t="s">
        <v>8038</v>
      </c>
      <c r="C712" t="s">
        <v>8039</v>
      </c>
      <c r="D712">
        <v>0</v>
      </c>
      <c r="E712" t="s">
        <v>5394</v>
      </c>
    </row>
    <row r="713" spans="2:5">
      <c r="B713" t="s">
        <v>8040</v>
      </c>
      <c r="C713" t="s">
        <v>8041</v>
      </c>
      <c r="D713">
        <v>1</v>
      </c>
      <c r="E713" t="s">
        <v>139</v>
      </c>
    </row>
    <row r="714" spans="2:5">
      <c r="B714" t="s">
        <v>8042</v>
      </c>
      <c r="C714" t="s">
        <v>8043</v>
      </c>
      <c r="D714">
        <v>0</v>
      </c>
      <c r="E714" t="s">
        <v>139</v>
      </c>
    </row>
    <row r="715" spans="2:5">
      <c r="B715" t="s">
        <v>8044</v>
      </c>
      <c r="D715">
        <v>0</v>
      </c>
      <c r="E715" t="s">
        <v>137</v>
      </c>
    </row>
    <row r="716" spans="2:5">
      <c r="B716" t="s">
        <v>8045</v>
      </c>
      <c r="C716" t="s">
        <v>8046</v>
      </c>
      <c r="D716">
        <v>0</v>
      </c>
      <c r="E716" t="s">
        <v>138</v>
      </c>
    </row>
    <row r="717" spans="2:5">
      <c r="B717" t="s">
        <v>8047</v>
      </c>
      <c r="C717" t="s">
        <v>8048</v>
      </c>
      <c r="D717">
        <v>1</v>
      </c>
      <c r="E717" t="s">
        <v>138</v>
      </c>
    </row>
    <row r="718" spans="2:5">
      <c r="B718" t="s">
        <v>8049</v>
      </c>
      <c r="C718" t="s">
        <v>8050</v>
      </c>
      <c r="D718">
        <v>0</v>
      </c>
      <c r="E718" t="s">
        <v>138</v>
      </c>
    </row>
    <row r="719" spans="2:5">
      <c r="B719" t="s">
        <v>8051</v>
      </c>
      <c r="C719" t="s">
        <v>8052</v>
      </c>
      <c r="D719">
        <v>2</v>
      </c>
      <c r="E719" t="s">
        <v>138</v>
      </c>
    </row>
    <row r="720" spans="2:5">
      <c r="B720" t="s">
        <v>8053</v>
      </c>
      <c r="C720" t="s">
        <v>8054</v>
      </c>
      <c r="D720">
        <v>7</v>
      </c>
      <c r="E720" t="s">
        <v>139</v>
      </c>
    </row>
    <row r="721" spans="2:5">
      <c r="B721" t="s">
        <v>8055</v>
      </c>
      <c r="C721" t="s">
        <v>8056</v>
      </c>
      <c r="D721">
        <v>20</v>
      </c>
      <c r="E721" t="s">
        <v>5394</v>
      </c>
    </row>
    <row r="722" spans="2:5">
      <c r="B722" t="s">
        <v>8057</v>
      </c>
      <c r="C722" t="s">
        <v>8058</v>
      </c>
      <c r="D722">
        <v>19</v>
      </c>
      <c r="E722" t="s">
        <v>140</v>
      </c>
    </row>
    <row r="723" spans="2:5">
      <c r="B723" t="s">
        <v>8059</v>
      </c>
      <c r="C723" t="s">
        <v>8060</v>
      </c>
      <c r="D723">
        <v>9</v>
      </c>
      <c r="E723" t="s">
        <v>5394</v>
      </c>
    </row>
    <row r="724" spans="2:5">
      <c r="B724" t="s">
        <v>8061</v>
      </c>
      <c r="C724" t="s">
        <v>8062</v>
      </c>
      <c r="D724">
        <v>5</v>
      </c>
      <c r="E724" t="s">
        <v>5394</v>
      </c>
    </row>
    <row r="725" spans="2:5">
      <c r="B725" t="s">
        <v>8063</v>
      </c>
      <c r="C725" t="s">
        <v>8064</v>
      </c>
      <c r="D725">
        <v>4</v>
      </c>
      <c r="E725" t="s">
        <v>5385</v>
      </c>
    </row>
    <row r="726" spans="2:5">
      <c r="B726" t="s">
        <v>8065</v>
      </c>
      <c r="C726" t="s">
        <v>8066</v>
      </c>
      <c r="D726">
        <v>1</v>
      </c>
      <c r="E726" t="s">
        <v>5396</v>
      </c>
    </row>
    <row r="727" spans="2:5">
      <c r="B727" t="s">
        <v>8067</v>
      </c>
      <c r="C727" t="s">
        <v>8068</v>
      </c>
      <c r="D727">
        <v>4</v>
      </c>
      <c r="E727" t="s">
        <v>138</v>
      </c>
    </row>
    <row r="728" spans="2:5">
      <c r="B728" t="s">
        <v>8069</v>
      </c>
      <c r="C728" t="s">
        <v>8070</v>
      </c>
      <c r="D728">
        <v>0</v>
      </c>
      <c r="E728" t="s">
        <v>139</v>
      </c>
    </row>
    <row r="729" spans="2:5">
      <c r="B729" t="s">
        <v>8071</v>
      </c>
      <c r="D729">
        <v>0</v>
      </c>
      <c r="E729" t="s">
        <v>137</v>
      </c>
    </row>
    <row r="730" spans="2:5">
      <c r="B730" t="s">
        <v>8072</v>
      </c>
      <c r="C730" t="s">
        <v>8073</v>
      </c>
      <c r="D730">
        <v>1</v>
      </c>
      <c r="E730" t="s">
        <v>138</v>
      </c>
    </row>
    <row r="731" spans="2:5">
      <c r="B731" t="s">
        <v>8074</v>
      </c>
      <c r="C731" t="s">
        <v>8075</v>
      </c>
      <c r="D731">
        <v>0</v>
      </c>
      <c r="E731" t="s">
        <v>138</v>
      </c>
    </row>
    <row r="732" spans="2:5">
      <c r="B732" t="s">
        <v>6131</v>
      </c>
      <c r="C732" t="s">
        <v>8076</v>
      </c>
      <c r="D732">
        <v>17</v>
      </c>
      <c r="E732" t="s">
        <v>139</v>
      </c>
    </row>
    <row r="733" spans="2:5">
      <c r="B733" t="s">
        <v>8077</v>
      </c>
      <c r="C733" t="s">
        <v>8078</v>
      </c>
      <c r="D733">
        <v>1</v>
      </c>
      <c r="E733" t="s">
        <v>138</v>
      </c>
    </row>
    <row r="734" spans="2:5">
      <c r="B734" t="s">
        <v>8079</v>
      </c>
      <c r="C734" t="s">
        <v>8080</v>
      </c>
      <c r="D734">
        <v>0</v>
      </c>
      <c r="E734" t="s">
        <v>138</v>
      </c>
    </row>
    <row r="735" spans="2:5">
      <c r="B735" t="s">
        <v>8081</v>
      </c>
      <c r="C735" t="s">
        <v>8082</v>
      </c>
      <c r="D735">
        <v>0</v>
      </c>
      <c r="E735" t="s">
        <v>138</v>
      </c>
    </row>
    <row r="736" spans="2:5">
      <c r="B736" t="s">
        <v>8083</v>
      </c>
      <c r="C736" t="s">
        <v>8084</v>
      </c>
      <c r="D736">
        <v>0</v>
      </c>
      <c r="E736" t="s">
        <v>139</v>
      </c>
    </row>
    <row r="737" spans="2:5">
      <c r="B737" t="s">
        <v>6137</v>
      </c>
      <c r="C737" t="s">
        <v>8085</v>
      </c>
      <c r="D737">
        <v>16</v>
      </c>
      <c r="E737" t="s">
        <v>5394</v>
      </c>
    </row>
    <row r="738" spans="2:5">
      <c r="B738" t="s">
        <v>8086</v>
      </c>
      <c r="C738" t="s">
        <v>8087</v>
      </c>
      <c r="D738">
        <v>0</v>
      </c>
      <c r="E738" t="s">
        <v>139</v>
      </c>
    </row>
    <row r="739" spans="2:5">
      <c r="B739" t="s">
        <v>8088</v>
      </c>
      <c r="C739" t="s">
        <v>8089</v>
      </c>
      <c r="D739">
        <v>0</v>
      </c>
      <c r="E739" t="s">
        <v>139</v>
      </c>
    </row>
    <row r="740" spans="2:5">
      <c r="B740" t="s">
        <v>8090</v>
      </c>
      <c r="C740" t="s">
        <v>8091</v>
      </c>
      <c r="D740">
        <v>0</v>
      </c>
      <c r="E740" t="s">
        <v>139</v>
      </c>
    </row>
    <row r="741" spans="2:5">
      <c r="B741" t="s">
        <v>8092</v>
      </c>
      <c r="C741" t="s">
        <v>8093</v>
      </c>
      <c r="D741">
        <v>3</v>
      </c>
      <c r="E741" t="s">
        <v>139</v>
      </c>
    </row>
    <row r="742" spans="2:5">
      <c r="B742" t="s">
        <v>8094</v>
      </c>
      <c r="C742" t="s">
        <v>8095</v>
      </c>
      <c r="D742">
        <v>0</v>
      </c>
      <c r="E742" t="s">
        <v>139</v>
      </c>
    </row>
    <row r="743" spans="2:5">
      <c r="B743" t="s">
        <v>8096</v>
      </c>
      <c r="C743" t="s">
        <v>8097</v>
      </c>
      <c r="D743">
        <v>0</v>
      </c>
      <c r="E743" t="s">
        <v>137</v>
      </c>
    </row>
    <row r="744" spans="2:5">
      <c r="B744" t="s">
        <v>8098</v>
      </c>
      <c r="C744" t="s">
        <v>8099</v>
      </c>
      <c r="D744">
        <v>0</v>
      </c>
      <c r="E744" t="s">
        <v>137</v>
      </c>
    </row>
    <row r="745" spans="2:5">
      <c r="B745" t="s">
        <v>8100</v>
      </c>
      <c r="C745" t="s">
        <v>8101</v>
      </c>
      <c r="D745">
        <v>0</v>
      </c>
      <c r="E745" t="s">
        <v>139</v>
      </c>
    </row>
    <row r="746" spans="2:5">
      <c r="B746" t="s">
        <v>8102</v>
      </c>
      <c r="D746">
        <v>0</v>
      </c>
      <c r="E746" t="s">
        <v>137</v>
      </c>
    </row>
    <row r="747" spans="2:5">
      <c r="B747" t="s">
        <v>8103</v>
      </c>
      <c r="C747" t="s">
        <v>8104</v>
      </c>
      <c r="D747">
        <v>2</v>
      </c>
      <c r="E747" t="s">
        <v>139</v>
      </c>
    </row>
    <row r="748" spans="2:5">
      <c r="B748" t="s">
        <v>8105</v>
      </c>
      <c r="C748" t="s">
        <v>8106</v>
      </c>
      <c r="D748">
        <v>0</v>
      </c>
      <c r="E748" t="s">
        <v>139</v>
      </c>
    </row>
    <row r="749" spans="2:5">
      <c r="B749" t="s">
        <v>8107</v>
      </c>
      <c r="C749" t="s">
        <v>8108</v>
      </c>
      <c r="D749">
        <v>0</v>
      </c>
      <c r="E749" t="s">
        <v>139</v>
      </c>
    </row>
    <row r="750" spans="2:5">
      <c r="B750" t="s">
        <v>8109</v>
      </c>
      <c r="C750" t="s">
        <v>8106</v>
      </c>
      <c r="D750">
        <v>0</v>
      </c>
      <c r="E750" t="s">
        <v>137</v>
      </c>
    </row>
    <row r="751" spans="2:5">
      <c r="B751" t="s">
        <v>8110</v>
      </c>
      <c r="C751" t="s">
        <v>8111</v>
      </c>
      <c r="D751">
        <v>2</v>
      </c>
      <c r="E751" t="s">
        <v>137</v>
      </c>
    </row>
    <row r="752" spans="2:5">
      <c r="B752" t="s">
        <v>8112</v>
      </c>
      <c r="C752" t="s">
        <v>8113</v>
      </c>
      <c r="D752">
        <v>5</v>
      </c>
      <c r="E752" t="s">
        <v>137</v>
      </c>
    </row>
    <row r="753" spans="2:5">
      <c r="B753" t="s">
        <v>8114</v>
      </c>
      <c r="C753" t="s">
        <v>8115</v>
      </c>
      <c r="D753">
        <v>0</v>
      </c>
      <c r="E753" t="s">
        <v>137</v>
      </c>
    </row>
    <row r="754" spans="2:5">
      <c r="B754" t="s">
        <v>8116</v>
      </c>
      <c r="C754" t="s">
        <v>8117</v>
      </c>
      <c r="D754">
        <v>0</v>
      </c>
      <c r="E754" t="s">
        <v>139</v>
      </c>
    </row>
    <row r="755" spans="2:5">
      <c r="B755" t="s">
        <v>8118</v>
      </c>
      <c r="C755" t="s">
        <v>8119</v>
      </c>
      <c r="D755">
        <v>2</v>
      </c>
      <c r="E755" t="s">
        <v>139</v>
      </c>
    </row>
    <row r="756" spans="2:5">
      <c r="B756" t="s">
        <v>8120</v>
      </c>
      <c r="C756" t="s">
        <v>8121</v>
      </c>
      <c r="D756">
        <v>0</v>
      </c>
      <c r="E756" t="s">
        <v>139</v>
      </c>
    </row>
    <row r="757" spans="2:5">
      <c r="B757" t="s">
        <v>8122</v>
      </c>
      <c r="C757" t="s">
        <v>8123</v>
      </c>
      <c r="D757">
        <v>0</v>
      </c>
      <c r="E757" t="s">
        <v>137</v>
      </c>
    </row>
    <row r="758" spans="2:5">
      <c r="B758" t="s">
        <v>8124</v>
      </c>
      <c r="C758" t="s">
        <v>8125</v>
      </c>
      <c r="D758">
        <v>0</v>
      </c>
      <c r="E758" t="s">
        <v>5396</v>
      </c>
    </row>
    <row r="759" spans="2:5">
      <c r="B759" t="s">
        <v>6145</v>
      </c>
      <c r="C759" t="s">
        <v>8126</v>
      </c>
      <c r="D759">
        <v>4</v>
      </c>
      <c r="E759" t="s">
        <v>137</v>
      </c>
    </row>
    <row r="760" spans="2:5">
      <c r="B760" t="s">
        <v>6151</v>
      </c>
      <c r="C760" t="s">
        <v>8127</v>
      </c>
      <c r="D760">
        <v>4</v>
      </c>
      <c r="E760" t="s">
        <v>9448</v>
      </c>
    </row>
    <row r="761" spans="2:5">
      <c r="B761" t="s">
        <v>8128</v>
      </c>
      <c r="D761">
        <v>0</v>
      </c>
      <c r="E761" t="s">
        <v>137</v>
      </c>
    </row>
    <row r="762" spans="2:5">
      <c r="B762" t="s">
        <v>8129</v>
      </c>
      <c r="C762" t="s">
        <v>8130</v>
      </c>
      <c r="D762">
        <v>1</v>
      </c>
      <c r="E762" t="s">
        <v>5396</v>
      </c>
    </row>
    <row r="763" spans="2:5">
      <c r="B763" t="s">
        <v>8131</v>
      </c>
      <c r="C763" t="s">
        <v>8132</v>
      </c>
      <c r="D763">
        <v>0</v>
      </c>
      <c r="E763" t="s">
        <v>137</v>
      </c>
    </row>
    <row r="764" spans="2:5">
      <c r="B764" t="s">
        <v>8133</v>
      </c>
      <c r="C764" t="s">
        <v>8134</v>
      </c>
      <c r="D764">
        <v>18</v>
      </c>
      <c r="E764" t="s">
        <v>139</v>
      </c>
    </row>
    <row r="765" spans="2:5">
      <c r="B765" t="s">
        <v>8135</v>
      </c>
      <c r="C765" t="s">
        <v>8136</v>
      </c>
      <c r="D765">
        <v>19</v>
      </c>
      <c r="E765" t="s">
        <v>137</v>
      </c>
    </row>
    <row r="766" spans="2:5">
      <c r="B766" t="s">
        <v>8137</v>
      </c>
      <c r="C766" t="s">
        <v>8138</v>
      </c>
      <c r="D766">
        <v>2</v>
      </c>
      <c r="E766" t="s">
        <v>9462</v>
      </c>
    </row>
    <row r="767" spans="2:5">
      <c r="B767" t="s">
        <v>8139</v>
      </c>
      <c r="D767">
        <v>0</v>
      </c>
      <c r="E767" t="s">
        <v>137</v>
      </c>
    </row>
    <row r="768" spans="2:5">
      <c r="B768" t="s">
        <v>8140</v>
      </c>
      <c r="C768" t="s">
        <v>8141</v>
      </c>
      <c r="D768">
        <v>0</v>
      </c>
      <c r="E768" t="s">
        <v>137</v>
      </c>
    </row>
    <row r="769" spans="2:5">
      <c r="B769" t="s">
        <v>8142</v>
      </c>
      <c r="C769" t="s">
        <v>8143</v>
      </c>
      <c r="D769">
        <v>8</v>
      </c>
      <c r="E769" t="s">
        <v>140</v>
      </c>
    </row>
    <row r="770" spans="2:5">
      <c r="B770" t="s">
        <v>8144</v>
      </c>
      <c r="C770" t="s">
        <v>8145</v>
      </c>
      <c r="D770">
        <v>2</v>
      </c>
      <c r="E770" t="s">
        <v>137</v>
      </c>
    </row>
    <row r="771" spans="2:5">
      <c r="B771" t="s">
        <v>8146</v>
      </c>
      <c r="C771" t="s">
        <v>8147</v>
      </c>
      <c r="D771">
        <v>0</v>
      </c>
      <c r="E771" t="s">
        <v>139</v>
      </c>
    </row>
    <row r="772" spans="2:5">
      <c r="B772" t="s">
        <v>8148</v>
      </c>
      <c r="C772" t="s">
        <v>8149</v>
      </c>
      <c r="D772">
        <v>2</v>
      </c>
      <c r="E772" t="s">
        <v>5394</v>
      </c>
    </row>
    <row r="773" spans="2:5">
      <c r="B773" t="s">
        <v>8150</v>
      </c>
      <c r="C773" t="s">
        <v>8151</v>
      </c>
      <c r="D773">
        <v>0</v>
      </c>
      <c r="E773" t="s">
        <v>137</v>
      </c>
    </row>
    <row r="774" spans="2:5">
      <c r="B774" t="s">
        <v>8152</v>
      </c>
      <c r="C774" t="s">
        <v>8153</v>
      </c>
      <c r="D774">
        <v>3</v>
      </c>
      <c r="E774" t="s">
        <v>5394</v>
      </c>
    </row>
    <row r="775" spans="2:5">
      <c r="B775" t="s">
        <v>8154</v>
      </c>
      <c r="C775" t="s">
        <v>8155</v>
      </c>
      <c r="D775">
        <v>0</v>
      </c>
      <c r="E775" t="s">
        <v>139</v>
      </c>
    </row>
    <row r="776" spans="2:5">
      <c r="B776" t="s">
        <v>8156</v>
      </c>
      <c r="C776" t="s">
        <v>8157</v>
      </c>
      <c r="D776">
        <v>1</v>
      </c>
      <c r="E776" t="s">
        <v>139</v>
      </c>
    </row>
    <row r="777" spans="2:5">
      <c r="B777" t="s">
        <v>8158</v>
      </c>
      <c r="C777" t="s">
        <v>8159</v>
      </c>
      <c r="D777">
        <v>0</v>
      </c>
      <c r="E777" t="s">
        <v>9462</v>
      </c>
    </row>
    <row r="778" spans="2:5">
      <c r="B778" t="s">
        <v>8160</v>
      </c>
      <c r="D778">
        <v>0</v>
      </c>
      <c r="E778" t="s">
        <v>137</v>
      </c>
    </row>
    <row r="779" spans="2:5">
      <c r="B779" t="s">
        <v>8161</v>
      </c>
      <c r="C779" t="s">
        <v>8162</v>
      </c>
      <c r="D779">
        <v>0</v>
      </c>
      <c r="E779" t="s">
        <v>139</v>
      </c>
    </row>
    <row r="780" spans="2:5">
      <c r="B780" t="s">
        <v>8163</v>
      </c>
      <c r="C780" t="s">
        <v>8164</v>
      </c>
      <c r="D780">
        <v>0</v>
      </c>
      <c r="E780" t="s">
        <v>137</v>
      </c>
    </row>
    <row r="781" spans="2:5">
      <c r="B781" t="s">
        <v>8165</v>
      </c>
      <c r="C781" t="s">
        <v>8166</v>
      </c>
      <c r="D781">
        <v>3</v>
      </c>
      <c r="E781" t="s">
        <v>137</v>
      </c>
    </row>
    <row r="782" spans="2:5">
      <c r="B782" t="s">
        <v>8167</v>
      </c>
      <c r="C782" t="s">
        <v>8168</v>
      </c>
      <c r="D782">
        <v>17</v>
      </c>
      <c r="E782" t="s">
        <v>5394</v>
      </c>
    </row>
    <row r="783" spans="2:5">
      <c r="B783" t="s">
        <v>8169</v>
      </c>
      <c r="C783" t="s">
        <v>8170</v>
      </c>
      <c r="D783">
        <v>19</v>
      </c>
      <c r="E783" t="s">
        <v>5396</v>
      </c>
    </row>
    <row r="784" spans="2:5">
      <c r="B784" t="s">
        <v>8171</v>
      </c>
      <c r="C784" t="s">
        <v>8172</v>
      </c>
      <c r="D784">
        <v>1</v>
      </c>
      <c r="E784" t="s">
        <v>5396</v>
      </c>
    </row>
    <row r="785" spans="2:5">
      <c r="B785" t="s">
        <v>8173</v>
      </c>
      <c r="C785" t="s">
        <v>8174</v>
      </c>
      <c r="D785">
        <v>0</v>
      </c>
      <c r="E785" t="s">
        <v>137</v>
      </c>
    </row>
    <row r="786" spans="2:5">
      <c r="B786" t="s">
        <v>8175</v>
      </c>
      <c r="C786" t="s">
        <v>8176</v>
      </c>
      <c r="D786">
        <v>0</v>
      </c>
      <c r="E786" t="s">
        <v>137</v>
      </c>
    </row>
    <row r="787" spans="2:5">
      <c r="B787" t="s">
        <v>8177</v>
      </c>
      <c r="C787" t="s">
        <v>8178</v>
      </c>
      <c r="D787">
        <v>0</v>
      </c>
      <c r="E787" t="s">
        <v>137</v>
      </c>
    </row>
    <row r="788" spans="2:5">
      <c r="B788" t="s">
        <v>8179</v>
      </c>
      <c r="D788">
        <v>0</v>
      </c>
      <c r="E788" t="s">
        <v>137</v>
      </c>
    </row>
    <row r="789" spans="2:5">
      <c r="B789" t="s">
        <v>8180</v>
      </c>
      <c r="C789" t="s">
        <v>8181</v>
      </c>
      <c r="D789">
        <v>0</v>
      </c>
      <c r="E789" t="s">
        <v>137</v>
      </c>
    </row>
    <row r="790" spans="2:5">
      <c r="B790" t="s">
        <v>8182</v>
      </c>
      <c r="C790" t="s">
        <v>8183</v>
      </c>
      <c r="D790">
        <v>0</v>
      </c>
      <c r="E790" t="s">
        <v>137</v>
      </c>
    </row>
    <row r="791" spans="2:5">
      <c r="B791" t="s">
        <v>8184</v>
      </c>
      <c r="C791" t="s">
        <v>8185</v>
      </c>
      <c r="D791">
        <v>0</v>
      </c>
      <c r="E791" t="s">
        <v>137</v>
      </c>
    </row>
    <row r="792" spans="2:5">
      <c r="B792" t="s">
        <v>8186</v>
      </c>
      <c r="C792" t="s">
        <v>8187</v>
      </c>
      <c r="D792">
        <v>61</v>
      </c>
      <c r="E792" t="s">
        <v>5394</v>
      </c>
    </row>
    <row r="793" spans="2:5">
      <c r="B793" t="s">
        <v>8188</v>
      </c>
      <c r="C793" t="s">
        <v>8189</v>
      </c>
      <c r="D793">
        <v>3</v>
      </c>
      <c r="E793" t="s">
        <v>5396</v>
      </c>
    </row>
    <row r="794" spans="2:5">
      <c r="B794" t="s">
        <v>8190</v>
      </c>
      <c r="C794" t="s">
        <v>8191</v>
      </c>
      <c r="D794">
        <v>2</v>
      </c>
      <c r="E794" t="s">
        <v>5396</v>
      </c>
    </row>
    <row r="795" spans="2:5">
      <c r="B795" t="s">
        <v>8192</v>
      </c>
      <c r="C795" t="s">
        <v>8193</v>
      </c>
      <c r="D795">
        <v>0</v>
      </c>
      <c r="E795" t="s">
        <v>9462</v>
      </c>
    </row>
    <row r="796" spans="2:5">
      <c r="B796" t="s">
        <v>6158</v>
      </c>
      <c r="C796" t="s">
        <v>8194</v>
      </c>
      <c r="D796">
        <v>3</v>
      </c>
      <c r="E796" t="s">
        <v>9462</v>
      </c>
    </row>
    <row r="797" spans="2:5">
      <c r="B797" t="s">
        <v>8195</v>
      </c>
      <c r="C797" t="s">
        <v>8196</v>
      </c>
      <c r="D797">
        <v>0</v>
      </c>
      <c r="E797" t="s">
        <v>137</v>
      </c>
    </row>
    <row r="798" spans="2:5">
      <c r="B798" t="s">
        <v>8197</v>
      </c>
      <c r="C798" t="s">
        <v>8198</v>
      </c>
      <c r="D798">
        <v>4</v>
      </c>
      <c r="E798" t="s">
        <v>139</v>
      </c>
    </row>
    <row r="799" spans="2:5">
      <c r="B799" t="s">
        <v>8199</v>
      </c>
      <c r="C799" t="s">
        <v>8200</v>
      </c>
      <c r="D799">
        <v>4</v>
      </c>
      <c r="E799" t="s">
        <v>5394</v>
      </c>
    </row>
    <row r="800" spans="2:5">
      <c r="B800" t="s">
        <v>6161</v>
      </c>
      <c r="C800" t="s">
        <v>8201</v>
      </c>
      <c r="D800">
        <v>10</v>
      </c>
      <c r="E800" t="s">
        <v>139</v>
      </c>
    </row>
    <row r="801" spans="2:5">
      <c r="B801" t="s">
        <v>8202</v>
      </c>
      <c r="C801" t="s">
        <v>8203</v>
      </c>
      <c r="D801">
        <v>13</v>
      </c>
      <c r="E801" t="s">
        <v>5394</v>
      </c>
    </row>
    <row r="802" spans="2:5">
      <c r="B802" t="s">
        <v>8204</v>
      </c>
      <c r="C802" t="s">
        <v>8205</v>
      </c>
      <c r="D802">
        <v>5</v>
      </c>
      <c r="E802" t="s">
        <v>139</v>
      </c>
    </row>
    <row r="803" spans="2:5">
      <c r="B803" t="s">
        <v>8206</v>
      </c>
      <c r="C803" t="s">
        <v>8207</v>
      </c>
      <c r="D803">
        <v>3</v>
      </c>
      <c r="E803" t="s">
        <v>139</v>
      </c>
    </row>
    <row r="804" spans="2:5">
      <c r="B804" t="s">
        <v>8208</v>
      </c>
      <c r="C804" t="s">
        <v>8209</v>
      </c>
      <c r="D804">
        <v>0</v>
      </c>
      <c r="E804" t="s">
        <v>5385</v>
      </c>
    </row>
    <row r="805" spans="2:5">
      <c r="B805" t="s">
        <v>8210</v>
      </c>
      <c r="C805" t="s">
        <v>8211</v>
      </c>
      <c r="D805">
        <v>13</v>
      </c>
      <c r="E805" t="s">
        <v>5394</v>
      </c>
    </row>
    <row r="806" spans="2:5">
      <c r="B806" t="s">
        <v>8212</v>
      </c>
      <c r="C806" t="s">
        <v>8213</v>
      </c>
      <c r="D806">
        <v>0</v>
      </c>
      <c r="E806" t="s">
        <v>9462</v>
      </c>
    </row>
    <row r="807" spans="2:5">
      <c r="B807" t="s">
        <v>6167</v>
      </c>
      <c r="C807" t="s">
        <v>8214</v>
      </c>
      <c r="D807">
        <v>9</v>
      </c>
      <c r="E807" t="s">
        <v>139</v>
      </c>
    </row>
    <row r="808" spans="2:5">
      <c r="B808" t="s">
        <v>8215</v>
      </c>
      <c r="C808" t="s">
        <v>8216</v>
      </c>
      <c r="D808">
        <v>0</v>
      </c>
      <c r="E808" t="s">
        <v>137</v>
      </c>
    </row>
    <row r="809" spans="2:5">
      <c r="B809" t="s">
        <v>8217</v>
      </c>
      <c r="C809" t="s">
        <v>8218</v>
      </c>
      <c r="D809">
        <v>0</v>
      </c>
      <c r="E809" t="s">
        <v>5394</v>
      </c>
    </row>
    <row r="810" spans="2:5">
      <c r="B810" t="s">
        <v>8219</v>
      </c>
      <c r="C810" t="s">
        <v>8220</v>
      </c>
      <c r="D810">
        <v>0</v>
      </c>
      <c r="E810" t="s">
        <v>137</v>
      </c>
    </row>
    <row r="811" spans="2:5">
      <c r="B811" t="s">
        <v>8221</v>
      </c>
      <c r="C811" t="s">
        <v>8222</v>
      </c>
      <c r="D811">
        <v>6</v>
      </c>
      <c r="E811" t="s">
        <v>139</v>
      </c>
    </row>
    <row r="812" spans="2:5">
      <c r="B812" t="s">
        <v>8223</v>
      </c>
      <c r="C812" t="s">
        <v>8224</v>
      </c>
      <c r="D812">
        <v>6</v>
      </c>
      <c r="E812" t="s">
        <v>137</v>
      </c>
    </row>
    <row r="813" spans="2:5">
      <c r="B813" t="s">
        <v>8225</v>
      </c>
      <c r="C813" t="s">
        <v>8226</v>
      </c>
      <c r="D813">
        <v>6</v>
      </c>
      <c r="E813" t="s">
        <v>5394</v>
      </c>
    </row>
    <row r="814" spans="2:5">
      <c r="B814" t="s">
        <v>8227</v>
      </c>
      <c r="C814" t="s">
        <v>8228</v>
      </c>
      <c r="D814">
        <v>0</v>
      </c>
      <c r="E814" t="s">
        <v>137</v>
      </c>
    </row>
    <row r="815" spans="2:5">
      <c r="B815" t="s">
        <v>8229</v>
      </c>
      <c r="C815" t="s">
        <v>8230</v>
      </c>
      <c r="D815">
        <v>2</v>
      </c>
      <c r="E815" t="s">
        <v>139</v>
      </c>
    </row>
    <row r="816" spans="2:5">
      <c r="B816" t="s">
        <v>8231</v>
      </c>
      <c r="C816" t="s">
        <v>8232</v>
      </c>
      <c r="D816">
        <v>0</v>
      </c>
      <c r="E816" t="s">
        <v>139</v>
      </c>
    </row>
    <row r="817" spans="2:5">
      <c r="B817" t="s">
        <v>8233</v>
      </c>
      <c r="C817" t="s">
        <v>8234</v>
      </c>
      <c r="D817">
        <v>0</v>
      </c>
      <c r="E817" t="s">
        <v>139</v>
      </c>
    </row>
    <row r="818" spans="2:5">
      <c r="B818" t="s">
        <v>8235</v>
      </c>
      <c r="C818" t="s">
        <v>8236</v>
      </c>
      <c r="D818">
        <v>41</v>
      </c>
      <c r="E818" t="s">
        <v>140</v>
      </c>
    </row>
    <row r="819" spans="2:5">
      <c r="B819" t="s">
        <v>8237</v>
      </c>
      <c r="C819" t="s">
        <v>8238</v>
      </c>
      <c r="D819">
        <v>0</v>
      </c>
      <c r="E819" t="s">
        <v>139</v>
      </c>
    </row>
    <row r="820" spans="2:5">
      <c r="B820" t="s">
        <v>8239</v>
      </c>
      <c r="C820" t="s">
        <v>8240</v>
      </c>
      <c r="D820">
        <v>0</v>
      </c>
      <c r="E820" t="s">
        <v>137</v>
      </c>
    </row>
    <row r="821" spans="2:5">
      <c r="B821" t="s">
        <v>8241</v>
      </c>
      <c r="D821">
        <v>0</v>
      </c>
      <c r="E821" t="s">
        <v>137</v>
      </c>
    </row>
    <row r="822" spans="2:5">
      <c r="B822" t="s">
        <v>8242</v>
      </c>
      <c r="C822" t="s">
        <v>8243</v>
      </c>
      <c r="D822">
        <v>6</v>
      </c>
      <c r="E822" t="s">
        <v>139</v>
      </c>
    </row>
    <row r="823" spans="2:5">
      <c r="B823" t="s">
        <v>8244</v>
      </c>
      <c r="C823" t="s">
        <v>8245</v>
      </c>
      <c r="D823">
        <v>0</v>
      </c>
      <c r="E823" t="s">
        <v>137</v>
      </c>
    </row>
    <row r="824" spans="2:5">
      <c r="B824" t="s">
        <v>8246</v>
      </c>
      <c r="C824" t="s">
        <v>135</v>
      </c>
      <c r="D824">
        <v>4</v>
      </c>
      <c r="E824" t="s">
        <v>140</v>
      </c>
    </row>
    <row r="825" spans="2:5">
      <c r="B825" t="s">
        <v>8247</v>
      </c>
      <c r="C825" t="s">
        <v>8248</v>
      </c>
      <c r="D825">
        <v>0</v>
      </c>
      <c r="E825" t="s">
        <v>137</v>
      </c>
    </row>
    <row r="826" spans="2:5">
      <c r="B826" t="s">
        <v>8249</v>
      </c>
      <c r="C826" t="s">
        <v>8250</v>
      </c>
      <c r="D826">
        <v>9</v>
      </c>
      <c r="E826" t="s">
        <v>137</v>
      </c>
    </row>
    <row r="827" spans="2:5">
      <c r="B827" t="s">
        <v>8251</v>
      </c>
      <c r="C827" t="s">
        <v>8252</v>
      </c>
      <c r="D827">
        <v>4</v>
      </c>
      <c r="E827" t="s">
        <v>139</v>
      </c>
    </row>
    <row r="828" spans="2:5">
      <c r="B828" t="s">
        <v>8253</v>
      </c>
      <c r="D828">
        <v>0</v>
      </c>
      <c r="E828" t="s">
        <v>137</v>
      </c>
    </row>
    <row r="829" spans="2:5">
      <c r="B829" t="s">
        <v>8254</v>
      </c>
      <c r="C829" t="s">
        <v>8255</v>
      </c>
      <c r="D829">
        <v>0</v>
      </c>
      <c r="E829" t="s">
        <v>137</v>
      </c>
    </row>
    <row r="830" spans="2:5">
      <c r="B830" t="s">
        <v>8256</v>
      </c>
      <c r="C830" t="s">
        <v>8257</v>
      </c>
      <c r="D830">
        <v>3</v>
      </c>
      <c r="E830" t="s">
        <v>9462</v>
      </c>
    </row>
    <row r="831" spans="2:5">
      <c r="B831" t="s">
        <v>8258</v>
      </c>
      <c r="C831" t="s">
        <v>8259</v>
      </c>
      <c r="D831">
        <v>0</v>
      </c>
      <c r="E831" t="s">
        <v>137</v>
      </c>
    </row>
    <row r="832" spans="2:5">
      <c r="B832" t="s">
        <v>8260</v>
      </c>
      <c r="C832" t="s">
        <v>8261</v>
      </c>
      <c r="D832">
        <v>8</v>
      </c>
      <c r="E832" t="s">
        <v>5394</v>
      </c>
    </row>
    <row r="833" spans="2:5">
      <c r="B833" t="s">
        <v>6174</v>
      </c>
      <c r="C833" t="s">
        <v>8262</v>
      </c>
      <c r="D833">
        <v>7</v>
      </c>
      <c r="E833" t="s">
        <v>137</v>
      </c>
    </row>
    <row r="834" spans="2:5">
      <c r="B834" t="s">
        <v>8263</v>
      </c>
      <c r="C834" t="s">
        <v>8264</v>
      </c>
      <c r="D834">
        <v>21</v>
      </c>
      <c r="E834" t="s">
        <v>5394</v>
      </c>
    </row>
    <row r="835" spans="2:5">
      <c r="B835" t="s">
        <v>8265</v>
      </c>
      <c r="C835" t="s">
        <v>8266</v>
      </c>
      <c r="D835">
        <v>0</v>
      </c>
      <c r="E835" t="s">
        <v>137</v>
      </c>
    </row>
    <row r="836" spans="2:5">
      <c r="B836" t="s">
        <v>8267</v>
      </c>
      <c r="C836" t="s">
        <v>8268</v>
      </c>
      <c r="D836">
        <v>2</v>
      </c>
      <c r="E836" t="s">
        <v>9462</v>
      </c>
    </row>
    <row r="837" spans="2:5">
      <c r="B837" t="s">
        <v>8269</v>
      </c>
      <c r="C837" t="s">
        <v>8270</v>
      </c>
      <c r="D837">
        <v>4</v>
      </c>
      <c r="E837" t="s">
        <v>5394</v>
      </c>
    </row>
    <row r="838" spans="2:5">
      <c r="B838" t="s">
        <v>6181</v>
      </c>
      <c r="C838" t="s">
        <v>8271</v>
      </c>
      <c r="D838">
        <v>1</v>
      </c>
      <c r="E838" t="s">
        <v>9462</v>
      </c>
    </row>
    <row r="839" spans="2:5">
      <c r="B839" t="s">
        <v>8272</v>
      </c>
      <c r="C839" t="s">
        <v>8273</v>
      </c>
      <c r="D839">
        <v>5</v>
      </c>
      <c r="E839" t="s">
        <v>5394</v>
      </c>
    </row>
    <row r="840" spans="2:5">
      <c r="B840" t="s">
        <v>8274</v>
      </c>
      <c r="C840" t="s">
        <v>8275</v>
      </c>
      <c r="D840">
        <v>5</v>
      </c>
      <c r="E840" t="s">
        <v>5394</v>
      </c>
    </row>
    <row r="841" spans="2:5">
      <c r="B841" t="s">
        <v>8276</v>
      </c>
      <c r="C841" t="s">
        <v>8277</v>
      </c>
      <c r="D841">
        <v>16</v>
      </c>
      <c r="E841" t="s">
        <v>5394</v>
      </c>
    </row>
    <row r="842" spans="2:5">
      <c r="B842" t="s">
        <v>8278</v>
      </c>
      <c r="C842" t="s">
        <v>8279</v>
      </c>
      <c r="D842">
        <v>8</v>
      </c>
      <c r="E842" t="s">
        <v>5394</v>
      </c>
    </row>
    <row r="843" spans="2:5">
      <c r="B843" t="s">
        <v>8280</v>
      </c>
      <c r="C843" t="s">
        <v>8281</v>
      </c>
      <c r="D843">
        <v>7</v>
      </c>
      <c r="E843" t="s">
        <v>5394</v>
      </c>
    </row>
    <row r="844" spans="2:5">
      <c r="B844" t="s">
        <v>8282</v>
      </c>
      <c r="C844" t="s">
        <v>8283</v>
      </c>
      <c r="D844">
        <v>0</v>
      </c>
      <c r="E844" t="s">
        <v>5396</v>
      </c>
    </row>
    <row r="845" spans="2:5">
      <c r="B845" t="s">
        <v>8284</v>
      </c>
      <c r="C845" t="s">
        <v>8285</v>
      </c>
      <c r="D845">
        <v>1</v>
      </c>
      <c r="E845" t="s">
        <v>5396</v>
      </c>
    </row>
    <row r="846" spans="2:5">
      <c r="B846" t="s">
        <v>8286</v>
      </c>
      <c r="C846" t="s">
        <v>8287</v>
      </c>
      <c r="D846">
        <v>0</v>
      </c>
      <c r="E846" t="s">
        <v>137</v>
      </c>
    </row>
    <row r="847" spans="2:5">
      <c r="B847" t="s">
        <v>8288</v>
      </c>
      <c r="C847" t="s">
        <v>8289</v>
      </c>
      <c r="D847">
        <v>0</v>
      </c>
      <c r="E847" t="s">
        <v>137</v>
      </c>
    </row>
    <row r="848" spans="2:5">
      <c r="B848" t="s">
        <v>8290</v>
      </c>
      <c r="C848" t="s">
        <v>8291</v>
      </c>
      <c r="D848">
        <v>0</v>
      </c>
      <c r="E848" t="s">
        <v>9462</v>
      </c>
    </row>
    <row r="849" spans="2:5">
      <c r="B849" t="s">
        <v>8292</v>
      </c>
      <c r="C849" t="s">
        <v>8293</v>
      </c>
      <c r="D849">
        <v>0</v>
      </c>
      <c r="E849" t="s">
        <v>9462</v>
      </c>
    </row>
    <row r="850" spans="2:5">
      <c r="B850" t="s">
        <v>8294</v>
      </c>
      <c r="C850" t="s">
        <v>8295</v>
      </c>
      <c r="D850">
        <v>0</v>
      </c>
      <c r="E850" t="s">
        <v>9462</v>
      </c>
    </row>
    <row r="851" spans="2:5">
      <c r="B851" t="s">
        <v>8296</v>
      </c>
      <c r="D851">
        <v>0</v>
      </c>
      <c r="E851" t="s">
        <v>137</v>
      </c>
    </row>
    <row r="852" spans="2:5">
      <c r="B852" t="s">
        <v>8297</v>
      </c>
      <c r="C852" t="s">
        <v>8298</v>
      </c>
      <c r="D852">
        <v>1</v>
      </c>
      <c r="E852" t="s">
        <v>9462</v>
      </c>
    </row>
    <row r="853" spans="2:5">
      <c r="B853" t="s">
        <v>8299</v>
      </c>
      <c r="C853" t="s">
        <v>8300</v>
      </c>
      <c r="D853">
        <v>0</v>
      </c>
      <c r="E853" t="s">
        <v>137</v>
      </c>
    </row>
    <row r="854" spans="2:5">
      <c r="B854" t="s">
        <v>8301</v>
      </c>
      <c r="C854" t="s">
        <v>8302</v>
      </c>
      <c r="D854">
        <v>2</v>
      </c>
      <c r="E854" t="s">
        <v>9462</v>
      </c>
    </row>
    <row r="855" spans="2:5">
      <c r="B855" t="s">
        <v>8303</v>
      </c>
      <c r="C855" t="s">
        <v>8304</v>
      </c>
      <c r="D855">
        <v>0</v>
      </c>
      <c r="E855" t="s">
        <v>137</v>
      </c>
    </row>
    <row r="856" spans="2:5">
      <c r="B856" t="s">
        <v>8305</v>
      </c>
      <c r="C856" t="s">
        <v>8306</v>
      </c>
      <c r="D856">
        <v>1</v>
      </c>
      <c r="E856" t="s">
        <v>9462</v>
      </c>
    </row>
    <row r="857" spans="2:5">
      <c r="B857" t="s">
        <v>6188</v>
      </c>
      <c r="C857" t="s">
        <v>8307</v>
      </c>
      <c r="D857">
        <v>0</v>
      </c>
      <c r="E857" t="s">
        <v>137</v>
      </c>
    </row>
    <row r="858" spans="2:5">
      <c r="B858" t="s">
        <v>6194</v>
      </c>
      <c r="C858" t="s">
        <v>8308</v>
      </c>
      <c r="D858">
        <v>1</v>
      </c>
      <c r="E858" t="s">
        <v>9462</v>
      </c>
    </row>
    <row r="859" spans="2:5">
      <c r="B859" t="s">
        <v>8309</v>
      </c>
      <c r="C859" t="s">
        <v>8310</v>
      </c>
      <c r="D859">
        <v>3</v>
      </c>
      <c r="E859" t="s">
        <v>140</v>
      </c>
    </row>
    <row r="860" spans="2:5">
      <c r="B860" t="s">
        <v>8311</v>
      </c>
      <c r="C860" t="s">
        <v>8312</v>
      </c>
      <c r="D860">
        <v>0</v>
      </c>
      <c r="E860" t="s">
        <v>137</v>
      </c>
    </row>
    <row r="861" spans="2:5">
      <c r="B861" t="s">
        <v>8313</v>
      </c>
      <c r="C861" t="s">
        <v>8314</v>
      </c>
      <c r="D861">
        <v>2</v>
      </c>
      <c r="E861" t="s">
        <v>5396</v>
      </c>
    </row>
    <row r="862" spans="2:5">
      <c r="B862" t="s">
        <v>8315</v>
      </c>
      <c r="C862" t="s">
        <v>8316</v>
      </c>
      <c r="D862">
        <v>1</v>
      </c>
      <c r="E862" t="s">
        <v>137</v>
      </c>
    </row>
    <row r="863" spans="2:5">
      <c r="B863" t="s">
        <v>8317</v>
      </c>
      <c r="C863" t="s">
        <v>8318</v>
      </c>
      <c r="D863">
        <v>0</v>
      </c>
      <c r="E863" t="s">
        <v>9462</v>
      </c>
    </row>
    <row r="864" spans="2:5">
      <c r="B864" t="s">
        <v>8319</v>
      </c>
      <c r="C864" t="s">
        <v>8320</v>
      </c>
      <c r="D864">
        <v>1</v>
      </c>
      <c r="E864" t="s">
        <v>9462</v>
      </c>
    </row>
    <row r="865" spans="2:5">
      <c r="B865" t="s">
        <v>8321</v>
      </c>
      <c r="C865" t="s">
        <v>8322</v>
      </c>
      <c r="D865">
        <v>0</v>
      </c>
      <c r="E865" t="s">
        <v>137</v>
      </c>
    </row>
    <row r="866" spans="2:5">
      <c r="B866" t="s">
        <v>8323</v>
      </c>
      <c r="C866" t="s">
        <v>8324</v>
      </c>
      <c r="D866">
        <v>0</v>
      </c>
      <c r="E866" t="s">
        <v>137</v>
      </c>
    </row>
    <row r="867" spans="2:5">
      <c r="B867" t="s">
        <v>8325</v>
      </c>
      <c r="C867" t="s">
        <v>8326</v>
      </c>
      <c r="D867">
        <v>0</v>
      </c>
      <c r="E867" t="s">
        <v>137</v>
      </c>
    </row>
    <row r="868" spans="2:5">
      <c r="B868" t="s">
        <v>8327</v>
      </c>
      <c r="C868" t="s">
        <v>8328</v>
      </c>
      <c r="D868">
        <v>0</v>
      </c>
      <c r="E868" t="s">
        <v>137</v>
      </c>
    </row>
    <row r="869" spans="2:5">
      <c r="B869" t="s">
        <v>8329</v>
      </c>
      <c r="C869" t="s">
        <v>8330</v>
      </c>
      <c r="D869">
        <v>3</v>
      </c>
      <c r="E869" t="s">
        <v>137</v>
      </c>
    </row>
    <row r="870" spans="2:5">
      <c r="B870" t="s">
        <v>8331</v>
      </c>
      <c r="C870" t="s">
        <v>8332</v>
      </c>
      <c r="D870">
        <v>0</v>
      </c>
      <c r="E870" t="s">
        <v>137</v>
      </c>
    </row>
    <row r="871" spans="2:5">
      <c r="B871" t="s">
        <v>8333</v>
      </c>
      <c r="C871" t="s">
        <v>8334</v>
      </c>
      <c r="D871">
        <v>0</v>
      </c>
      <c r="E871" t="s">
        <v>137</v>
      </c>
    </row>
    <row r="872" spans="2:5">
      <c r="B872" t="s">
        <v>8335</v>
      </c>
      <c r="D872">
        <v>0</v>
      </c>
      <c r="E872" t="s">
        <v>137</v>
      </c>
    </row>
    <row r="873" spans="2:5">
      <c r="B873" t="s">
        <v>8336</v>
      </c>
      <c r="C873" t="s">
        <v>8337</v>
      </c>
      <c r="D873">
        <v>1</v>
      </c>
      <c r="E873" t="s">
        <v>137</v>
      </c>
    </row>
    <row r="874" spans="2:5">
      <c r="B874" t="s">
        <v>8338</v>
      </c>
      <c r="C874" t="s">
        <v>8339</v>
      </c>
      <c r="D874">
        <v>0</v>
      </c>
      <c r="E874" t="s">
        <v>137</v>
      </c>
    </row>
    <row r="875" spans="2:5">
      <c r="B875" t="s">
        <v>8340</v>
      </c>
      <c r="C875" t="s">
        <v>8341</v>
      </c>
      <c r="D875">
        <v>1</v>
      </c>
      <c r="E875" t="s">
        <v>137</v>
      </c>
    </row>
    <row r="876" spans="2:5">
      <c r="B876" t="s">
        <v>8342</v>
      </c>
      <c r="C876" t="s">
        <v>8343</v>
      </c>
      <c r="D876">
        <v>0</v>
      </c>
      <c r="E876" t="s">
        <v>137</v>
      </c>
    </row>
    <row r="877" spans="2:5">
      <c r="B877" t="s">
        <v>8344</v>
      </c>
      <c r="C877" t="s">
        <v>8345</v>
      </c>
      <c r="D877">
        <v>3</v>
      </c>
      <c r="E877" t="s">
        <v>137</v>
      </c>
    </row>
    <row r="878" spans="2:5">
      <c r="B878" t="s">
        <v>8346</v>
      </c>
      <c r="C878" t="s">
        <v>8347</v>
      </c>
      <c r="D878">
        <v>2</v>
      </c>
      <c r="E878" t="s">
        <v>137</v>
      </c>
    </row>
    <row r="879" spans="2:5">
      <c r="B879" t="s">
        <v>8348</v>
      </c>
      <c r="C879" t="s">
        <v>8349</v>
      </c>
      <c r="D879">
        <v>0</v>
      </c>
      <c r="E879" t="s">
        <v>137</v>
      </c>
    </row>
    <row r="880" spans="2:5">
      <c r="B880" t="s">
        <v>8350</v>
      </c>
      <c r="C880" t="s">
        <v>8351</v>
      </c>
      <c r="D880">
        <v>0</v>
      </c>
      <c r="E880" t="s">
        <v>137</v>
      </c>
    </row>
    <row r="881" spans="2:5">
      <c r="B881" t="s">
        <v>8352</v>
      </c>
      <c r="C881" t="s">
        <v>8353</v>
      </c>
      <c r="D881">
        <v>0</v>
      </c>
      <c r="E881" t="s">
        <v>137</v>
      </c>
    </row>
    <row r="882" spans="2:5">
      <c r="B882" t="s">
        <v>8354</v>
      </c>
      <c r="C882" t="s">
        <v>8355</v>
      </c>
      <c r="D882">
        <v>0</v>
      </c>
      <c r="E882" t="s">
        <v>137</v>
      </c>
    </row>
    <row r="883" spans="2:5">
      <c r="B883" t="s">
        <v>8356</v>
      </c>
      <c r="C883" t="s">
        <v>8357</v>
      </c>
      <c r="D883">
        <v>1</v>
      </c>
      <c r="E883" t="s">
        <v>139</v>
      </c>
    </row>
    <row r="884" spans="2:5">
      <c r="B884" t="s">
        <v>8358</v>
      </c>
      <c r="D884">
        <v>0</v>
      </c>
      <c r="E884" t="s">
        <v>137</v>
      </c>
    </row>
    <row r="885" spans="2:5">
      <c r="B885" t="s">
        <v>8359</v>
      </c>
      <c r="D885">
        <v>0</v>
      </c>
      <c r="E885" t="s">
        <v>137</v>
      </c>
    </row>
    <row r="886" spans="2:5">
      <c r="B886" t="s">
        <v>8360</v>
      </c>
      <c r="C886" t="s">
        <v>8361</v>
      </c>
      <c r="D886">
        <v>11</v>
      </c>
      <c r="E886" t="s">
        <v>5394</v>
      </c>
    </row>
    <row r="887" spans="2:5">
      <c r="B887" t="s">
        <v>8362</v>
      </c>
      <c r="C887" t="s">
        <v>8363</v>
      </c>
      <c r="D887">
        <v>1</v>
      </c>
      <c r="E887" t="s">
        <v>139</v>
      </c>
    </row>
    <row r="888" spans="2:5">
      <c r="B888" t="s">
        <v>8364</v>
      </c>
      <c r="C888" t="s">
        <v>8365</v>
      </c>
      <c r="D888">
        <v>0</v>
      </c>
      <c r="E888" t="s">
        <v>137</v>
      </c>
    </row>
    <row r="889" spans="2:5">
      <c r="B889" t="s">
        <v>8366</v>
      </c>
      <c r="C889" t="s">
        <v>8367</v>
      </c>
      <c r="D889">
        <v>4</v>
      </c>
      <c r="E889" t="s">
        <v>140</v>
      </c>
    </row>
    <row r="890" spans="2:5">
      <c r="B890" t="s">
        <v>8368</v>
      </c>
      <c r="C890" t="s">
        <v>8369</v>
      </c>
      <c r="D890">
        <v>0</v>
      </c>
      <c r="E890" t="s">
        <v>137</v>
      </c>
    </row>
    <row r="891" spans="2:5">
      <c r="B891" t="s">
        <v>8370</v>
      </c>
      <c r="C891" t="s">
        <v>8371</v>
      </c>
      <c r="D891">
        <v>0</v>
      </c>
      <c r="E891" t="s">
        <v>137</v>
      </c>
    </row>
    <row r="892" spans="2:5">
      <c r="B892" t="s">
        <v>8372</v>
      </c>
      <c r="C892" t="s">
        <v>8373</v>
      </c>
      <c r="D892">
        <v>0</v>
      </c>
      <c r="E892" t="s">
        <v>137</v>
      </c>
    </row>
    <row r="893" spans="2:5">
      <c r="B893" t="s">
        <v>8374</v>
      </c>
      <c r="C893" t="s">
        <v>8375</v>
      </c>
      <c r="D893">
        <v>0</v>
      </c>
      <c r="E893" t="s">
        <v>137</v>
      </c>
    </row>
    <row r="894" spans="2:5">
      <c r="B894" t="s">
        <v>8376</v>
      </c>
      <c r="C894" t="s">
        <v>8377</v>
      </c>
      <c r="D894">
        <v>0</v>
      </c>
      <c r="E894" t="s">
        <v>5396</v>
      </c>
    </row>
    <row r="895" spans="2:5">
      <c r="B895" t="s">
        <v>8378</v>
      </c>
      <c r="C895" t="s">
        <v>8379</v>
      </c>
      <c r="D895">
        <v>0</v>
      </c>
      <c r="E895" t="s">
        <v>5396</v>
      </c>
    </row>
    <row r="896" spans="2:5">
      <c r="B896" t="s">
        <v>8380</v>
      </c>
      <c r="C896" t="s">
        <v>8381</v>
      </c>
      <c r="D896">
        <v>0</v>
      </c>
      <c r="E896" t="s">
        <v>5396</v>
      </c>
    </row>
    <row r="897" spans="2:5">
      <c r="B897" t="s">
        <v>8382</v>
      </c>
      <c r="D897">
        <v>0</v>
      </c>
      <c r="E897" t="s">
        <v>137</v>
      </c>
    </row>
    <row r="898" spans="2:5">
      <c r="B898" t="s">
        <v>8383</v>
      </c>
      <c r="C898" t="s">
        <v>8384</v>
      </c>
      <c r="D898">
        <v>1</v>
      </c>
      <c r="E898" t="s">
        <v>139</v>
      </c>
    </row>
    <row r="899" spans="2:5">
      <c r="B899" t="s">
        <v>8385</v>
      </c>
      <c r="C899" t="s">
        <v>8386</v>
      </c>
      <c r="D899">
        <v>0</v>
      </c>
      <c r="E899" t="s">
        <v>139</v>
      </c>
    </row>
    <row r="900" spans="2:5">
      <c r="B900" t="s">
        <v>6200</v>
      </c>
      <c r="C900" t="s">
        <v>8387</v>
      </c>
      <c r="D900">
        <v>1</v>
      </c>
      <c r="E900" t="s">
        <v>139</v>
      </c>
    </row>
    <row r="901" spans="2:5">
      <c r="B901" t="s">
        <v>8388</v>
      </c>
      <c r="C901" t="s">
        <v>8389</v>
      </c>
      <c r="D901">
        <v>2</v>
      </c>
      <c r="E901" t="s">
        <v>5396</v>
      </c>
    </row>
    <row r="902" spans="2:5">
      <c r="B902" t="s">
        <v>8390</v>
      </c>
      <c r="C902" t="s">
        <v>8391</v>
      </c>
      <c r="D902">
        <v>0</v>
      </c>
      <c r="E902" t="s">
        <v>9460</v>
      </c>
    </row>
    <row r="903" spans="2:5">
      <c r="B903" t="s">
        <v>8392</v>
      </c>
      <c r="C903" t="s">
        <v>8393</v>
      </c>
      <c r="D903">
        <v>0</v>
      </c>
      <c r="E903" t="s">
        <v>5396</v>
      </c>
    </row>
    <row r="904" spans="2:5">
      <c r="B904" t="s">
        <v>8394</v>
      </c>
      <c r="C904" t="s">
        <v>8395</v>
      </c>
      <c r="D904">
        <v>1</v>
      </c>
      <c r="E904" t="s">
        <v>137</v>
      </c>
    </row>
    <row r="905" spans="2:5">
      <c r="B905" t="s">
        <v>8396</v>
      </c>
      <c r="C905" t="s">
        <v>8397</v>
      </c>
      <c r="D905">
        <v>0</v>
      </c>
      <c r="E905" t="s">
        <v>139</v>
      </c>
    </row>
    <row r="906" spans="2:5">
      <c r="B906" t="s">
        <v>8398</v>
      </c>
      <c r="C906" t="s">
        <v>8399</v>
      </c>
      <c r="D906">
        <v>1</v>
      </c>
      <c r="E906" t="s">
        <v>5394</v>
      </c>
    </row>
    <row r="907" spans="2:5">
      <c r="B907" t="s">
        <v>8400</v>
      </c>
      <c r="C907" t="s">
        <v>8401</v>
      </c>
      <c r="D907">
        <v>2</v>
      </c>
      <c r="E907" t="s">
        <v>137</v>
      </c>
    </row>
    <row r="908" spans="2:5">
      <c r="B908" t="s">
        <v>8402</v>
      </c>
      <c r="C908" t="s">
        <v>8403</v>
      </c>
      <c r="D908">
        <v>0</v>
      </c>
      <c r="E908" t="s">
        <v>139</v>
      </c>
    </row>
    <row r="909" spans="2:5">
      <c r="B909" t="s">
        <v>8404</v>
      </c>
      <c r="C909" t="s">
        <v>8405</v>
      </c>
      <c r="D909">
        <v>1</v>
      </c>
      <c r="E909" t="s">
        <v>137</v>
      </c>
    </row>
    <row r="910" spans="2:5">
      <c r="B910" t="s">
        <v>8406</v>
      </c>
      <c r="C910" t="s">
        <v>8407</v>
      </c>
      <c r="D910">
        <v>0</v>
      </c>
      <c r="E910" t="s">
        <v>5396</v>
      </c>
    </row>
    <row r="911" spans="2:5">
      <c r="B911" t="s">
        <v>8408</v>
      </c>
      <c r="C911" t="s">
        <v>8409</v>
      </c>
      <c r="D911">
        <v>0</v>
      </c>
      <c r="E911" t="s">
        <v>137</v>
      </c>
    </row>
    <row r="912" spans="2:5">
      <c r="B912" t="s">
        <v>8410</v>
      </c>
      <c r="C912" t="s">
        <v>8411</v>
      </c>
      <c r="D912">
        <v>0</v>
      </c>
      <c r="E912" t="s">
        <v>139</v>
      </c>
    </row>
    <row r="913" spans="2:5">
      <c r="B913" t="s">
        <v>8412</v>
      </c>
      <c r="C913" t="s">
        <v>8413</v>
      </c>
      <c r="D913">
        <v>1</v>
      </c>
      <c r="E913" t="s">
        <v>139</v>
      </c>
    </row>
    <row r="914" spans="2:5">
      <c r="B914" t="s">
        <v>8414</v>
      </c>
      <c r="C914" t="s">
        <v>8415</v>
      </c>
      <c r="D914">
        <v>0</v>
      </c>
      <c r="E914" t="s">
        <v>139</v>
      </c>
    </row>
    <row r="915" spans="2:5">
      <c r="B915" t="s">
        <v>8416</v>
      </c>
      <c r="C915" t="s">
        <v>8417</v>
      </c>
      <c r="D915">
        <v>7</v>
      </c>
      <c r="E915" t="s">
        <v>137</v>
      </c>
    </row>
    <row r="916" spans="2:5">
      <c r="B916" t="s">
        <v>8418</v>
      </c>
      <c r="C916" t="s">
        <v>8419</v>
      </c>
      <c r="D916">
        <v>0</v>
      </c>
      <c r="E916" t="s">
        <v>137</v>
      </c>
    </row>
    <row r="917" spans="2:5">
      <c r="B917" t="s">
        <v>8420</v>
      </c>
      <c r="C917" t="s">
        <v>8421</v>
      </c>
      <c r="D917">
        <v>8</v>
      </c>
      <c r="E917" t="s">
        <v>9463</v>
      </c>
    </row>
    <row r="918" spans="2:5">
      <c r="B918" t="s">
        <v>8422</v>
      </c>
      <c r="C918" t="s">
        <v>8423</v>
      </c>
      <c r="D918">
        <v>2</v>
      </c>
      <c r="E918" t="s">
        <v>139</v>
      </c>
    </row>
    <row r="919" spans="2:5">
      <c r="B919" t="s">
        <v>8424</v>
      </c>
      <c r="C919" t="s">
        <v>8425</v>
      </c>
      <c r="D919">
        <v>0</v>
      </c>
      <c r="E919" t="s">
        <v>139</v>
      </c>
    </row>
    <row r="920" spans="2:5">
      <c r="B920" t="s">
        <v>8426</v>
      </c>
      <c r="C920" t="s">
        <v>8427</v>
      </c>
      <c r="D920">
        <v>0</v>
      </c>
      <c r="E920" t="s">
        <v>139</v>
      </c>
    </row>
    <row r="921" spans="2:5">
      <c r="B921" t="s">
        <v>8428</v>
      </c>
      <c r="C921" t="s">
        <v>8429</v>
      </c>
      <c r="D921">
        <v>0</v>
      </c>
      <c r="E921" t="s">
        <v>139</v>
      </c>
    </row>
    <row r="922" spans="2:5">
      <c r="B922" t="s">
        <v>8430</v>
      </c>
      <c r="D922">
        <v>0</v>
      </c>
      <c r="E922" t="s">
        <v>137</v>
      </c>
    </row>
    <row r="923" spans="2:5">
      <c r="B923" t="s">
        <v>8431</v>
      </c>
      <c r="C923" t="s">
        <v>8432</v>
      </c>
      <c r="D923">
        <v>0</v>
      </c>
      <c r="E923" t="s">
        <v>139</v>
      </c>
    </row>
    <row r="924" spans="2:5">
      <c r="B924" t="s">
        <v>8433</v>
      </c>
      <c r="C924" t="s">
        <v>8434</v>
      </c>
      <c r="D924">
        <v>3</v>
      </c>
      <c r="E924" t="s">
        <v>139</v>
      </c>
    </row>
    <row r="925" spans="2:5">
      <c r="B925" t="s">
        <v>8435</v>
      </c>
      <c r="C925" t="s">
        <v>8436</v>
      </c>
      <c r="D925">
        <v>3</v>
      </c>
      <c r="E925" t="s">
        <v>5394</v>
      </c>
    </row>
    <row r="926" spans="2:5">
      <c r="B926" t="s">
        <v>8437</v>
      </c>
      <c r="C926" t="s">
        <v>8438</v>
      </c>
      <c r="D926">
        <v>0</v>
      </c>
      <c r="E926" t="s">
        <v>137</v>
      </c>
    </row>
    <row r="927" spans="2:5">
      <c r="B927" t="s">
        <v>8439</v>
      </c>
      <c r="D927">
        <v>0</v>
      </c>
      <c r="E927" t="s">
        <v>137</v>
      </c>
    </row>
    <row r="928" spans="2:5">
      <c r="B928" t="s">
        <v>8440</v>
      </c>
      <c r="C928" t="s">
        <v>8441</v>
      </c>
      <c r="D928">
        <v>0</v>
      </c>
      <c r="E928" t="s">
        <v>137</v>
      </c>
    </row>
    <row r="929" spans="2:5">
      <c r="B929" t="s">
        <v>8442</v>
      </c>
      <c r="C929" t="s">
        <v>8443</v>
      </c>
      <c r="D929">
        <v>2</v>
      </c>
      <c r="E929" t="s">
        <v>137</v>
      </c>
    </row>
    <row r="930" spans="2:5">
      <c r="B930" t="s">
        <v>8444</v>
      </c>
      <c r="C930" t="s">
        <v>8445</v>
      </c>
      <c r="D930">
        <v>0</v>
      </c>
      <c r="E930" t="s">
        <v>137</v>
      </c>
    </row>
    <row r="931" spans="2:5">
      <c r="B931" t="s">
        <v>8446</v>
      </c>
      <c r="C931" t="s">
        <v>8447</v>
      </c>
      <c r="D931">
        <v>0</v>
      </c>
      <c r="E931" t="s">
        <v>139</v>
      </c>
    </row>
    <row r="932" spans="2:5">
      <c r="B932" t="s">
        <v>8448</v>
      </c>
      <c r="C932" t="s">
        <v>8449</v>
      </c>
      <c r="D932">
        <v>0</v>
      </c>
      <c r="E932" t="s">
        <v>137</v>
      </c>
    </row>
    <row r="933" spans="2:5">
      <c r="B933" t="s">
        <v>8450</v>
      </c>
      <c r="C933" t="s">
        <v>8451</v>
      </c>
      <c r="D933">
        <v>6</v>
      </c>
      <c r="E933" t="s">
        <v>5394</v>
      </c>
    </row>
    <row r="934" spans="2:5">
      <c r="B934" t="s">
        <v>6206</v>
      </c>
      <c r="C934" t="s">
        <v>8452</v>
      </c>
      <c r="D934">
        <v>0</v>
      </c>
      <c r="E934" t="s">
        <v>9464</v>
      </c>
    </row>
    <row r="935" spans="2:5">
      <c r="B935" t="s">
        <v>8453</v>
      </c>
      <c r="C935" t="s">
        <v>8454</v>
      </c>
      <c r="D935">
        <v>0</v>
      </c>
      <c r="E935" t="s">
        <v>139</v>
      </c>
    </row>
    <row r="936" spans="2:5">
      <c r="B936" t="s">
        <v>8455</v>
      </c>
      <c r="C936" t="s">
        <v>8456</v>
      </c>
      <c r="D936">
        <v>0</v>
      </c>
      <c r="E936" t="s">
        <v>137</v>
      </c>
    </row>
    <row r="937" spans="2:5">
      <c r="B937" t="s">
        <v>8457</v>
      </c>
      <c r="C937" t="s">
        <v>8458</v>
      </c>
      <c r="D937">
        <v>1</v>
      </c>
      <c r="E937" t="s">
        <v>5394</v>
      </c>
    </row>
    <row r="938" spans="2:5">
      <c r="B938" t="s">
        <v>8459</v>
      </c>
      <c r="C938" t="s">
        <v>8460</v>
      </c>
      <c r="D938">
        <v>0</v>
      </c>
      <c r="E938" t="s">
        <v>5396</v>
      </c>
    </row>
    <row r="939" spans="2:5">
      <c r="B939" t="s">
        <v>8459</v>
      </c>
      <c r="C939" t="s">
        <v>8461</v>
      </c>
      <c r="D939">
        <v>0</v>
      </c>
      <c r="E939" t="s">
        <v>5396</v>
      </c>
    </row>
    <row r="940" spans="2:5">
      <c r="B940" t="s">
        <v>8462</v>
      </c>
      <c r="C940" t="s">
        <v>8463</v>
      </c>
      <c r="D940">
        <v>1</v>
      </c>
      <c r="E940" t="s">
        <v>5396</v>
      </c>
    </row>
    <row r="941" spans="2:5">
      <c r="B941" t="s">
        <v>8464</v>
      </c>
      <c r="C941" t="s">
        <v>8465</v>
      </c>
      <c r="D941">
        <v>0</v>
      </c>
      <c r="E941" t="s">
        <v>5396</v>
      </c>
    </row>
    <row r="942" spans="2:5">
      <c r="B942" t="s">
        <v>6210</v>
      </c>
      <c r="C942" t="s">
        <v>8466</v>
      </c>
      <c r="D942">
        <v>0</v>
      </c>
      <c r="E942" t="s">
        <v>137</v>
      </c>
    </row>
    <row r="943" spans="2:5">
      <c r="B943" t="s">
        <v>8467</v>
      </c>
      <c r="C943" t="s">
        <v>8468</v>
      </c>
      <c r="D943">
        <v>1</v>
      </c>
      <c r="E943" t="s">
        <v>137</v>
      </c>
    </row>
    <row r="944" spans="2:5">
      <c r="B944" t="s">
        <v>8469</v>
      </c>
      <c r="C944" t="s">
        <v>8470</v>
      </c>
      <c r="D944">
        <v>0</v>
      </c>
      <c r="E944" t="s">
        <v>137</v>
      </c>
    </row>
    <row r="945" spans="2:5">
      <c r="B945" t="s">
        <v>6216</v>
      </c>
      <c r="C945" t="s">
        <v>8471</v>
      </c>
      <c r="D945">
        <v>3</v>
      </c>
      <c r="E945" t="s">
        <v>137</v>
      </c>
    </row>
    <row r="946" spans="2:5">
      <c r="B946" t="s">
        <v>8472</v>
      </c>
      <c r="C946" t="s">
        <v>8473</v>
      </c>
      <c r="D946">
        <v>0</v>
      </c>
      <c r="E946" t="s">
        <v>5390</v>
      </c>
    </row>
    <row r="947" spans="2:5">
      <c r="B947" t="s">
        <v>8474</v>
      </c>
      <c r="C947" t="s">
        <v>8475</v>
      </c>
      <c r="D947">
        <v>13</v>
      </c>
      <c r="E947" t="s">
        <v>138</v>
      </c>
    </row>
    <row r="948" spans="2:5">
      <c r="B948" t="s">
        <v>8476</v>
      </c>
      <c r="C948" t="s">
        <v>8477</v>
      </c>
      <c r="D948">
        <v>0</v>
      </c>
      <c r="E948" t="s">
        <v>5398</v>
      </c>
    </row>
    <row r="949" spans="2:5">
      <c r="B949" t="s">
        <v>8478</v>
      </c>
      <c r="C949" t="s">
        <v>8479</v>
      </c>
      <c r="D949">
        <v>12</v>
      </c>
      <c r="E949" t="s">
        <v>9448</v>
      </c>
    </row>
    <row r="950" spans="2:5">
      <c r="B950" t="s">
        <v>8480</v>
      </c>
      <c r="C950" t="s">
        <v>8481</v>
      </c>
      <c r="D950">
        <v>15</v>
      </c>
      <c r="E950" t="s">
        <v>9448</v>
      </c>
    </row>
    <row r="951" spans="2:5">
      <c r="B951" t="s">
        <v>8482</v>
      </c>
      <c r="C951" t="s">
        <v>8483</v>
      </c>
      <c r="D951">
        <v>0</v>
      </c>
      <c r="E951" t="s">
        <v>138</v>
      </c>
    </row>
    <row r="952" spans="2:5">
      <c r="B952" t="s">
        <v>8484</v>
      </c>
      <c r="C952" t="s">
        <v>8485</v>
      </c>
      <c r="D952">
        <v>0</v>
      </c>
      <c r="E952" t="s">
        <v>138</v>
      </c>
    </row>
    <row r="953" spans="2:5">
      <c r="B953" t="s">
        <v>8486</v>
      </c>
      <c r="C953" t="s">
        <v>8487</v>
      </c>
      <c r="D953">
        <v>0</v>
      </c>
      <c r="E953" t="s">
        <v>138</v>
      </c>
    </row>
    <row r="954" spans="2:5">
      <c r="B954" t="s">
        <v>8488</v>
      </c>
      <c r="C954" t="s">
        <v>8489</v>
      </c>
      <c r="D954">
        <v>24</v>
      </c>
      <c r="E954" t="s">
        <v>9448</v>
      </c>
    </row>
    <row r="955" spans="2:5">
      <c r="B955" t="s">
        <v>8490</v>
      </c>
      <c r="C955" t="s">
        <v>8491</v>
      </c>
      <c r="D955">
        <v>0</v>
      </c>
      <c r="E955" t="s">
        <v>139</v>
      </c>
    </row>
    <row r="956" spans="2:5">
      <c r="B956" t="s">
        <v>8492</v>
      </c>
      <c r="C956" t="s">
        <v>8493</v>
      </c>
      <c r="D956">
        <v>21</v>
      </c>
      <c r="E956" t="s">
        <v>9448</v>
      </c>
    </row>
    <row r="957" spans="2:5">
      <c r="B957" t="s">
        <v>8494</v>
      </c>
      <c r="C957" t="s">
        <v>8495</v>
      </c>
      <c r="D957">
        <v>7</v>
      </c>
      <c r="E957" t="s">
        <v>9448</v>
      </c>
    </row>
    <row r="958" spans="2:5">
      <c r="B958" t="s">
        <v>8496</v>
      </c>
      <c r="C958" t="s">
        <v>8497</v>
      </c>
      <c r="D958">
        <v>32</v>
      </c>
      <c r="E958" t="s">
        <v>9448</v>
      </c>
    </row>
    <row r="959" spans="2:5">
      <c r="B959" t="s">
        <v>8498</v>
      </c>
      <c r="C959" t="s">
        <v>8499</v>
      </c>
      <c r="D959">
        <v>7</v>
      </c>
      <c r="E959" t="s">
        <v>138</v>
      </c>
    </row>
    <row r="960" spans="2:5">
      <c r="B960" t="s">
        <v>8500</v>
      </c>
      <c r="C960" t="s">
        <v>8501</v>
      </c>
      <c r="D960">
        <v>91</v>
      </c>
      <c r="E960" t="s">
        <v>9448</v>
      </c>
    </row>
    <row r="961" spans="2:5">
      <c r="B961" t="s">
        <v>8502</v>
      </c>
      <c r="C961" t="s">
        <v>8503</v>
      </c>
      <c r="D961">
        <v>7</v>
      </c>
      <c r="E961" t="s">
        <v>138</v>
      </c>
    </row>
    <row r="962" spans="2:5">
      <c r="B962" t="s">
        <v>8504</v>
      </c>
      <c r="C962" t="s">
        <v>8503</v>
      </c>
      <c r="D962">
        <v>7</v>
      </c>
      <c r="E962" t="s">
        <v>138</v>
      </c>
    </row>
    <row r="963" spans="2:5">
      <c r="B963" t="s">
        <v>8505</v>
      </c>
      <c r="C963" t="s">
        <v>8503</v>
      </c>
      <c r="D963">
        <v>7</v>
      </c>
      <c r="E963" t="s">
        <v>139</v>
      </c>
    </row>
    <row r="964" spans="2:5">
      <c r="B964" t="s">
        <v>8506</v>
      </c>
      <c r="C964" t="s">
        <v>8507</v>
      </c>
      <c r="D964">
        <v>7</v>
      </c>
      <c r="E964" t="s">
        <v>138</v>
      </c>
    </row>
    <row r="965" spans="2:5">
      <c r="B965" t="s">
        <v>8508</v>
      </c>
      <c r="C965" t="s">
        <v>8509</v>
      </c>
      <c r="D965">
        <v>5</v>
      </c>
      <c r="E965" t="s">
        <v>138</v>
      </c>
    </row>
    <row r="966" spans="2:5">
      <c r="B966" t="s">
        <v>8510</v>
      </c>
      <c r="D966">
        <v>0</v>
      </c>
      <c r="E966" t="s">
        <v>137</v>
      </c>
    </row>
    <row r="967" spans="2:5">
      <c r="B967" t="s">
        <v>8511</v>
      </c>
      <c r="C967" t="s">
        <v>8512</v>
      </c>
      <c r="D967">
        <v>1</v>
      </c>
      <c r="E967" t="s">
        <v>138</v>
      </c>
    </row>
    <row r="968" spans="2:5">
      <c r="B968" t="s">
        <v>8513</v>
      </c>
      <c r="C968" t="s">
        <v>8514</v>
      </c>
      <c r="D968">
        <v>43</v>
      </c>
      <c r="E968" t="s">
        <v>138</v>
      </c>
    </row>
    <row r="969" spans="2:5">
      <c r="B969" t="s">
        <v>8515</v>
      </c>
      <c r="C969" t="s">
        <v>8516</v>
      </c>
      <c r="D969">
        <v>0</v>
      </c>
      <c r="E969" t="s">
        <v>139</v>
      </c>
    </row>
    <row r="970" spans="2:5">
      <c r="B970" t="s">
        <v>8517</v>
      </c>
      <c r="C970" t="s">
        <v>8518</v>
      </c>
      <c r="D970">
        <v>2</v>
      </c>
      <c r="E970" t="s">
        <v>138</v>
      </c>
    </row>
    <row r="971" spans="2:5">
      <c r="B971" t="s">
        <v>8519</v>
      </c>
      <c r="C971" t="s">
        <v>8520</v>
      </c>
      <c r="D971">
        <v>1</v>
      </c>
      <c r="E971" t="s">
        <v>138</v>
      </c>
    </row>
    <row r="972" spans="2:5">
      <c r="B972" t="s">
        <v>8521</v>
      </c>
      <c r="C972" t="s">
        <v>8522</v>
      </c>
      <c r="D972">
        <v>0</v>
      </c>
      <c r="E972" t="s">
        <v>138</v>
      </c>
    </row>
    <row r="973" spans="2:5">
      <c r="B973" t="s">
        <v>8523</v>
      </c>
      <c r="C973" t="s">
        <v>8524</v>
      </c>
      <c r="D973">
        <v>10</v>
      </c>
      <c r="E973" t="s">
        <v>139</v>
      </c>
    </row>
    <row r="974" spans="2:5">
      <c r="B974" t="s">
        <v>8525</v>
      </c>
      <c r="C974" t="s">
        <v>8526</v>
      </c>
      <c r="D974">
        <v>0</v>
      </c>
      <c r="E974" t="s">
        <v>9457</v>
      </c>
    </row>
    <row r="975" spans="2:5">
      <c r="B975" t="s">
        <v>8527</v>
      </c>
      <c r="D975">
        <v>0</v>
      </c>
      <c r="E975" t="s">
        <v>137</v>
      </c>
    </row>
    <row r="976" spans="2:5">
      <c r="B976" t="s">
        <v>8528</v>
      </c>
      <c r="C976" t="s">
        <v>8529</v>
      </c>
      <c r="D976">
        <v>0</v>
      </c>
      <c r="E976" t="s">
        <v>139</v>
      </c>
    </row>
    <row r="977" spans="2:5">
      <c r="B977" t="s">
        <v>8530</v>
      </c>
      <c r="D977">
        <v>0</v>
      </c>
      <c r="E977" t="s">
        <v>137</v>
      </c>
    </row>
    <row r="978" spans="2:5">
      <c r="B978" t="s">
        <v>8531</v>
      </c>
      <c r="C978" t="s">
        <v>8532</v>
      </c>
      <c r="D978">
        <v>0</v>
      </c>
      <c r="E978" t="s">
        <v>138</v>
      </c>
    </row>
    <row r="979" spans="2:5">
      <c r="B979" t="s">
        <v>8533</v>
      </c>
      <c r="C979" t="s">
        <v>8534</v>
      </c>
      <c r="D979">
        <v>0</v>
      </c>
      <c r="E979" t="s">
        <v>138</v>
      </c>
    </row>
    <row r="980" spans="2:5">
      <c r="B980" t="s">
        <v>8535</v>
      </c>
      <c r="C980" t="s">
        <v>8536</v>
      </c>
      <c r="D980">
        <v>0</v>
      </c>
      <c r="E980" t="s">
        <v>138</v>
      </c>
    </row>
    <row r="981" spans="2:5">
      <c r="B981" t="s">
        <v>8537</v>
      </c>
      <c r="C981" t="s">
        <v>8538</v>
      </c>
      <c r="D981">
        <v>80</v>
      </c>
      <c r="E981" t="s">
        <v>5398</v>
      </c>
    </row>
    <row r="982" spans="2:5">
      <c r="B982" t="s">
        <v>8539</v>
      </c>
      <c r="C982" t="s">
        <v>8540</v>
      </c>
      <c r="D982">
        <v>5</v>
      </c>
      <c r="E982" t="s">
        <v>138</v>
      </c>
    </row>
    <row r="983" spans="2:5">
      <c r="B983" t="s">
        <v>8541</v>
      </c>
      <c r="C983" t="s">
        <v>8542</v>
      </c>
      <c r="D983">
        <v>10</v>
      </c>
      <c r="E983" t="s">
        <v>9448</v>
      </c>
    </row>
    <row r="984" spans="2:5">
      <c r="B984" t="s">
        <v>8543</v>
      </c>
      <c r="C984" t="s">
        <v>8544</v>
      </c>
      <c r="D984">
        <v>2</v>
      </c>
      <c r="E984" t="s">
        <v>138</v>
      </c>
    </row>
    <row r="985" spans="2:5">
      <c r="B985" t="s">
        <v>8545</v>
      </c>
      <c r="C985" t="s">
        <v>8546</v>
      </c>
      <c r="D985">
        <v>7</v>
      </c>
      <c r="E985" t="s">
        <v>9448</v>
      </c>
    </row>
    <row r="986" spans="2:5">
      <c r="B986" t="s">
        <v>8547</v>
      </c>
      <c r="C986" t="s">
        <v>8548</v>
      </c>
      <c r="D986">
        <v>21</v>
      </c>
      <c r="E986" t="s">
        <v>9448</v>
      </c>
    </row>
    <row r="987" spans="2:5">
      <c r="B987" t="s">
        <v>8549</v>
      </c>
      <c r="C987" t="s">
        <v>8550</v>
      </c>
      <c r="D987">
        <v>2</v>
      </c>
      <c r="E987" t="s">
        <v>139</v>
      </c>
    </row>
    <row r="988" spans="2:5">
      <c r="B988" t="s">
        <v>8551</v>
      </c>
      <c r="C988" t="s">
        <v>8552</v>
      </c>
      <c r="D988">
        <v>114</v>
      </c>
      <c r="E988" t="s">
        <v>9448</v>
      </c>
    </row>
    <row r="989" spans="2:5">
      <c r="B989" t="s">
        <v>8553</v>
      </c>
      <c r="C989" t="s">
        <v>8554</v>
      </c>
      <c r="D989">
        <v>8</v>
      </c>
      <c r="E989" t="s">
        <v>139</v>
      </c>
    </row>
    <row r="990" spans="2:5">
      <c r="B990" t="s">
        <v>8555</v>
      </c>
      <c r="C990" t="s">
        <v>8556</v>
      </c>
      <c r="D990">
        <v>24</v>
      </c>
      <c r="E990" t="s">
        <v>9448</v>
      </c>
    </row>
    <row r="991" spans="2:5">
      <c r="B991" t="s">
        <v>8557</v>
      </c>
      <c r="C991" t="s">
        <v>8558</v>
      </c>
      <c r="D991">
        <v>31</v>
      </c>
      <c r="E991" t="s">
        <v>139</v>
      </c>
    </row>
    <row r="992" spans="2:5">
      <c r="B992" t="s">
        <v>8559</v>
      </c>
      <c r="C992" t="s">
        <v>8560</v>
      </c>
      <c r="D992">
        <v>0</v>
      </c>
      <c r="E992" t="s">
        <v>139</v>
      </c>
    </row>
    <row r="993" spans="2:5">
      <c r="B993" t="s">
        <v>8561</v>
      </c>
      <c r="D993">
        <v>0</v>
      </c>
      <c r="E993" t="s">
        <v>137</v>
      </c>
    </row>
    <row r="994" spans="2:5">
      <c r="B994" t="s">
        <v>8562</v>
      </c>
      <c r="C994" t="s">
        <v>8563</v>
      </c>
      <c r="D994">
        <v>7</v>
      </c>
      <c r="E994" t="s">
        <v>139</v>
      </c>
    </row>
    <row r="995" spans="2:5">
      <c r="B995" t="s">
        <v>8564</v>
      </c>
      <c r="C995" t="s">
        <v>8565</v>
      </c>
      <c r="D995">
        <v>5</v>
      </c>
      <c r="E995" t="s">
        <v>139</v>
      </c>
    </row>
    <row r="996" spans="2:5">
      <c r="B996" t="s">
        <v>8566</v>
      </c>
      <c r="C996" t="s">
        <v>8567</v>
      </c>
      <c r="D996">
        <v>8</v>
      </c>
      <c r="E996" t="s">
        <v>9448</v>
      </c>
    </row>
    <row r="997" spans="2:5">
      <c r="B997" t="s">
        <v>8568</v>
      </c>
      <c r="C997" t="s">
        <v>8569</v>
      </c>
      <c r="D997">
        <v>6</v>
      </c>
      <c r="E997" t="s">
        <v>139</v>
      </c>
    </row>
    <row r="998" spans="2:5">
      <c r="B998" t="s">
        <v>8570</v>
      </c>
      <c r="C998" t="s">
        <v>8571</v>
      </c>
      <c r="D998">
        <v>14</v>
      </c>
      <c r="E998" t="s">
        <v>9448</v>
      </c>
    </row>
    <row r="999" spans="2:5">
      <c r="B999" t="s">
        <v>8572</v>
      </c>
      <c r="C999" t="s">
        <v>8573</v>
      </c>
      <c r="D999">
        <v>16</v>
      </c>
      <c r="E999" t="s">
        <v>9448</v>
      </c>
    </row>
    <row r="1000" spans="2:5">
      <c r="B1000" t="s">
        <v>8574</v>
      </c>
      <c r="C1000" t="s">
        <v>8575</v>
      </c>
      <c r="D1000">
        <v>1</v>
      </c>
      <c r="E1000" t="s">
        <v>139</v>
      </c>
    </row>
    <row r="1001" spans="2:5">
      <c r="B1001" t="s">
        <v>8576</v>
      </c>
      <c r="C1001" t="s">
        <v>8577</v>
      </c>
      <c r="D1001">
        <v>1</v>
      </c>
      <c r="E1001" t="s">
        <v>9448</v>
      </c>
    </row>
    <row r="1002" spans="2:5">
      <c r="B1002" t="s">
        <v>8578</v>
      </c>
      <c r="C1002" t="s">
        <v>8579</v>
      </c>
      <c r="D1002">
        <v>0</v>
      </c>
      <c r="E1002" t="s">
        <v>139</v>
      </c>
    </row>
    <row r="1003" spans="2:5">
      <c r="B1003" t="s">
        <v>8580</v>
      </c>
      <c r="C1003" t="s">
        <v>8581</v>
      </c>
      <c r="D1003">
        <v>0</v>
      </c>
      <c r="E1003" t="s">
        <v>139</v>
      </c>
    </row>
    <row r="1004" spans="2:5">
      <c r="B1004" t="s">
        <v>8582</v>
      </c>
      <c r="C1004" t="s">
        <v>8583</v>
      </c>
      <c r="D1004">
        <v>12</v>
      </c>
      <c r="E1004" t="s">
        <v>5396</v>
      </c>
    </row>
    <row r="1005" spans="2:5">
      <c r="B1005" t="s">
        <v>8584</v>
      </c>
      <c r="C1005" t="s">
        <v>8585</v>
      </c>
      <c r="D1005">
        <v>6</v>
      </c>
      <c r="E1005" t="s">
        <v>139</v>
      </c>
    </row>
    <row r="1006" spans="2:5">
      <c r="B1006" t="s">
        <v>8586</v>
      </c>
      <c r="C1006" t="s">
        <v>8587</v>
      </c>
      <c r="D1006">
        <v>6</v>
      </c>
      <c r="E1006" t="s">
        <v>139</v>
      </c>
    </row>
    <row r="1007" spans="2:5">
      <c r="B1007" t="s">
        <v>8588</v>
      </c>
      <c r="C1007" t="s">
        <v>8589</v>
      </c>
      <c r="D1007">
        <v>23</v>
      </c>
      <c r="E1007" t="s">
        <v>9448</v>
      </c>
    </row>
    <row r="1008" spans="2:5">
      <c r="B1008" t="s">
        <v>8590</v>
      </c>
      <c r="C1008" t="s">
        <v>8591</v>
      </c>
      <c r="D1008">
        <v>3</v>
      </c>
      <c r="E1008" t="s">
        <v>9448</v>
      </c>
    </row>
    <row r="1009" spans="2:5">
      <c r="B1009" t="s">
        <v>8592</v>
      </c>
      <c r="C1009" t="s">
        <v>8593</v>
      </c>
      <c r="D1009">
        <v>2</v>
      </c>
      <c r="E1009" t="s">
        <v>5385</v>
      </c>
    </row>
    <row r="1010" spans="2:5">
      <c r="B1010" t="s">
        <v>8594</v>
      </c>
      <c r="C1010" t="s">
        <v>8595</v>
      </c>
      <c r="D1010">
        <v>17</v>
      </c>
      <c r="E1010" t="s">
        <v>139</v>
      </c>
    </row>
    <row r="1011" spans="2:5">
      <c r="B1011" t="s">
        <v>8596</v>
      </c>
      <c r="C1011" t="s">
        <v>8597</v>
      </c>
      <c r="D1011">
        <v>10</v>
      </c>
      <c r="E1011" t="s">
        <v>9448</v>
      </c>
    </row>
    <row r="1012" spans="2:5">
      <c r="B1012" t="s">
        <v>8598</v>
      </c>
      <c r="C1012" t="s">
        <v>8599</v>
      </c>
      <c r="D1012">
        <v>7</v>
      </c>
      <c r="E1012" t="s">
        <v>9448</v>
      </c>
    </row>
    <row r="1013" spans="2:5">
      <c r="B1013" t="s">
        <v>8600</v>
      </c>
      <c r="C1013" t="s">
        <v>8601</v>
      </c>
      <c r="D1013">
        <v>65</v>
      </c>
      <c r="E1013" t="s">
        <v>9448</v>
      </c>
    </row>
    <row r="1014" spans="2:5">
      <c r="B1014" t="s">
        <v>8602</v>
      </c>
      <c r="C1014" t="s">
        <v>8603</v>
      </c>
      <c r="D1014">
        <v>10</v>
      </c>
      <c r="E1014" t="s">
        <v>139</v>
      </c>
    </row>
    <row r="1015" spans="2:5">
      <c r="B1015" t="s">
        <v>8604</v>
      </c>
      <c r="C1015" t="s">
        <v>8605</v>
      </c>
      <c r="D1015">
        <v>14</v>
      </c>
      <c r="E1015" t="s">
        <v>5396</v>
      </c>
    </row>
    <row r="1016" spans="2:5">
      <c r="B1016" t="s">
        <v>8606</v>
      </c>
      <c r="C1016" t="s">
        <v>8607</v>
      </c>
      <c r="D1016">
        <v>18</v>
      </c>
      <c r="E1016" t="s">
        <v>139</v>
      </c>
    </row>
    <row r="1017" spans="2:5">
      <c r="B1017" t="s">
        <v>8608</v>
      </c>
      <c r="C1017" t="s">
        <v>8609</v>
      </c>
      <c r="D1017">
        <v>40</v>
      </c>
      <c r="E1017" t="s">
        <v>9448</v>
      </c>
    </row>
    <row r="1018" spans="2:5">
      <c r="B1018" t="s">
        <v>8610</v>
      </c>
      <c r="C1018" t="s">
        <v>8611</v>
      </c>
      <c r="D1018">
        <v>9</v>
      </c>
      <c r="E1018" t="s">
        <v>139</v>
      </c>
    </row>
    <row r="1019" spans="2:5">
      <c r="B1019" t="s">
        <v>8612</v>
      </c>
      <c r="C1019" t="s">
        <v>8613</v>
      </c>
      <c r="D1019">
        <v>59</v>
      </c>
      <c r="E1019" t="s">
        <v>9448</v>
      </c>
    </row>
    <row r="1020" spans="2:5">
      <c r="B1020" t="s">
        <v>8614</v>
      </c>
      <c r="C1020" t="s">
        <v>8615</v>
      </c>
      <c r="D1020">
        <v>11</v>
      </c>
      <c r="E1020" t="s">
        <v>5396</v>
      </c>
    </row>
    <row r="1021" spans="2:5">
      <c r="B1021" t="s">
        <v>8616</v>
      </c>
      <c r="C1021" t="s">
        <v>8617</v>
      </c>
      <c r="D1021">
        <v>1</v>
      </c>
      <c r="E1021" t="s">
        <v>9448</v>
      </c>
    </row>
    <row r="1022" spans="2:5">
      <c r="B1022" t="s">
        <v>8618</v>
      </c>
      <c r="C1022" t="s">
        <v>8619</v>
      </c>
      <c r="D1022">
        <v>44</v>
      </c>
      <c r="E1022" t="s">
        <v>9448</v>
      </c>
    </row>
    <row r="1023" spans="2:5">
      <c r="B1023" t="s">
        <v>8620</v>
      </c>
      <c r="C1023" t="s">
        <v>8621</v>
      </c>
      <c r="D1023">
        <v>4</v>
      </c>
      <c r="E1023" t="s">
        <v>9448</v>
      </c>
    </row>
    <row r="1024" spans="2:5">
      <c r="B1024" t="s">
        <v>8622</v>
      </c>
      <c r="C1024" t="s">
        <v>8623</v>
      </c>
      <c r="D1024">
        <v>1</v>
      </c>
      <c r="E1024" t="s">
        <v>139</v>
      </c>
    </row>
    <row r="1025" spans="2:5">
      <c r="B1025" t="s">
        <v>8624</v>
      </c>
      <c r="C1025" t="s">
        <v>8625</v>
      </c>
      <c r="D1025">
        <v>1</v>
      </c>
      <c r="E1025" t="s">
        <v>139</v>
      </c>
    </row>
    <row r="1026" spans="2:5">
      <c r="B1026" t="s">
        <v>8626</v>
      </c>
      <c r="C1026" t="s">
        <v>8627</v>
      </c>
      <c r="D1026">
        <v>6</v>
      </c>
      <c r="E1026" t="s">
        <v>9448</v>
      </c>
    </row>
    <row r="1027" spans="2:5">
      <c r="B1027" t="s">
        <v>8628</v>
      </c>
      <c r="C1027" t="s">
        <v>8629</v>
      </c>
      <c r="D1027">
        <v>31</v>
      </c>
      <c r="E1027" t="s">
        <v>9448</v>
      </c>
    </row>
    <row r="1028" spans="2:5">
      <c r="B1028" t="s">
        <v>8630</v>
      </c>
      <c r="C1028" t="s">
        <v>8631</v>
      </c>
      <c r="D1028">
        <v>108</v>
      </c>
      <c r="E1028" t="s">
        <v>9448</v>
      </c>
    </row>
    <row r="1029" spans="2:5">
      <c r="B1029" t="s">
        <v>8632</v>
      </c>
      <c r="C1029" t="s">
        <v>8633</v>
      </c>
      <c r="D1029">
        <v>2</v>
      </c>
      <c r="E1029" t="s">
        <v>139</v>
      </c>
    </row>
    <row r="1030" spans="2:5">
      <c r="B1030" t="s">
        <v>8634</v>
      </c>
      <c r="C1030" t="s">
        <v>8635</v>
      </c>
      <c r="D1030">
        <v>42</v>
      </c>
      <c r="E1030" t="s">
        <v>9448</v>
      </c>
    </row>
    <row r="1031" spans="2:5">
      <c r="B1031" t="s">
        <v>8636</v>
      </c>
      <c r="C1031" t="s">
        <v>8637</v>
      </c>
      <c r="D1031">
        <v>0</v>
      </c>
      <c r="E1031" t="s">
        <v>139</v>
      </c>
    </row>
    <row r="1032" spans="2:5">
      <c r="B1032" t="s">
        <v>8638</v>
      </c>
      <c r="C1032" t="s">
        <v>8639</v>
      </c>
      <c r="D1032">
        <v>3</v>
      </c>
      <c r="E1032" t="s">
        <v>139</v>
      </c>
    </row>
    <row r="1033" spans="2:5">
      <c r="B1033" t="s">
        <v>8640</v>
      </c>
      <c r="C1033" t="s">
        <v>8641</v>
      </c>
      <c r="D1033">
        <v>2</v>
      </c>
      <c r="E1033" t="s">
        <v>139</v>
      </c>
    </row>
    <row r="1034" spans="2:5">
      <c r="B1034" t="s">
        <v>8642</v>
      </c>
      <c r="C1034" t="s">
        <v>8643</v>
      </c>
      <c r="D1034">
        <v>33</v>
      </c>
      <c r="E1034" t="s">
        <v>139</v>
      </c>
    </row>
    <row r="1035" spans="2:5">
      <c r="B1035" t="s">
        <v>8644</v>
      </c>
      <c r="C1035" t="s">
        <v>8645</v>
      </c>
      <c r="D1035">
        <v>2</v>
      </c>
      <c r="E1035" t="s">
        <v>139</v>
      </c>
    </row>
    <row r="1036" spans="2:5">
      <c r="B1036" t="s">
        <v>8646</v>
      </c>
      <c r="C1036" t="s">
        <v>8647</v>
      </c>
      <c r="D1036">
        <v>6</v>
      </c>
      <c r="E1036" t="s">
        <v>139</v>
      </c>
    </row>
    <row r="1037" spans="2:5">
      <c r="B1037" t="s">
        <v>8648</v>
      </c>
      <c r="C1037" t="s">
        <v>8649</v>
      </c>
      <c r="D1037">
        <v>484</v>
      </c>
      <c r="E1037" t="s">
        <v>9448</v>
      </c>
    </row>
    <row r="1038" spans="2:5">
      <c r="B1038" t="s">
        <v>8650</v>
      </c>
      <c r="C1038" t="s">
        <v>8651</v>
      </c>
      <c r="D1038">
        <v>25</v>
      </c>
      <c r="E1038" t="s">
        <v>5397</v>
      </c>
    </row>
    <row r="1039" spans="2:5">
      <c r="B1039" t="s">
        <v>8652</v>
      </c>
      <c r="C1039" t="s">
        <v>8653</v>
      </c>
      <c r="D1039">
        <v>4</v>
      </c>
      <c r="E1039" t="s">
        <v>139</v>
      </c>
    </row>
    <row r="1040" spans="2:5">
      <c r="B1040" t="s">
        <v>8654</v>
      </c>
      <c r="C1040" t="s">
        <v>8655</v>
      </c>
      <c r="D1040">
        <v>27</v>
      </c>
      <c r="E1040" t="s">
        <v>9448</v>
      </c>
    </row>
    <row r="1041" spans="2:5">
      <c r="B1041" t="s">
        <v>8656</v>
      </c>
      <c r="C1041" t="s">
        <v>8657</v>
      </c>
      <c r="D1041">
        <v>46</v>
      </c>
      <c r="E1041" t="s">
        <v>9448</v>
      </c>
    </row>
    <row r="1042" spans="2:5">
      <c r="B1042" t="s">
        <v>8658</v>
      </c>
      <c r="C1042" t="s">
        <v>8659</v>
      </c>
      <c r="D1042">
        <v>2</v>
      </c>
      <c r="E1042" t="s">
        <v>5396</v>
      </c>
    </row>
    <row r="1043" spans="2:5">
      <c r="B1043" t="s">
        <v>8660</v>
      </c>
      <c r="C1043" t="s">
        <v>8661</v>
      </c>
      <c r="D1043">
        <v>3</v>
      </c>
      <c r="E1043" t="s">
        <v>139</v>
      </c>
    </row>
    <row r="1044" spans="2:5">
      <c r="B1044" t="s">
        <v>8662</v>
      </c>
      <c r="C1044" t="s">
        <v>8663</v>
      </c>
      <c r="D1044">
        <v>10</v>
      </c>
      <c r="E1044" t="s">
        <v>139</v>
      </c>
    </row>
    <row r="1045" spans="2:5">
      <c r="B1045" t="s">
        <v>8664</v>
      </c>
      <c r="C1045" t="s">
        <v>8665</v>
      </c>
      <c r="D1045">
        <v>1</v>
      </c>
      <c r="E1045" t="s">
        <v>139</v>
      </c>
    </row>
    <row r="1046" spans="2:5">
      <c r="B1046" t="s">
        <v>8666</v>
      </c>
      <c r="C1046" t="s">
        <v>8503</v>
      </c>
      <c r="D1046">
        <v>7</v>
      </c>
      <c r="E1046" t="s">
        <v>139</v>
      </c>
    </row>
    <row r="1047" spans="2:5">
      <c r="B1047" t="s">
        <v>8667</v>
      </c>
      <c r="C1047" t="s">
        <v>8668</v>
      </c>
      <c r="D1047">
        <v>97</v>
      </c>
      <c r="E1047" t="s">
        <v>9448</v>
      </c>
    </row>
    <row r="1048" spans="2:5">
      <c r="B1048" t="s">
        <v>8669</v>
      </c>
      <c r="C1048" t="s">
        <v>8670</v>
      </c>
      <c r="D1048">
        <v>7</v>
      </c>
      <c r="E1048" t="s">
        <v>9448</v>
      </c>
    </row>
    <row r="1049" spans="2:5">
      <c r="B1049" t="s">
        <v>8671</v>
      </c>
      <c r="C1049" t="s">
        <v>8672</v>
      </c>
      <c r="D1049">
        <v>10</v>
      </c>
      <c r="E1049" t="s">
        <v>139</v>
      </c>
    </row>
    <row r="1050" spans="2:5">
      <c r="B1050" t="s">
        <v>8673</v>
      </c>
      <c r="C1050" t="s">
        <v>8674</v>
      </c>
      <c r="D1050">
        <v>2</v>
      </c>
      <c r="E1050" t="s">
        <v>139</v>
      </c>
    </row>
    <row r="1051" spans="2:5">
      <c r="B1051" t="s">
        <v>8675</v>
      </c>
      <c r="C1051" t="s">
        <v>8676</v>
      </c>
      <c r="D1051">
        <v>4</v>
      </c>
      <c r="E1051" t="s">
        <v>139</v>
      </c>
    </row>
    <row r="1052" spans="2:5">
      <c r="B1052" t="s">
        <v>8677</v>
      </c>
      <c r="C1052" t="s">
        <v>8678</v>
      </c>
      <c r="D1052">
        <v>5</v>
      </c>
      <c r="E1052" t="s">
        <v>139</v>
      </c>
    </row>
    <row r="1053" spans="2:5">
      <c r="B1053" t="s">
        <v>8679</v>
      </c>
      <c r="C1053" t="s">
        <v>8680</v>
      </c>
      <c r="D1053">
        <v>0</v>
      </c>
      <c r="E1053" t="s">
        <v>139</v>
      </c>
    </row>
    <row r="1054" spans="2:5">
      <c r="B1054" t="s">
        <v>8681</v>
      </c>
      <c r="C1054" t="s">
        <v>8682</v>
      </c>
      <c r="D1054">
        <v>0</v>
      </c>
      <c r="E1054" t="s">
        <v>139</v>
      </c>
    </row>
    <row r="1055" spans="2:5">
      <c r="B1055" t="s">
        <v>8683</v>
      </c>
      <c r="C1055" t="s">
        <v>8684</v>
      </c>
      <c r="D1055">
        <v>5</v>
      </c>
      <c r="E1055" t="s">
        <v>139</v>
      </c>
    </row>
    <row r="1056" spans="2:5">
      <c r="B1056" t="s">
        <v>8685</v>
      </c>
      <c r="C1056" t="s">
        <v>8686</v>
      </c>
      <c r="D1056">
        <v>9</v>
      </c>
      <c r="E1056" t="s">
        <v>9448</v>
      </c>
    </row>
    <row r="1057" spans="2:5">
      <c r="B1057" t="s">
        <v>8687</v>
      </c>
      <c r="C1057" t="s">
        <v>8688</v>
      </c>
      <c r="D1057">
        <v>15</v>
      </c>
      <c r="E1057" t="s">
        <v>9448</v>
      </c>
    </row>
    <row r="1058" spans="2:5">
      <c r="B1058" t="s">
        <v>8689</v>
      </c>
      <c r="C1058" t="s">
        <v>8690</v>
      </c>
      <c r="D1058">
        <v>0</v>
      </c>
      <c r="E1058" t="s">
        <v>139</v>
      </c>
    </row>
    <row r="1059" spans="2:5">
      <c r="B1059" t="s">
        <v>8691</v>
      </c>
      <c r="C1059" t="s">
        <v>8692</v>
      </c>
      <c r="D1059">
        <v>28</v>
      </c>
      <c r="E1059" t="s">
        <v>139</v>
      </c>
    </row>
    <row r="1060" spans="2:5">
      <c r="B1060" t="s">
        <v>8693</v>
      </c>
      <c r="C1060" t="s">
        <v>8694</v>
      </c>
      <c r="D1060">
        <v>1</v>
      </c>
      <c r="E1060" t="s">
        <v>5389</v>
      </c>
    </row>
    <row r="1061" spans="2:5">
      <c r="B1061" t="s">
        <v>8695</v>
      </c>
      <c r="C1061" t="s">
        <v>8696</v>
      </c>
      <c r="D1061">
        <v>1</v>
      </c>
      <c r="E1061" t="s">
        <v>5389</v>
      </c>
    </row>
    <row r="1062" spans="2:5">
      <c r="B1062" t="s">
        <v>8697</v>
      </c>
      <c r="C1062" t="s">
        <v>8698</v>
      </c>
      <c r="D1062">
        <v>26</v>
      </c>
      <c r="E1062" t="s">
        <v>5389</v>
      </c>
    </row>
    <row r="1063" spans="2:5">
      <c r="B1063" t="s">
        <v>8699</v>
      </c>
      <c r="C1063" t="s">
        <v>8700</v>
      </c>
      <c r="D1063">
        <v>7</v>
      </c>
      <c r="E1063" t="s">
        <v>5389</v>
      </c>
    </row>
    <row r="1064" spans="2:5">
      <c r="B1064" t="s">
        <v>8701</v>
      </c>
      <c r="C1064" t="s">
        <v>8702</v>
      </c>
      <c r="D1064">
        <v>3</v>
      </c>
      <c r="E1064" t="s">
        <v>5389</v>
      </c>
    </row>
    <row r="1065" spans="2:5">
      <c r="B1065" t="s">
        <v>6222</v>
      </c>
      <c r="C1065" t="s">
        <v>8703</v>
      </c>
      <c r="D1065">
        <v>5</v>
      </c>
      <c r="E1065" t="s">
        <v>5389</v>
      </c>
    </row>
    <row r="1066" spans="2:5">
      <c r="B1066" t="s">
        <v>8704</v>
      </c>
      <c r="C1066" t="s">
        <v>8705</v>
      </c>
      <c r="D1066">
        <v>0</v>
      </c>
      <c r="E1066" t="s">
        <v>5389</v>
      </c>
    </row>
    <row r="1067" spans="2:5">
      <c r="B1067" t="s">
        <v>8706</v>
      </c>
      <c r="C1067" t="s">
        <v>8707</v>
      </c>
      <c r="D1067">
        <v>0</v>
      </c>
      <c r="E1067" t="s">
        <v>5389</v>
      </c>
    </row>
    <row r="1068" spans="2:5">
      <c r="B1068" t="s">
        <v>6228</v>
      </c>
      <c r="C1068" t="s">
        <v>8708</v>
      </c>
      <c r="D1068">
        <v>0</v>
      </c>
      <c r="E1068" t="s">
        <v>5389</v>
      </c>
    </row>
    <row r="1069" spans="2:5">
      <c r="B1069" t="s">
        <v>6235</v>
      </c>
      <c r="C1069" t="s">
        <v>8709</v>
      </c>
      <c r="D1069">
        <v>2</v>
      </c>
      <c r="E1069" t="s">
        <v>5389</v>
      </c>
    </row>
    <row r="1070" spans="2:5">
      <c r="B1070" t="s">
        <v>8710</v>
      </c>
      <c r="C1070" t="s">
        <v>8711</v>
      </c>
      <c r="D1070">
        <v>0</v>
      </c>
      <c r="E1070" t="s">
        <v>5390</v>
      </c>
    </row>
    <row r="1071" spans="2:5">
      <c r="B1071" t="s">
        <v>8712</v>
      </c>
      <c r="C1071" t="s">
        <v>8713</v>
      </c>
      <c r="D1071">
        <v>0</v>
      </c>
      <c r="E1071" t="s">
        <v>5390</v>
      </c>
    </row>
    <row r="1072" spans="2:5">
      <c r="B1072" t="s">
        <v>8714</v>
      </c>
      <c r="C1072" t="s">
        <v>8715</v>
      </c>
      <c r="D1072">
        <v>0</v>
      </c>
      <c r="E1072" t="s">
        <v>5389</v>
      </c>
    </row>
    <row r="1073" spans="2:5">
      <c r="B1073" t="s">
        <v>8716</v>
      </c>
      <c r="C1073" t="s">
        <v>8717</v>
      </c>
      <c r="D1073">
        <v>1</v>
      </c>
      <c r="E1073" t="s">
        <v>5390</v>
      </c>
    </row>
    <row r="1074" spans="2:5">
      <c r="B1074" t="s">
        <v>8718</v>
      </c>
      <c r="C1074" t="s">
        <v>8719</v>
      </c>
      <c r="D1074">
        <v>1</v>
      </c>
      <c r="E1074" t="s">
        <v>5389</v>
      </c>
    </row>
    <row r="1075" spans="2:5">
      <c r="B1075" t="s">
        <v>8720</v>
      </c>
      <c r="C1075" t="s">
        <v>8721</v>
      </c>
      <c r="D1075">
        <v>0</v>
      </c>
      <c r="E1075" t="s">
        <v>5389</v>
      </c>
    </row>
    <row r="1076" spans="2:5">
      <c r="B1076" t="s">
        <v>8722</v>
      </c>
      <c r="C1076" t="s">
        <v>8723</v>
      </c>
      <c r="D1076">
        <v>3</v>
      </c>
      <c r="E1076" t="s">
        <v>5389</v>
      </c>
    </row>
    <row r="1077" spans="2:5">
      <c r="B1077" t="s">
        <v>8724</v>
      </c>
      <c r="C1077" t="s">
        <v>8725</v>
      </c>
      <c r="D1077">
        <v>8</v>
      </c>
      <c r="E1077" t="s">
        <v>5389</v>
      </c>
    </row>
    <row r="1078" spans="2:5">
      <c r="B1078" t="s">
        <v>8726</v>
      </c>
      <c r="C1078" t="s">
        <v>8727</v>
      </c>
      <c r="D1078">
        <v>20</v>
      </c>
      <c r="E1078" t="s">
        <v>5389</v>
      </c>
    </row>
    <row r="1079" spans="2:5">
      <c r="B1079" t="s">
        <v>8728</v>
      </c>
      <c r="C1079" t="s">
        <v>8729</v>
      </c>
      <c r="D1079">
        <v>0</v>
      </c>
      <c r="E1079" t="s">
        <v>5389</v>
      </c>
    </row>
    <row r="1080" spans="2:5">
      <c r="B1080" t="s">
        <v>8730</v>
      </c>
      <c r="C1080" t="s">
        <v>8731</v>
      </c>
      <c r="D1080">
        <v>42</v>
      </c>
      <c r="E1080" t="s">
        <v>5389</v>
      </c>
    </row>
    <row r="1081" spans="2:5">
      <c r="B1081" t="s">
        <v>6241</v>
      </c>
      <c r="C1081" t="s">
        <v>8732</v>
      </c>
      <c r="D1081">
        <v>0</v>
      </c>
      <c r="E1081" t="s">
        <v>5390</v>
      </c>
    </row>
    <row r="1082" spans="2:5">
      <c r="B1082" t="s">
        <v>6247</v>
      </c>
      <c r="C1082" t="s">
        <v>8733</v>
      </c>
      <c r="D1082">
        <v>3</v>
      </c>
      <c r="E1082" t="s">
        <v>140</v>
      </c>
    </row>
    <row r="1083" spans="2:5">
      <c r="B1083" t="s">
        <v>6253</v>
      </c>
      <c r="C1083" t="s">
        <v>8734</v>
      </c>
      <c r="D1083">
        <v>0</v>
      </c>
      <c r="E1083" t="s">
        <v>140</v>
      </c>
    </row>
    <row r="1084" spans="2:5">
      <c r="B1084" t="s">
        <v>8735</v>
      </c>
      <c r="C1084" t="s">
        <v>8736</v>
      </c>
      <c r="D1084">
        <v>4</v>
      </c>
      <c r="E1084" t="s">
        <v>137</v>
      </c>
    </row>
    <row r="1085" spans="2:5">
      <c r="B1085" t="s">
        <v>8737</v>
      </c>
      <c r="C1085" t="s">
        <v>8738</v>
      </c>
      <c r="D1085">
        <v>1</v>
      </c>
      <c r="E1085" t="s">
        <v>140</v>
      </c>
    </row>
    <row r="1086" spans="2:5">
      <c r="B1086" t="s">
        <v>8739</v>
      </c>
      <c r="C1086" t="s">
        <v>8740</v>
      </c>
      <c r="D1086">
        <v>12</v>
      </c>
      <c r="E1086" t="s">
        <v>140</v>
      </c>
    </row>
    <row r="1087" spans="2:5">
      <c r="B1087" t="s">
        <v>8741</v>
      </c>
      <c r="C1087" t="s">
        <v>8742</v>
      </c>
      <c r="D1087">
        <v>4</v>
      </c>
      <c r="E1087" t="s">
        <v>5390</v>
      </c>
    </row>
    <row r="1088" spans="2:5">
      <c r="B1088" t="s">
        <v>6260</v>
      </c>
      <c r="C1088" t="s">
        <v>8743</v>
      </c>
      <c r="D1088">
        <v>2</v>
      </c>
      <c r="E1088" t="s">
        <v>140</v>
      </c>
    </row>
    <row r="1089" spans="2:5">
      <c r="B1089" t="s">
        <v>8744</v>
      </c>
      <c r="C1089" t="s">
        <v>8745</v>
      </c>
      <c r="D1089">
        <v>12</v>
      </c>
      <c r="E1089" t="s">
        <v>5390</v>
      </c>
    </row>
    <row r="1090" spans="2:5">
      <c r="B1090" t="s">
        <v>8746</v>
      </c>
      <c r="C1090" t="s">
        <v>8747</v>
      </c>
      <c r="D1090">
        <v>0</v>
      </c>
      <c r="E1090" t="s">
        <v>9464</v>
      </c>
    </row>
    <row r="1091" spans="2:5">
      <c r="B1091" t="s">
        <v>6265</v>
      </c>
      <c r="C1091" t="s">
        <v>8748</v>
      </c>
      <c r="D1091">
        <v>17</v>
      </c>
      <c r="E1091" t="s">
        <v>5390</v>
      </c>
    </row>
    <row r="1092" spans="2:5">
      <c r="B1092" t="s">
        <v>6269</v>
      </c>
      <c r="C1092" t="s">
        <v>7299</v>
      </c>
      <c r="D1092">
        <v>31</v>
      </c>
      <c r="E1092" t="s">
        <v>5390</v>
      </c>
    </row>
    <row r="1093" spans="2:5">
      <c r="B1093" t="s">
        <v>8749</v>
      </c>
      <c r="C1093" t="s">
        <v>8750</v>
      </c>
      <c r="D1093">
        <v>6</v>
      </c>
      <c r="E1093" t="s">
        <v>5392</v>
      </c>
    </row>
    <row r="1094" spans="2:5">
      <c r="B1094" t="s">
        <v>8751</v>
      </c>
      <c r="C1094" t="s">
        <v>8752</v>
      </c>
      <c r="D1094">
        <v>0</v>
      </c>
      <c r="E1094" t="s">
        <v>9465</v>
      </c>
    </row>
    <row r="1095" spans="2:5">
      <c r="B1095" t="s">
        <v>8753</v>
      </c>
      <c r="C1095" t="s">
        <v>8754</v>
      </c>
      <c r="D1095">
        <v>0</v>
      </c>
      <c r="E1095" t="s">
        <v>9466</v>
      </c>
    </row>
    <row r="1096" spans="2:5">
      <c r="B1096" t="s">
        <v>8755</v>
      </c>
      <c r="C1096" t="s">
        <v>8756</v>
      </c>
      <c r="D1096">
        <v>0</v>
      </c>
      <c r="E1096" t="s">
        <v>9465</v>
      </c>
    </row>
    <row r="1097" spans="2:5">
      <c r="B1097" t="s">
        <v>8757</v>
      </c>
      <c r="C1097" t="s">
        <v>8758</v>
      </c>
      <c r="D1097">
        <v>0</v>
      </c>
      <c r="E1097" t="s">
        <v>9466</v>
      </c>
    </row>
    <row r="1098" spans="2:5">
      <c r="B1098" t="s">
        <v>6275</v>
      </c>
      <c r="C1098" t="s">
        <v>8759</v>
      </c>
      <c r="D1098">
        <v>3</v>
      </c>
      <c r="E1098" t="s">
        <v>9466</v>
      </c>
    </row>
    <row r="1099" spans="2:5">
      <c r="B1099" t="s">
        <v>8760</v>
      </c>
      <c r="C1099" t="s">
        <v>8761</v>
      </c>
      <c r="D1099">
        <v>2</v>
      </c>
      <c r="E1099" t="s">
        <v>9466</v>
      </c>
    </row>
    <row r="1100" spans="2:5">
      <c r="B1100" t="s">
        <v>8762</v>
      </c>
      <c r="C1100" t="s">
        <v>8763</v>
      </c>
      <c r="D1100">
        <v>2</v>
      </c>
      <c r="E1100" t="s">
        <v>9466</v>
      </c>
    </row>
    <row r="1101" spans="2:5">
      <c r="B1101" t="s">
        <v>8764</v>
      </c>
      <c r="C1101" t="s">
        <v>8765</v>
      </c>
      <c r="D1101">
        <v>0</v>
      </c>
      <c r="E1101" t="s">
        <v>9466</v>
      </c>
    </row>
    <row r="1102" spans="2:5">
      <c r="B1102" t="s">
        <v>8766</v>
      </c>
      <c r="C1102" t="s">
        <v>8767</v>
      </c>
      <c r="D1102">
        <v>3</v>
      </c>
      <c r="E1102" t="s">
        <v>9466</v>
      </c>
    </row>
    <row r="1103" spans="2:5">
      <c r="B1103" t="s">
        <v>8768</v>
      </c>
      <c r="C1103" t="s">
        <v>8769</v>
      </c>
      <c r="D1103">
        <v>0</v>
      </c>
      <c r="E1103" t="s">
        <v>9466</v>
      </c>
    </row>
    <row r="1104" spans="2:5">
      <c r="B1104" t="s">
        <v>8770</v>
      </c>
      <c r="C1104" t="s">
        <v>8771</v>
      </c>
      <c r="D1104">
        <v>0</v>
      </c>
      <c r="E1104" t="s">
        <v>9466</v>
      </c>
    </row>
    <row r="1105" spans="2:5">
      <c r="B1105" t="s">
        <v>8772</v>
      </c>
      <c r="C1105" t="s">
        <v>8773</v>
      </c>
      <c r="D1105">
        <v>1</v>
      </c>
      <c r="E1105" t="s">
        <v>9465</v>
      </c>
    </row>
    <row r="1106" spans="2:5">
      <c r="B1106" t="s">
        <v>8774</v>
      </c>
      <c r="C1106" t="s">
        <v>8775</v>
      </c>
      <c r="D1106">
        <v>0</v>
      </c>
      <c r="E1106" t="s">
        <v>9466</v>
      </c>
    </row>
    <row r="1107" spans="2:5">
      <c r="B1107" t="s">
        <v>8776</v>
      </c>
      <c r="C1107" t="s">
        <v>8777</v>
      </c>
      <c r="D1107">
        <v>5</v>
      </c>
      <c r="E1107" t="s">
        <v>9466</v>
      </c>
    </row>
    <row r="1108" spans="2:5">
      <c r="B1108" t="s">
        <v>8778</v>
      </c>
      <c r="C1108" t="s">
        <v>8779</v>
      </c>
      <c r="D1108">
        <v>0</v>
      </c>
      <c r="E1108" t="s">
        <v>9466</v>
      </c>
    </row>
    <row r="1109" spans="2:5">
      <c r="B1109" t="s">
        <v>8780</v>
      </c>
      <c r="C1109" t="s">
        <v>8781</v>
      </c>
      <c r="D1109">
        <v>3</v>
      </c>
      <c r="E1109" t="s">
        <v>9465</v>
      </c>
    </row>
    <row r="1110" spans="2:5">
      <c r="B1110" t="s">
        <v>8782</v>
      </c>
      <c r="C1110" t="s">
        <v>8783</v>
      </c>
      <c r="D1110">
        <v>1</v>
      </c>
      <c r="E1110" t="s">
        <v>9466</v>
      </c>
    </row>
    <row r="1111" spans="2:5">
      <c r="B1111" t="s">
        <v>8784</v>
      </c>
      <c r="C1111" t="s">
        <v>8785</v>
      </c>
      <c r="D1111">
        <v>6</v>
      </c>
      <c r="E1111" t="s">
        <v>9466</v>
      </c>
    </row>
    <row r="1112" spans="2:5">
      <c r="B1112" t="s">
        <v>8786</v>
      </c>
      <c r="C1112" t="s">
        <v>8787</v>
      </c>
      <c r="D1112">
        <v>0</v>
      </c>
      <c r="E1112" t="s">
        <v>9466</v>
      </c>
    </row>
    <row r="1113" spans="2:5">
      <c r="B1113" t="s">
        <v>8788</v>
      </c>
      <c r="C1113" t="s">
        <v>8789</v>
      </c>
      <c r="D1113">
        <v>0</v>
      </c>
      <c r="E1113" t="s">
        <v>9466</v>
      </c>
    </row>
    <row r="1114" spans="2:5">
      <c r="B1114" t="s">
        <v>8790</v>
      </c>
      <c r="C1114" t="s">
        <v>8791</v>
      </c>
      <c r="D1114">
        <v>0</v>
      </c>
      <c r="E1114" t="s">
        <v>9466</v>
      </c>
    </row>
    <row r="1115" spans="2:5">
      <c r="B1115" t="s">
        <v>8792</v>
      </c>
      <c r="C1115" t="s">
        <v>8793</v>
      </c>
      <c r="D1115">
        <v>0</v>
      </c>
      <c r="E1115" t="s">
        <v>9466</v>
      </c>
    </row>
    <row r="1116" spans="2:5">
      <c r="B1116" t="s">
        <v>8794</v>
      </c>
      <c r="C1116" t="s">
        <v>8795</v>
      </c>
      <c r="D1116">
        <v>2</v>
      </c>
      <c r="E1116" t="s">
        <v>9465</v>
      </c>
    </row>
    <row r="1117" spans="2:5">
      <c r="B1117" t="s">
        <v>8796</v>
      </c>
      <c r="C1117" t="s">
        <v>8797</v>
      </c>
      <c r="D1117">
        <v>3</v>
      </c>
      <c r="E1117" t="s">
        <v>9465</v>
      </c>
    </row>
    <row r="1118" spans="2:5">
      <c r="B1118" t="s">
        <v>8798</v>
      </c>
      <c r="C1118" t="s">
        <v>8799</v>
      </c>
      <c r="D1118">
        <v>41</v>
      </c>
      <c r="E1118" t="s">
        <v>9465</v>
      </c>
    </row>
    <row r="1119" spans="2:5">
      <c r="B1119" t="s">
        <v>8800</v>
      </c>
      <c r="C1119" t="s">
        <v>8801</v>
      </c>
      <c r="D1119">
        <v>6</v>
      </c>
      <c r="E1119" t="s">
        <v>9465</v>
      </c>
    </row>
    <row r="1120" spans="2:5">
      <c r="B1120" t="s">
        <v>8802</v>
      </c>
      <c r="C1120" t="s">
        <v>8803</v>
      </c>
      <c r="D1120">
        <v>29</v>
      </c>
      <c r="E1120" t="s">
        <v>9465</v>
      </c>
    </row>
    <row r="1121" spans="2:5">
      <c r="B1121" t="s">
        <v>8804</v>
      </c>
      <c r="C1121" t="s">
        <v>8805</v>
      </c>
      <c r="D1121">
        <v>6</v>
      </c>
      <c r="E1121" t="s">
        <v>9465</v>
      </c>
    </row>
    <row r="1122" spans="2:5">
      <c r="B1122" t="s">
        <v>8806</v>
      </c>
      <c r="C1122" t="s">
        <v>8807</v>
      </c>
      <c r="D1122">
        <v>9</v>
      </c>
      <c r="E1122" t="s">
        <v>9465</v>
      </c>
    </row>
    <row r="1123" spans="2:5">
      <c r="B1123" t="s">
        <v>8808</v>
      </c>
      <c r="C1123" t="s">
        <v>8809</v>
      </c>
      <c r="D1123">
        <v>5</v>
      </c>
      <c r="E1123" t="s">
        <v>9465</v>
      </c>
    </row>
    <row r="1124" spans="2:5">
      <c r="B1124" t="s">
        <v>8810</v>
      </c>
      <c r="C1124" t="s">
        <v>8811</v>
      </c>
      <c r="D1124">
        <v>0</v>
      </c>
      <c r="E1124" t="s">
        <v>9465</v>
      </c>
    </row>
    <row r="1125" spans="2:5">
      <c r="B1125" t="s">
        <v>8812</v>
      </c>
      <c r="C1125" t="s">
        <v>8813</v>
      </c>
      <c r="D1125">
        <v>15</v>
      </c>
      <c r="E1125" t="s">
        <v>9465</v>
      </c>
    </row>
    <row r="1126" spans="2:5">
      <c r="B1126" t="s">
        <v>8814</v>
      </c>
      <c r="C1126" t="s">
        <v>8815</v>
      </c>
      <c r="D1126">
        <v>5</v>
      </c>
      <c r="E1126" t="s">
        <v>9465</v>
      </c>
    </row>
    <row r="1127" spans="2:5">
      <c r="B1127" t="s">
        <v>8816</v>
      </c>
      <c r="C1127" t="s">
        <v>8817</v>
      </c>
      <c r="D1127">
        <v>1</v>
      </c>
      <c r="E1127" t="s">
        <v>9466</v>
      </c>
    </row>
    <row r="1128" spans="2:5">
      <c r="B1128" t="s">
        <v>8818</v>
      </c>
      <c r="C1128" t="s">
        <v>8819</v>
      </c>
      <c r="D1128">
        <v>2</v>
      </c>
      <c r="E1128" t="s">
        <v>9466</v>
      </c>
    </row>
    <row r="1129" spans="2:5">
      <c r="B1129" t="s">
        <v>8820</v>
      </c>
      <c r="C1129" t="s">
        <v>8821</v>
      </c>
      <c r="D1129">
        <v>1</v>
      </c>
      <c r="E1129" t="s">
        <v>9466</v>
      </c>
    </row>
    <row r="1130" spans="2:5">
      <c r="B1130" t="s">
        <v>6279</v>
      </c>
      <c r="C1130" t="s">
        <v>8822</v>
      </c>
      <c r="D1130">
        <v>53</v>
      </c>
      <c r="E1130" t="s">
        <v>9466</v>
      </c>
    </row>
    <row r="1131" spans="2:5">
      <c r="B1131" t="s">
        <v>8823</v>
      </c>
      <c r="C1131" t="s">
        <v>8824</v>
      </c>
      <c r="D1131">
        <v>0</v>
      </c>
      <c r="E1131" t="s">
        <v>9466</v>
      </c>
    </row>
    <row r="1132" spans="2:5">
      <c r="B1132" t="s">
        <v>8825</v>
      </c>
      <c r="C1132" t="s">
        <v>8826</v>
      </c>
      <c r="D1132">
        <v>1</v>
      </c>
      <c r="E1132" t="s">
        <v>9466</v>
      </c>
    </row>
    <row r="1133" spans="2:5">
      <c r="B1133" t="s">
        <v>8827</v>
      </c>
      <c r="C1133" t="s">
        <v>8828</v>
      </c>
      <c r="D1133">
        <v>0</v>
      </c>
      <c r="E1133" t="s">
        <v>9466</v>
      </c>
    </row>
    <row r="1134" spans="2:5">
      <c r="B1134" t="s">
        <v>8829</v>
      </c>
      <c r="C1134" t="s">
        <v>8830</v>
      </c>
      <c r="D1134">
        <v>0</v>
      </c>
      <c r="E1134" t="s">
        <v>9466</v>
      </c>
    </row>
    <row r="1135" spans="2:5">
      <c r="B1135" t="s">
        <v>8831</v>
      </c>
      <c r="C1135" t="s">
        <v>8832</v>
      </c>
      <c r="D1135">
        <v>0</v>
      </c>
      <c r="E1135" t="s">
        <v>9466</v>
      </c>
    </row>
    <row r="1136" spans="2:5">
      <c r="B1136" t="s">
        <v>8833</v>
      </c>
      <c r="C1136" t="s">
        <v>8834</v>
      </c>
      <c r="D1136">
        <v>3</v>
      </c>
      <c r="E1136" t="s">
        <v>9466</v>
      </c>
    </row>
    <row r="1137" spans="2:5">
      <c r="B1137" t="s">
        <v>8835</v>
      </c>
      <c r="C1137" t="s">
        <v>8836</v>
      </c>
      <c r="D1137">
        <v>28</v>
      </c>
      <c r="E1137" t="s">
        <v>9466</v>
      </c>
    </row>
    <row r="1138" spans="2:5">
      <c r="B1138" t="s">
        <v>8837</v>
      </c>
      <c r="C1138" t="s">
        <v>8838</v>
      </c>
      <c r="D1138">
        <v>10</v>
      </c>
      <c r="E1138" t="s">
        <v>9466</v>
      </c>
    </row>
    <row r="1139" spans="2:5">
      <c r="B1139" t="s">
        <v>8839</v>
      </c>
      <c r="C1139" t="s">
        <v>8840</v>
      </c>
      <c r="D1139">
        <v>5</v>
      </c>
      <c r="E1139" t="s">
        <v>9466</v>
      </c>
    </row>
    <row r="1140" spans="2:5">
      <c r="B1140" t="s">
        <v>8841</v>
      </c>
      <c r="C1140" t="s">
        <v>8842</v>
      </c>
      <c r="D1140">
        <v>0</v>
      </c>
      <c r="E1140" t="s">
        <v>9457</v>
      </c>
    </row>
    <row r="1141" spans="2:5">
      <c r="B1141" t="s">
        <v>8843</v>
      </c>
      <c r="C1141" t="s">
        <v>8844</v>
      </c>
      <c r="D1141">
        <v>40</v>
      </c>
      <c r="E1141" t="s">
        <v>9457</v>
      </c>
    </row>
    <row r="1142" spans="2:5">
      <c r="B1142" t="s">
        <v>8845</v>
      </c>
      <c r="C1142" t="s">
        <v>8846</v>
      </c>
      <c r="D1142">
        <v>11</v>
      </c>
      <c r="E1142" t="s">
        <v>9457</v>
      </c>
    </row>
    <row r="1143" spans="2:5">
      <c r="B1143" t="s">
        <v>8847</v>
      </c>
      <c r="C1143" t="s">
        <v>8848</v>
      </c>
      <c r="D1143">
        <v>25</v>
      </c>
      <c r="E1143" t="s">
        <v>9457</v>
      </c>
    </row>
    <row r="1144" spans="2:5">
      <c r="B1144" t="s">
        <v>8849</v>
      </c>
      <c r="C1144" t="s">
        <v>8850</v>
      </c>
      <c r="D1144">
        <v>8</v>
      </c>
      <c r="E1144" t="s">
        <v>9457</v>
      </c>
    </row>
    <row r="1145" spans="2:5">
      <c r="B1145" t="s">
        <v>8851</v>
      </c>
      <c r="C1145" t="s">
        <v>8852</v>
      </c>
      <c r="D1145">
        <v>11</v>
      </c>
      <c r="E1145" t="s">
        <v>9457</v>
      </c>
    </row>
    <row r="1146" spans="2:5">
      <c r="B1146" t="s">
        <v>8853</v>
      </c>
      <c r="C1146" t="s">
        <v>8854</v>
      </c>
      <c r="D1146">
        <v>8</v>
      </c>
      <c r="E1146" t="s">
        <v>9457</v>
      </c>
    </row>
    <row r="1147" spans="2:5">
      <c r="B1147" t="s">
        <v>8855</v>
      </c>
      <c r="C1147" t="s">
        <v>8856</v>
      </c>
      <c r="D1147">
        <v>2</v>
      </c>
      <c r="E1147" t="s">
        <v>9457</v>
      </c>
    </row>
    <row r="1148" spans="2:5">
      <c r="B1148" t="s">
        <v>8857</v>
      </c>
      <c r="C1148" t="s">
        <v>8858</v>
      </c>
      <c r="D1148">
        <v>107</v>
      </c>
      <c r="E1148" t="s">
        <v>9457</v>
      </c>
    </row>
    <row r="1149" spans="2:5">
      <c r="B1149" t="s">
        <v>8859</v>
      </c>
      <c r="C1149" t="s">
        <v>8860</v>
      </c>
      <c r="D1149">
        <v>16</v>
      </c>
      <c r="E1149" t="s">
        <v>9457</v>
      </c>
    </row>
    <row r="1150" spans="2:5">
      <c r="B1150" t="s">
        <v>8861</v>
      </c>
      <c r="C1150" t="s">
        <v>8862</v>
      </c>
      <c r="D1150">
        <v>1</v>
      </c>
      <c r="E1150" t="s">
        <v>9457</v>
      </c>
    </row>
    <row r="1151" spans="2:5">
      <c r="B1151" t="s">
        <v>8863</v>
      </c>
      <c r="C1151" t="s">
        <v>8864</v>
      </c>
      <c r="D1151">
        <v>129</v>
      </c>
      <c r="E1151" t="s">
        <v>9457</v>
      </c>
    </row>
    <row r="1152" spans="2:5">
      <c r="B1152" t="s">
        <v>8865</v>
      </c>
      <c r="C1152" t="s">
        <v>8866</v>
      </c>
      <c r="D1152">
        <v>36</v>
      </c>
      <c r="E1152" t="s">
        <v>9467</v>
      </c>
    </row>
    <row r="1153" spans="2:5">
      <c r="B1153" t="s">
        <v>8867</v>
      </c>
      <c r="C1153" t="s">
        <v>8868</v>
      </c>
      <c r="D1153">
        <v>10</v>
      </c>
      <c r="E1153" t="s">
        <v>9467</v>
      </c>
    </row>
    <row r="1154" spans="2:5">
      <c r="B1154" t="s">
        <v>8869</v>
      </c>
      <c r="C1154" t="s">
        <v>8870</v>
      </c>
      <c r="D1154">
        <v>1</v>
      </c>
      <c r="E1154" t="s">
        <v>9467</v>
      </c>
    </row>
    <row r="1155" spans="2:5">
      <c r="B1155" t="s">
        <v>8871</v>
      </c>
      <c r="C1155" t="s">
        <v>8872</v>
      </c>
      <c r="D1155">
        <v>15</v>
      </c>
      <c r="E1155" t="s">
        <v>9467</v>
      </c>
    </row>
    <row r="1156" spans="2:5">
      <c r="B1156" t="s">
        <v>8873</v>
      </c>
      <c r="C1156" t="s">
        <v>8874</v>
      </c>
      <c r="D1156">
        <v>14</v>
      </c>
      <c r="E1156" t="s">
        <v>9467</v>
      </c>
    </row>
    <row r="1157" spans="2:5">
      <c r="B1157" t="s">
        <v>8875</v>
      </c>
      <c r="C1157" t="s">
        <v>8876</v>
      </c>
      <c r="D1157">
        <v>21</v>
      </c>
      <c r="E1157" t="s">
        <v>9467</v>
      </c>
    </row>
    <row r="1158" spans="2:5">
      <c r="B1158" t="s">
        <v>8877</v>
      </c>
      <c r="C1158" t="s">
        <v>8878</v>
      </c>
      <c r="D1158">
        <v>3</v>
      </c>
      <c r="E1158" t="s">
        <v>9467</v>
      </c>
    </row>
    <row r="1159" spans="2:5">
      <c r="B1159" t="s">
        <v>8879</v>
      </c>
      <c r="C1159" t="s">
        <v>8880</v>
      </c>
      <c r="D1159">
        <v>2</v>
      </c>
      <c r="E1159" t="s">
        <v>9467</v>
      </c>
    </row>
    <row r="1160" spans="2:5">
      <c r="B1160" t="s">
        <v>8881</v>
      </c>
      <c r="C1160" t="s">
        <v>8882</v>
      </c>
      <c r="D1160">
        <v>25</v>
      </c>
      <c r="E1160" t="s">
        <v>9467</v>
      </c>
    </row>
    <row r="1161" spans="2:5">
      <c r="B1161" t="s">
        <v>8883</v>
      </c>
      <c r="C1161" t="s">
        <v>8884</v>
      </c>
      <c r="D1161">
        <v>7</v>
      </c>
      <c r="E1161" t="s">
        <v>9467</v>
      </c>
    </row>
    <row r="1162" spans="2:5">
      <c r="B1162" t="s">
        <v>8885</v>
      </c>
      <c r="C1162" t="s">
        <v>8886</v>
      </c>
      <c r="D1162">
        <v>213</v>
      </c>
      <c r="E1162" t="s">
        <v>9467</v>
      </c>
    </row>
    <row r="1163" spans="2:5">
      <c r="B1163" t="s">
        <v>8887</v>
      </c>
      <c r="C1163" t="s">
        <v>8888</v>
      </c>
      <c r="D1163">
        <v>0</v>
      </c>
      <c r="E1163" t="s">
        <v>9467</v>
      </c>
    </row>
    <row r="1164" spans="2:5">
      <c r="B1164" t="s">
        <v>8889</v>
      </c>
      <c r="C1164" t="s">
        <v>8890</v>
      </c>
      <c r="D1164">
        <v>0</v>
      </c>
      <c r="E1164" t="s">
        <v>9467</v>
      </c>
    </row>
    <row r="1165" spans="2:5">
      <c r="B1165" t="s">
        <v>8891</v>
      </c>
      <c r="C1165" t="s">
        <v>8892</v>
      </c>
      <c r="D1165">
        <v>1</v>
      </c>
      <c r="E1165" t="s">
        <v>9467</v>
      </c>
    </row>
    <row r="1166" spans="2:5">
      <c r="B1166" t="s">
        <v>8893</v>
      </c>
      <c r="C1166" t="s">
        <v>8894</v>
      </c>
      <c r="D1166">
        <v>85</v>
      </c>
      <c r="E1166" t="s">
        <v>9467</v>
      </c>
    </row>
    <row r="1167" spans="2:5">
      <c r="B1167" t="s">
        <v>8895</v>
      </c>
      <c r="C1167" t="s">
        <v>8896</v>
      </c>
      <c r="D1167">
        <v>4</v>
      </c>
      <c r="E1167" t="s">
        <v>9467</v>
      </c>
    </row>
    <row r="1168" spans="2:5">
      <c r="B1168" t="s">
        <v>8897</v>
      </c>
      <c r="C1168" t="s">
        <v>8898</v>
      </c>
      <c r="D1168">
        <v>10</v>
      </c>
      <c r="E1168" t="s">
        <v>9467</v>
      </c>
    </row>
    <row r="1169" spans="2:5">
      <c r="B1169" t="s">
        <v>8899</v>
      </c>
      <c r="C1169" t="s">
        <v>8900</v>
      </c>
      <c r="D1169">
        <v>3</v>
      </c>
      <c r="E1169" t="s">
        <v>9467</v>
      </c>
    </row>
    <row r="1170" spans="2:5">
      <c r="B1170" t="s">
        <v>8901</v>
      </c>
      <c r="C1170" t="s">
        <v>8902</v>
      </c>
      <c r="D1170">
        <v>16</v>
      </c>
      <c r="E1170" t="s">
        <v>9467</v>
      </c>
    </row>
    <row r="1171" spans="2:5">
      <c r="B1171" t="s">
        <v>8903</v>
      </c>
      <c r="C1171" t="s">
        <v>8904</v>
      </c>
      <c r="D1171">
        <v>7</v>
      </c>
      <c r="E1171" t="s">
        <v>9467</v>
      </c>
    </row>
    <row r="1172" spans="2:5">
      <c r="B1172" t="s">
        <v>8905</v>
      </c>
      <c r="C1172" t="s">
        <v>8906</v>
      </c>
      <c r="D1172">
        <v>11</v>
      </c>
      <c r="E1172" t="s">
        <v>9467</v>
      </c>
    </row>
    <row r="1173" spans="2:5">
      <c r="B1173" t="s">
        <v>8907</v>
      </c>
      <c r="C1173" t="s">
        <v>8908</v>
      </c>
      <c r="D1173">
        <v>10</v>
      </c>
      <c r="E1173" t="s">
        <v>9467</v>
      </c>
    </row>
    <row r="1174" spans="2:5">
      <c r="B1174" t="s">
        <v>8909</v>
      </c>
      <c r="C1174" t="s">
        <v>8910</v>
      </c>
      <c r="D1174">
        <v>25</v>
      </c>
      <c r="E1174" t="s">
        <v>9466</v>
      </c>
    </row>
    <row r="1175" spans="2:5">
      <c r="B1175" t="s">
        <v>8911</v>
      </c>
      <c r="C1175" t="s">
        <v>8912</v>
      </c>
      <c r="D1175">
        <v>0</v>
      </c>
      <c r="E1175" t="s">
        <v>9467</v>
      </c>
    </row>
    <row r="1176" spans="2:5">
      <c r="B1176" t="s">
        <v>8913</v>
      </c>
      <c r="C1176" t="s">
        <v>8914</v>
      </c>
      <c r="D1176">
        <v>129</v>
      </c>
      <c r="E1176" t="s">
        <v>9467</v>
      </c>
    </row>
    <row r="1177" spans="2:5">
      <c r="B1177" t="s">
        <v>8915</v>
      </c>
      <c r="C1177" t="s">
        <v>8916</v>
      </c>
      <c r="D1177">
        <v>0</v>
      </c>
      <c r="E1177" t="s">
        <v>9467</v>
      </c>
    </row>
    <row r="1178" spans="2:5">
      <c r="B1178" t="s">
        <v>8917</v>
      </c>
      <c r="C1178" t="s">
        <v>8918</v>
      </c>
      <c r="D1178">
        <v>2</v>
      </c>
      <c r="E1178" t="s">
        <v>9467</v>
      </c>
    </row>
    <row r="1179" spans="2:5">
      <c r="B1179" t="s">
        <v>8919</v>
      </c>
      <c r="C1179" t="s">
        <v>8920</v>
      </c>
      <c r="D1179">
        <v>11</v>
      </c>
      <c r="E1179" t="s">
        <v>9467</v>
      </c>
    </row>
    <row r="1180" spans="2:5">
      <c r="B1180" t="s">
        <v>8921</v>
      </c>
      <c r="C1180" t="s">
        <v>8922</v>
      </c>
      <c r="D1180">
        <v>104</v>
      </c>
      <c r="E1180" t="s">
        <v>9467</v>
      </c>
    </row>
    <row r="1181" spans="2:5">
      <c r="B1181" t="s">
        <v>8923</v>
      </c>
      <c r="C1181" t="s">
        <v>8924</v>
      </c>
      <c r="D1181">
        <v>25</v>
      </c>
      <c r="E1181" t="s">
        <v>9467</v>
      </c>
    </row>
    <row r="1182" spans="2:5">
      <c r="B1182" t="s">
        <v>8925</v>
      </c>
      <c r="C1182" t="s">
        <v>8926</v>
      </c>
      <c r="D1182">
        <v>13</v>
      </c>
      <c r="E1182" t="s">
        <v>9467</v>
      </c>
    </row>
    <row r="1183" spans="2:5">
      <c r="B1183" t="s">
        <v>8927</v>
      </c>
      <c r="C1183" t="s">
        <v>8928</v>
      </c>
      <c r="D1183">
        <v>62</v>
      </c>
      <c r="E1183" t="s">
        <v>9467</v>
      </c>
    </row>
    <row r="1184" spans="2:5">
      <c r="B1184" t="s">
        <v>8929</v>
      </c>
      <c r="C1184" t="s">
        <v>8930</v>
      </c>
      <c r="D1184">
        <v>2</v>
      </c>
      <c r="E1184" t="s">
        <v>9467</v>
      </c>
    </row>
    <row r="1185" spans="2:5">
      <c r="B1185" t="s">
        <v>8931</v>
      </c>
      <c r="C1185" t="s">
        <v>8932</v>
      </c>
      <c r="D1185">
        <v>0</v>
      </c>
      <c r="E1185" t="s">
        <v>9467</v>
      </c>
    </row>
    <row r="1186" spans="2:5">
      <c r="B1186" t="s">
        <v>8933</v>
      </c>
      <c r="C1186" t="s">
        <v>8934</v>
      </c>
      <c r="D1186">
        <v>0</v>
      </c>
      <c r="E1186" t="s">
        <v>9467</v>
      </c>
    </row>
    <row r="1187" spans="2:5">
      <c r="B1187" t="s">
        <v>8935</v>
      </c>
      <c r="C1187" t="s">
        <v>8936</v>
      </c>
      <c r="D1187">
        <v>1</v>
      </c>
      <c r="E1187" t="s">
        <v>9467</v>
      </c>
    </row>
    <row r="1188" spans="2:5">
      <c r="B1188" t="s">
        <v>8937</v>
      </c>
      <c r="C1188" t="s">
        <v>8938</v>
      </c>
      <c r="D1188">
        <v>13</v>
      </c>
      <c r="E1188" t="s">
        <v>9466</v>
      </c>
    </row>
    <row r="1189" spans="2:5">
      <c r="B1189" t="s">
        <v>8939</v>
      </c>
      <c r="C1189" t="s">
        <v>8940</v>
      </c>
      <c r="D1189">
        <v>3</v>
      </c>
      <c r="E1189" t="s">
        <v>9467</v>
      </c>
    </row>
    <row r="1190" spans="2:5">
      <c r="B1190" t="s">
        <v>8941</v>
      </c>
      <c r="C1190" t="s">
        <v>8942</v>
      </c>
      <c r="D1190">
        <v>16</v>
      </c>
      <c r="E1190" t="s">
        <v>9467</v>
      </c>
    </row>
    <row r="1191" spans="2:5">
      <c r="B1191" t="s">
        <v>8943</v>
      </c>
      <c r="C1191" t="s">
        <v>8944</v>
      </c>
      <c r="D1191">
        <v>3</v>
      </c>
      <c r="E1191" t="s">
        <v>9467</v>
      </c>
    </row>
    <row r="1192" spans="2:5">
      <c r="B1192" t="s">
        <v>8945</v>
      </c>
      <c r="C1192" t="s">
        <v>8946</v>
      </c>
      <c r="D1192">
        <v>7</v>
      </c>
      <c r="E1192" t="s">
        <v>9468</v>
      </c>
    </row>
    <row r="1193" spans="2:5">
      <c r="B1193" t="s">
        <v>8947</v>
      </c>
      <c r="C1193" t="s">
        <v>8948</v>
      </c>
      <c r="D1193">
        <v>7</v>
      </c>
      <c r="E1193" t="s">
        <v>9466</v>
      </c>
    </row>
    <row r="1194" spans="2:5">
      <c r="B1194" t="s">
        <v>8949</v>
      </c>
      <c r="C1194" t="s">
        <v>8950</v>
      </c>
      <c r="D1194">
        <v>6</v>
      </c>
      <c r="E1194" t="s">
        <v>9468</v>
      </c>
    </row>
    <row r="1195" spans="2:5">
      <c r="B1195" t="s">
        <v>8951</v>
      </c>
      <c r="C1195" t="s">
        <v>8952</v>
      </c>
      <c r="D1195">
        <v>0</v>
      </c>
      <c r="E1195" t="s">
        <v>9468</v>
      </c>
    </row>
    <row r="1196" spans="2:5">
      <c r="B1196" t="s">
        <v>8953</v>
      </c>
      <c r="C1196" t="s">
        <v>8954</v>
      </c>
      <c r="D1196">
        <v>4</v>
      </c>
      <c r="E1196" t="s">
        <v>9466</v>
      </c>
    </row>
    <row r="1197" spans="2:5">
      <c r="B1197" t="s">
        <v>8955</v>
      </c>
      <c r="C1197" t="s">
        <v>8956</v>
      </c>
      <c r="D1197">
        <v>12</v>
      </c>
      <c r="E1197" t="s">
        <v>9466</v>
      </c>
    </row>
    <row r="1198" spans="2:5">
      <c r="B1198" t="s">
        <v>8957</v>
      </c>
      <c r="C1198" t="s">
        <v>8958</v>
      </c>
      <c r="D1198">
        <v>1</v>
      </c>
      <c r="E1198" t="s">
        <v>9466</v>
      </c>
    </row>
    <row r="1199" spans="2:5">
      <c r="B1199" t="s">
        <v>8959</v>
      </c>
      <c r="C1199" t="s">
        <v>8960</v>
      </c>
      <c r="D1199">
        <v>43</v>
      </c>
      <c r="E1199" t="s">
        <v>9466</v>
      </c>
    </row>
    <row r="1200" spans="2:5">
      <c r="B1200" t="s">
        <v>8961</v>
      </c>
      <c r="C1200" t="s">
        <v>8962</v>
      </c>
      <c r="D1200">
        <v>3</v>
      </c>
      <c r="E1200" t="s">
        <v>9466</v>
      </c>
    </row>
    <row r="1201" spans="2:5">
      <c r="B1201" t="s">
        <v>8963</v>
      </c>
      <c r="C1201" t="s">
        <v>8964</v>
      </c>
      <c r="D1201">
        <v>2</v>
      </c>
      <c r="E1201" t="s">
        <v>9466</v>
      </c>
    </row>
    <row r="1202" spans="2:5">
      <c r="B1202" t="s">
        <v>8965</v>
      </c>
      <c r="C1202" t="s">
        <v>8966</v>
      </c>
      <c r="D1202">
        <v>0</v>
      </c>
      <c r="E1202" t="s">
        <v>9466</v>
      </c>
    </row>
    <row r="1203" spans="2:5">
      <c r="B1203" t="s">
        <v>8967</v>
      </c>
      <c r="C1203" t="s">
        <v>8968</v>
      </c>
      <c r="D1203">
        <v>9</v>
      </c>
      <c r="E1203" t="s">
        <v>9466</v>
      </c>
    </row>
    <row r="1204" spans="2:5">
      <c r="B1204" t="s">
        <v>8969</v>
      </c>
      <c r="C1204" t="s">
        <v>8970</v>
      </c>
      <c r="D1204">
        <v>0</v>
      </c>
      <c r="E1204" t="s">
        <v>9466</v>
      </c>
    </row>
    <row r="1205" spans="2:5">
      <c r="B1205" t="s">
        <v>8971</v>
      </c>
      <c r="C1205" t="s">
        <v>8972</v>
      </c>
      <c r="D1205">
        <v>8</v>
      </c>
      <c r="E1205" t="s">
        <v>9466</v>
      </c>
    </row>
    <row r="1206" spans="2:5">
      <c r="B1206" t="s">
        <v>8973</v>
      </c>
      <c r="C1206" t="s">
        <v>8974</v>
      </c>
      <c r="D1206">
        <v>15</v>
      </c>
      <c r="E1206" t="s">
        <v>9466</v>
      </c>
    </row>
    <row r="1207" spans="2:5">
      <c r="B1207" t="s">
        <v>8975</v>
      </c>
      <c r="C1207" t="s">
        <v>8976</v>
      </c>
      <c r="D1207">
        <v>21</v>
      </c>
      <c r="E1207" t="s">
        <v>9466</v>
      </c>
    </row>
    <row r="1208" spans="2:5">
      <c r="B1208" t="s">
        <v>8977</v>
      </c>
      <c r="C1208" t="s">
        <v>8978</v>
      </c>
      <c r="D1208">
        <v>26</v>
      </c>
      <c r="E1208" t="s">
        <v>9466</v>
      </c>
    </row>
    <row r="1209" spans="2:5">
      <c r="B1209" t="s">
        <v>8979</v>
      </c>
      <c r="C1209" t="s">
        <v>8980</v>
      </c>
      <c r="D1209">
        <v>3</v>
      </c>
      <c r="E1209" t="s">
        <v>9466</v>
      </c>
    </row>
    <row r="1210" spans="2:5">
      <c r="B1210" t="s">
        <v>8981</v>
      </c>
      <c r="C1210" t="s">
        <v>8982</v>
      </c>
      <c r="D1210">
        <v>128</v>
      </c>
      <c r="E1210" t="s">
        <v>9466</v>
      </c>
    </row>
    <row r="1211" spans="2:5">
      <c r="B1211" t="s">
        <v>8983</v>
      </c>
      <c r="C1211" t="s">
        <v>8984</v>
      </c>
      <c r="D1211">
        <v>9</v>
      </c>
      <c r="E1211" t="s">
        <v>9466</v>
      </c>
    </row>
    <row r="1212" spans="2:5">
      <c r="B1212" t="s">
        <v>8985</v>
      </c>
      <c r="C1212" t="s">
        <v>8986</v>
      </c>
      <c r="D1212">
        <v>169</v>
      </c>
      <c r="E1212" t="s">
        <v>9466</v>
      </c>
    </row>
    <row r="1213" spans="2:5">
      <c r="B1213" t="s">
        <v>8987</v>
      </c>
      <c r="C1213" t="s">
        <v>8988</v>
      </c>
      <c r="D1213">
        <v>13</v>
      </c>
      <c r="E1213" t="s">
        <v>9466</v>
      </c>
    </row>
    <row r="1214" spans="2:5">
      <c r="B1214" t="s">
        <v>8989</v>
      </c>
      <c r="C1214" t="s">
        <v>8990</v>
      </c>
      <c r="D1214">
        <v>201</v>
      </c>
      <c r="E1214" t="s">
        <v>9466</v>
      </c>
    </row>
    <row r="1215" spans="2:5">
      <c r="B1215" t="s">
        <v>8991</v>
      </c>
      <c r="C1215" t="s">
        <v>8992</v>
      </c>
      <c r="D1215">
        <v>16</v>
      </c>
      <c r="E1215" t="s">
        <v>9466</v>
      </c>
    </row>
    <row r="1216" spans="2:5">
      <c r="B1216" t="s">
        <v>8993</v>
      </c>
      <c r="C1216" t="s">
        <v>8994</v>
      </c>
      <c r="D1216">
        <v>14</v>
      </c>
      <c r="E1216" t="s">
        <v>9466</v>
      </c>
    </row>
    <row r="1217" spans="2:5">
      <c r="B1217" t="s">
        <v>8995</v>
      </c>
      <c r="C1217" t="s">
        <v>8996</v>
      </c>
      <c r="D1217">
        <v>64</v>
      </c>
      <c r="E1217" t="s">
        <v>9466</v>
      </c>
    </row>
    <row r="1218" spans="2:5">
      <c r="B1218" t="s">
        <v>8997</v>
      </c>
      <c r="C1218" t="s">
        <v>8998</v>
      </c>
      <c r="D1218">
        <v>23</v>
      </c>
      <c r="E1218" t="s">
        <v>9466</v>
      </c>
    </row>
    <row r="1219" spans="2:5">
      <c r="B1219" t="s">
        <v>8999</v>
      </c>
      <c r="C1219" t="s">
        <v>9000</v>
      </c>
      <c r="D1219">
        <v>1</v>
      </c>
      <c r="E1219" t="s">
        <v>9466</v>
      </c>
    </row>
    <row r="1220" spans="2:5">
      <c r="B1220" t="s">
        <v>9001</v>
      </c>
      <c r="C1220" t="s">
        <v>9002</v>
      </c>
      <c r="D1220">
        <v>52</v>
      </c>
      <c r="E1220" t="s">
        <v>9466</v>
      </c>
    </row>
    <row r="1221" spans="2:5">
      <c r="B1221" t="s">
        <v>9003</v>
      </c>
      <c r="C1221" t="s">
        <v>9004</v>
      </c>
      <c r="D1221">
        <v>25</v>
      </c>
      <c r="E1221" t="s">
        <v>9466</v>
      </c>
    </row>
    <row r="1222" spans="2:5">
      <c r="B1222" t="s">
        <v>9005</v>
      </c>
      <c r="C1222" t="s">
        <v>9006</v>
      </c>
      <c r="D1222">
        <v>43</v>
      </c>
      <c r="E1222" t="s">
        <v>9466</v>
      </c>
    </row>
    <row r="1223" spans="2:5">
      <c r="B1223" t="s">
        <v>9007</v>
      </c>
      <c r="C1223" t="s">
        <v>9008</v>
      </c>
      <c r="D1223">
        <v>14</v>
      </c>
      <c r="E1223" t="s">
        <v>9466</v>
      </c>
    </row>
    <row r="1224" spans="2:5">
      <c r="B1224" t="s">
        <v>9009</v>
      </c>
      <c r="C1224" t="s">
        <v>9010</v>
      </c>
      <c r="D1224">
        <v>26</v>
      </c>
      <c r="E1224" t="s">
        <v>9466</v>
      </c>
    </row>
    <row r="1225" spans="2:5">
      <c r="B1225" t="s">
        <v>9011</v>
      </c>
      <c r="C1225" t="s">
        <v>9012</v>
      </c>
      <c r="D1225">
        <v>0</v>
      </c>
      <c r="E1225" t="s">
        <v>9466</v>
      </c>
    </row>
    <row r="1226" spans="2:5">
      <c r="B1226" t="s">
        <v>9013</v>
      </c>
      <c r="C1226" t="s">
        <v>9014</v>
      </c>
      <c r="D1226">
        <v>0</v>
      </c>
      <c r="E1226" t="s">
        <v>9466</v>
      </c>
    </row>
    <row r="1227" spans="2:5">
      <c r="B1227" t="s">
        <v>9015</v>
      </c>
      <c r="C1227" t="s">
        <v>9016</v>
      </c>
      <c r="D1227">
        <v>13</v>
      </c>
      <c r="E1227" t="s">
        <v>9466</v>
      </c>
    </row>
    <row r="1228" spans="2:5">
      <c r="B1228" t="s">
        <v>6285</v>
      </c>
      <c r="C1228" t="s">
        <v>9017</v>
      </c>
      <c r="D1228">
        <v>5</v>
      </c>
      <c r="E1228" t="s">
        <v>9466</v>
      </c>
    </row>
    <row r="1229" spans="2:5">
      <c r="B1229" t="s">
        <v>6291</v>
      </c>
      <c r="C1229" t="s">
        <v>9018</v>
      </c>
      <c r="D1229">
        <v>8</v>
      </c>
      <c r="E1229" t="s">
        <v>9466</v>
      </c>
    </row>
    <row r="1230" spans="2:5">
      <c r="B1230" t="s">
        <v>6297</v>
      </c>
      <c r="C1230" t="s">
        <v>9019</v>
      </c>
      <c r="D1230">
        <v>6</v>
      </c>
      <c r="E1230" t="s">
        <v>9466</v>
      </c>
    </row>
    <row r="1231" spans="2:5">
      <c r="B1231" t="s">
        <v>6303</v>
      </c>
      <c r="C1231" t="s">
        <v>9020</v>
      </c>
      <c r="D1231">
        <v>324</v>
      </c>
      <c r="E1231" t="s">
        <v>9466</v>
      </c>
    </row>
    <row r="1232" spans="2:5">
      <c r="B1232" t="s">
        <v>6309</v>
      </c>
      <c r="C1232" t="s">
        <v>9021</v>
      </c>
      <c r="D1232">
        <v>13</v>
      </c>
      <c r="E1232" t="s">
        <v>9466</v>
      </c>
    </row>
    <row r="1233" spans="2:5">
      <c r="B1233" t="s">
        <v>6315</v>
      </c>
      <c r="C1233" t="s">
        <v>8884</v>
      </c>
      <c r="D1233">
        <v>7</v>
      </c>
      <c r="E1233" t="s">
        <v>9466</v>
      </c>
    </row>
    <row r="1234" spans="2:5">
      <c r="B1234" t="s">
        <v>6322</v>
      </c>
      <c r="C1234" t="s">
        <v>9022</v>
      </c>
      <c r="D1234">
        <v>23</v>
      </c>
      <c r="E1234" t="s">
        <v>9466</v>
      </c>
    </row>
    <row r="1235" spans="2:5">
      <c r="B1235" t="s">
        <v>6328</v>
      </c>
      <c r="C1235" t="s">
        <v>9023</v>
      </c>
      <c r="D1235">
        <v>11</v>
      </c>
      <c r="E1235" t="s">
        <v>9466</v>
      </c>
    </row>
    <row r="1236" spans="2:5">
      <c r="B1236" t="s">
        <v>6334</v>
      </c>
      <c r="C1236" t="s">
        <v>9024</v>
      </c>
      <c r="D1236">
        <v>4</v>
      </c>
      <c r="E1236" t="s">
        <v>9466</v>
      </c>
    </row>
    <row r="1237" spans="2:5">
      <c r="B1237" t="s">
        <v>6340</v>
      </c>
      <c r="C1237" t="s">
        <v>9025</v>
      </c>
      <c r="D1237">
        <v>181</v>
      </c>
      <c r="E1237" t="s">
        <v>9466</v>
      </c>
    </row>
    <row r="1238" spans="2:5">
      <c r="B1238" t="s">
        <v>6346</v>
      </c>
      <c r="C1238" t="s">
        <v>9026</v>
      </c>
      <c r="D1238">
        <v>53</v>
      </c>
      <c r="E1238" t="s">
        <v>9466</v>
      </c>
    </row>
    <row r="1239" spans="2:5">
      <c r="B1239" t="s">
        <v>6352</v>
      </c>
      <c r="C1239" t="s">
        <v>9027</v>
      </c>
      <c r="D1239">
        <v>26</v>
      </c>
      <c r="E1239" t="s">
        <v>9466</v>
      </c>
    </row>
    <row r="1240" spans="2:5">
      <c r="B1240" t="s">
        <v>6358</v>
      </c>
      <c r="C1240" t="s">
        <v>9028</v>
      </c>
      <c r="D1240">
        <v>114</v>
      </c>
      <c r="E1240" t="s">
        <v>9466</v>
      </c>
    </row>
    <row r="1241" spans="2:5">
      <c r="B1241" t="s">
        <v>6364</v>
      </c>
      <c r="C1241" t="s">
        <v>9029</v>
      </c>
      <c r="D1241">
        <v>135</v>
      </c>
      <c r="E1241" t="s">
        <v>9466</v>
      </c>
    </row>
    <row r="1242" spans="2:5">
      <c r="B1242" t="s">
        <v>6370</v>
      </c>
      <c r="C1242" t="s">
        <v>9030</v>
      </c>
      <c r="D1242">
        <v>0</v>
      </c>
      <c r="E1242" t="s">
        <v>9466</v>
      </c>
    </row>
    <row r="1243" spans="2:5">
      <c r="B1243" t="s">
        <v>6377</v>
      </c>
      <c r="C1243" t="s">
        <v>9031</v>
      </c>
      <c r="D1243">
        <v>15</v>
      </c>
      <c r="E1243" t="s">
        <v>9466</v>
      </c>
    </row>
    <row r="1244" spans="2:5">
      <c r="B1244" t="s">
        <v>6383</v>
      </c>
      <c r="C1244" t="s">
        <v>9032</v>
      </c>
      <c r="D1244">
        <v>0</v>
      </c>
      <c r="E1244" t="s">
        <v>9466</v>
      </c>
    </row>
    <row r="1245" spans="2:5">
      <c r="B1245" t="s">
        <v>6387</v>
      </c>
      <c r="C1245" t="s">
        <v>9033</v>
      </c>
      <c r="D1245">
        <v>1</v>
      </c>
      <c r="E1245" t="s">
        <v>9466</v>
      </c>
    </row>
    <row r="1246" spans="2:5">
      <c r="B1246" t="s">
        <v>6395</v>
      </c>
      <c r="C1246" t="s">
        <v>9034</v>
      </c>
      <c r="D1246">
        <v>26</v>
      </c>
      <c r="E1246" t="s">
        <v>9466</v>
      </c>
    </row>
    <row r="1247" spans="2:5">
      <c r="B1247" t="s">
        <v>6399</v>
      </c>
      <c r="C1247" t="s">
        <v>9035</v>
      </c>
      <c r="D1247">
        <v>39</v>
      </c>
      <c r="E1247" t="s">
        <v>9466</v>
      </c>
    </row>
    <row r="1248" spans="2:5">
      <c r="B1248" t="s">
        <v>6405</v>
      </c>
      <c r="C1248" t="s">
        <v>9036</v>
      </c>
      <c r="D1248">
        <v>31</v>
      </c>
      <c r="E1248" t="s">
        <v>9466</v>
      </c>
    </row>
    <row r="1249" spans="2:5">
      <c r="B1249" t="s">
        <v>6411</v>
      </c>
      <c r="C1249" t="s">
        <v>8982</v>
      </c>
      <c r="D1249">
        <v>24</v>
      </c>
      <c r="E1249" t="s">
        <v>9466</v>
      </c>
    </row>
    <row r="1250" spans="2:5">
      <c r="B1250" t="s">
        <v>6418</v>
      </c>
      <c r="C1250" t="s">
        <v>9037</v>
      </c>
      <c r="D1250">
        <v>92</v>
      </c>
      <c r="E1250" t="s">
        <v>9466</v>
      </c>
    </row>
    <row r="1251" spans="2:5">
      <c r="B1251" t="s">
        <v>6424</v>
      </c>
      <c r="C1251" t="s">
        <v>9038</v>
      </c>
      <c r="D1251">
        <v>20</v>
      </c>
      <c r="E1251" t="s">
        <v>9466</v>
      </c>
    </row>
    <row r="1252" spans="2:5">
      <c r="B1252" t="s">
        <v>6430</v>
      </c>
      <c r="C1252" t="s">
        <v>9039</v>
      </c>
      <c r="D1252">
        <v>46</v>
      </c>
      <c r="E1252" t="s">
        <v>9466</v>
      </c>
    </row>
    <row r="1253" spans="2:5">
      <c r="B1253" t="s">
        <v>6435</v>
      </c>
      <c r="C1253" t="s">
        <v>9040</v>
      </c>
      <c r="D1253">
        <v>3</v>
      </c>
      <c r="E1253" t="s">
        <v>9466</v>
      </c>
    </row>
    <row r="1254" spans="2:5">
      <c r="B1254" t="s">
        <v>6441</v>
      </c>
      <c r="C1254" t="s">
        <v>9041</v>
      </c>
      <c r="D1254">
        <v>41</v>
      </c>
      <c r="E1254" t="s">
        <v>9466</v>
      </c>
    </row>
    <row r="1255" spans="2:5">
      <c r="B1255" t="s">
        <v>6447</v>
      </c>
      <c r="C1255" t="s">
        <v>9042</v>
      </c>
      <c r="D1255">
        <v>12</v>
      </c>
      <c r="E1255" t="s">
        <v>9466</v>
      </c>
    </row>
    <row r="1256" spans="2:5">
      <c r="B1256" t="s">
        <v>6453</v>
      </c>
      <c r="C1256" t="s">
        <v>9043</v>
      </c>
      <c r="D1256">
        <v>1</v>
      </c>
      <c r="E1256" t="s">
        <v>9466</v>
      </c>
    </row>
    <row r="1257" spans="2:5">
      <c r="B1257" t="s">
        <v>9044</v>
      </c>
      <c r="C1257" t="s">
        <v>9045</v>
      </c>
      <c r="D1257">
        <v>0</v>
      </c>
      <c r="E1257" t="s">
        <v>9466</v>
      </c>
    </row>
    <row r="1258" spans="2:5">
      <c r="B1258" t="s">
        <v>9046</v>
      </c>
      <c r="C1258" t="s">
        <v>9047</v>
      </c>
      <c r="D1258">
        <v>0</v>
      </c>
      <c r="E1258" t="s">
        <v>9466</v>
      </c>
    </row>
    <row r="1259" spans="2:5">
      <c r="B1259" t="s">
        <v>9048</v>
      </c>
      <c r="C1259" t="s">
        <v>9049</v>
      </c>
      <c r="D1259">
        <v>0</v>
      </c>
      <c r="E1259" t="s">
        <v>9466</v>
      </c>
    </row>
    <row r="1260" spans="2:5">
      <c r="B1260" t="s">
        <v>9050</v>
      </c>
      <c r="C1260" t="s">
        <v>9051</v>
      </c>
      <c r="D1260">
        <v>0</v>
      </c>
      <c r="E1260" t="s">
        <v>9466</v>
      </c>
    </row>
    <row r="1261" spans="2:5">
      <c r="B1261" t="s">
        <v>6459</v>
      </c>
      <c r="C1261" t="s">
        <v>9052</v>
      </c>
      <c r="D1261">
        <v>1</v>
      </c>
      <c r="E1261" t="s">
        <v>9469</v>
      </c>
    </row>
    <row r="1262" spans="2:5">
      <c r="B1262" t="s">
        <v>6465</v>
      </c>
      <c r="C1262" t="s">
        <v>9053</v>
      </c>
      <c r="D1262">
        <v>162</v>
      </c>
      <c r="E1262" t="s">
        <v>9469</v>
      </c>
    </row>
    <row r="1263" spans="2:5">
      <c r="B1263" t="s">
        <v>6469</v>
      </c>
      <c r="C1263" t="s">
        <v>9054</v>
      </c>
      <c r="D1263">
        <v>0</v>
      </c>
      <c r="E1263" t="s">
        <v>9466</v>
      </c>
    </row>
    <row r="1264" spans="2:5">
      <c r="B1264" t="s">
        <v>9055</v>
      </c>
      <c r="C1264" t="s">
        <v>9056</v>
      </c>
      <c r="D1264">
        <v>13</v>
      </c>
      <c r="E1264" t="s">
        <v>9466</v>
      </c>
    </row>
    <row r="1265" spans="2:5">
      <c r="B1265" t="s">
        <v>6475</v>
      </c>
      <c r="C1265" t="s">
        <v>9057</v>
      </c>
      <c r="D1265">
        <v>4</v>
      </c>
      <c r="E1265" t="s">
        <v>9466</v>
      </c>
    </row>
    <row r="1266" spans="2:5">
      <c r="B1266" t="s">
        <v>9058</v>
      </c>
      <c r="C1266" t="s">
        <v>9059</v>
      </c>
      <c r="D1266">
        <v>26</v>
      </c>
      <c r="E1266" t="s">
        <v>9466</v>
      </c>
    </row>
    <row r="1267" spans="2:5">
      <c r="B1267" t="s">
        <v>9060</v>
      </c>
      <c r="C1267" t="s">
        <v>9061</v>
      </c>
      <c r="D1267">
        <v>2</v>
      </c>
      <c r="E1267" t="s">
        <v>9466</v>
      </c>
    </row>
    <row r="1268" spans="2:5">
      <c r="B1268" t="s">
        <v>6481</v>
      </c>
      <c r="C1268" t="s">
        <v>9062</v>
      </c>
      <c r="D1268">
        <v>23</v>
      </c>
      <c r="E1268" t="s">
        <v>9469</v>
      </c>
    </row>
    <row r="1269" spans="2:5">
      <c r="B1269" t="s">
        <v>6485</v>
      </c>
      <c r="C1269" t="s">
        <v>9063</v>
      </c>
      <c r="D1269">
        <v>2</v>
      </c>
      <c r="E1269" t="s">
        <v>9469</v>
      </c>
    </row>
    <row r="1270" spans="2:5">
      <c r="B1270" t="s">
        <v>9064</v>
      </c>
      <c r="C1270" t="s">
        <v>9065</v>
      </c>
      <c r="D1270">
        <v>2</v>
      </c>
      <c r="E1270" t="s">
        <v>9466</v>
      </c>
    </row>
    <row r="1271" spans="2:5">
      <c r="B1271" t="s">
        <v>9066</v>
      </c>
      <c r="C1271" t="s">
        <v>9067</v>
      </c>
      <c r="D1271">
        <v>0</v>
      </c>
      <c r="E1271" t="s">
        <v>9466</v>
      </c>
    </row>
    <row r="1272" spans="2:5">
      <c r="B1272" t="s">
        <v>9068</v>
      </c>
      <c r="C1272" t="s">
        <v>9069</v>
      </c>
      <c r="D1272">
        <v>15</v>
      </c>
      <c r="E1272" t="s">
        <v>9466</v>
      </c>
    </row>
    <row r="1273" spans="2:5">
      <c r="B1273" t="s">
        <v>9070</v>
      </c>
      <c r="C1273" t="s">
        <v>9071</v>
      </c>
      <c r="D1273">
        <v>4</v>
      </c>
      <c r="E1273" t="s">
        <v>9466</v>
      </c>
    </row>
    <row r="1274" spans="2:5">
      <c r="B1274" t="s">
        <v>9072</v>
      </c>
      <c r="C1274" t="s">
        <v>9073</v>
      </c>
      <c r="D1274">
        <v>6</v>
      </c>
      <c r="E1274" t="s">
        <v>9466</v>
      </c>
    </row>
    <row r="1275" spans="2:5">
      <c r="B1275" t="s">
        <v>9074</v>
      </c>
      <c r="C1275" t="s">
        <v>9075</v>
      </c>
      <c r="D1275">
        <v>1</v>
      </c>
      <c r="E1275" t="s">
        <v>9466</v>
      </c>
    </row>
    <row r="1276" spans="2:5">
      <c r="B1276" t="s">
        <v>9076</v>
      </c>
      <c r="C1276" t="s">
        <v>9077</v>
      </c>
      <c r="D1276">
        <v>0</v>
      </c>
      <c r="E1276" t="s">
        <v>9466</v>
      </c>
    </row>
    <row r="1277" spans="2:5">
      <c r="B1277" t="s">
        <v>9078</v>
      </c>
      <c r="C1277" t="s">
        <v>9079</v>
      </c>
      <c r="D1277">
        <v>0</v>
      </c>
      <c r="E1277" t="s">
        <v>9466</v>
      </c>
    </row>
    <row r="1278" spans="2:5">
      <c r="B1278" t="s">
        <v>9080</v>
      </c>
      <c r="C1278" t="s">
        <v>9081</v>
      </c>
      <c r="D1278">
        <v>2</v>
      </c>
      <c r="E1278" t="s">
        <v>9466</v>
      </c>
    </row>
    <row r="1279" spans="2:5">
      <c r="B1279" t="s">
        <v>6489</v>
      </c>
      <c r="C1279" t="s">
        <v>9082</v>
      </c>
      <c r="D1279">
        <v>9</v>
      </c>
      <c r="E1279" t="s">
        <v>9466</v>
      </c>
    </row>
    <row r="1280" spans="2:5">
      <c r="B1280" t="s">
        <v>9083</v>
      </c>
      <c r="C1280" t="s">
        <v>9084</v>
      </c>
      <c r="D1280">
        <v>0</v>
      </c>
      <c r="E1280" t="s">
        <v>9466</v>
      </c>
    </row>
    <row r="1281" spans="2:5">
      <c r="B1281" t="s">
        <v>9085</v>
      </c>
      <c r="C1281" t="s">
        <v>9086</v>
      </c>
      <c r="D1281">
        <v>0</v>
      </c>
      <c r="E1281" t="s">
        <v>9466</v>
      </c>
    </row>
    <row r="1282" spans="2:5">
      <c r="B1282" t="s">
        <v>9087</v>
      </c>
      <c r="C1282" t="s">
        <v>9088</v>
      </c>
      <c r="D1282">
        <v>68</v>
      </c>
      <c r="E1282" t="s">
        <v>9466</v>
      </c>
    </row>
    <row r="1283" spans="2:5">
      <c r="B1283" t="s">
        <v>9089</v>
      </c>
      <c r="C1283" t="s">
        <v>9090</v>
      </c>
      <c r="D1283">
        <v>47</v>
      </c>
      <c r="E1283" t="s">
        <v>9466</v>
      </c>
    </row>
    <row r="1284" spans="2:5">
      <c r="B1284" t="s">
        <v>9091</v>
      </c>
      <c r="C1284" t="s">
        <v>9092</v>
      </c>
      <c r="D1284">
        <v>15</v>
      </c>
      <c r="E1284" t="s">
        <v>9466</v>
      </c>
    </row>
    <row r="1285" spans="2:5">
      <c r="B1285" t="s">
        <v>6495</v>
      </c>
      <c r="C1285" t="s">
        <v>9093</v>
      </c>
      <c r="D1285">
        <v>65</v>
      </c>
      <c r="E1285" t="s">
        <v>9466</v>
      </c>
    </row>
    <row r="1286" spans="2:5">
      <c r="B1286" t="s">
        <v>9094</v>
      </c>
      <c r="C1286" t="s">
        <v>9095</v>
      </c>
      <c r="D1286">
        <v>0</v>
      </c>
      <c r="E1286" t="s">
        <v>9466</v>
      </c>
    </row>
    <row r="1287" spans="2:5">
      <c r="B1287" t="s">
        <v>9096</v>
      </c>
      <c r="C1287" t="s">
        <v>9097</v>
      </c>
      <c r="D1287">
        <v>0</v>
      </c>
      <c r="E1287" t="s">
        <v>9466</v>
      </c>
    </row>
    <row r="1288" spans="2:5">
      <c r="B1288" t="s">
        <v>9098</v>
      </c>
      <c r="C1288" t="s">
        <v>9099</v>
      </c>
      <c r="D1288">
        <v>0</v>
      </c>
      <c r="E1288" t="s">
        <v>9469</v>
      </c>
    </row>
    <row r="1289" spans="2:5">
      <c r="B1289" t="s">
        <v>9100</v>
      </c>
      <c r="C1289" t="s">
        <v>9101</v>
      </c>
      <c r="D1289">
        <v>0</v>
      </c>
      <c r="E1289" t="s">
        <v>9466</v>
      </c>
    </row>
    <row r="1290" spans="2:5">
      <c r="B1290" t="s">
        <v>9102</v>
      </c>
      <c r="C1290" t="s">
        <v>9103</v>
      </c>
      <c r="D1290">
        <v>0</v>
      </c>
      <c r="E1290" t="s">
        <v>9469</v>
      </c>
    </row>
    <row r="1291" spans="2:5">
      <c r="B1291" t="s">
        <v>9104</v>
      </c>
      <c r="C1291" t="s">
        <v>9105</v>
      </c>
      <c r="D1291">
        <v>0</v>
      </c>
      <c r="E1291" t="s">
        <v>9466</v>
      </c>
    </row>
    <row r="1292" spans="2:5">
      <c r="B1292" t="s">
        <v>9106</v>
      </c>
      <c r="C1292" t="s">
        <v>9107</v>
      </c>
      <c r="D1292">
        <v>5</v>
      </c>
      <c r="E1292" t="s">
        <v>9469</v>
      </c>
    </row>
    <row r="1293" spans="2:5">
      <c r="B1293" t="s">
        <v>9108</v>
      </c>
      <c r="C1293" t="s">
        <v>9109</v>
      </c>
      <c r="D1293">
        <v>0</v>
      </c>
      <c r="E1293" t="s">
        <v>9466</v>
      </c>
    </row>
    <row r="1294" spans="2:5">
      <c r="B1294" t="s">
        <v>6501</v>
      </c>
      <c r="C1294" t="s">
        <v>9110</v>
      </c>
      <c r="D1294">
        <v>13</v>
      </c>
      <c r="E1294" t="s">
        <v>9469</v>
      </c>
    </row>
    <row r="1295" spans="2:5">
      <c r="B1295" t="s">
        <v>9111</v>
      </c>
      <c r="C1295" t="s">
        <v>9112</v>
      </c>
      <c r="D1295">
        <v>0</v>
      </c>
      <c r="E1295" t="s">
        <v>9469</v>
      </c>
    </row>
    <row r="1296" spans="2:5">
      <c r="B1296" t="s">
        <v>6507</v>
      </c>
      <c r="C1296" t="s">
        <v>9113</v>
      </c>
      <c r="D1296">
        <v>0</v>
      </c>
      <c r="E1296" t="s">
        <v>9466</v>
      </c>
    </row>
    <row r="1297" spans="2:5">
      <c r="B1297" t="s">
        <v>9114</v>
      </c>
      <c r="C1297" t="s">
        <v>9115</v>
      </c>
      <c r="D1297">
        <v>0</v>
      </c>
      <c r="E1297" t="s">
        <v>9466</v>
      </c>
    </row>
    <row r="1298" spans="2:5">
      <c r="B1298" t="s">
        <v>9116</v>
      </c>
      <c r="C1298" t="s">
        <v>9117</v>
      </c>
      <c r="D1298">
        <v>0</v>
      </c>
      <c r="E1298" t="s">
        <v>9466</v>
      </c>
    </row>
    <row r="1299" spans="2:5">
      <c r="B1299" t="s">
        <v>9118</v>
      </c>
      <c r="C1299" t="s">
        <v>9119</v>
      </c>
      <c r="D1299">
        <v>7</v>
      </c>
      <c r="E1299" t="s">
        <v>9469</v>
      </c>
    </row>
    <row r="1300" spans="2:5">
      <c r="B1300" t="s">
        <v>6512</v>
      </c>
      <c r="C1300" t="s">
        <v>9120</v>
      </c>
      <c r="D1300">
        <v>5</v>
      </c>
      <c r="E1300" t="s">
        <v>9466</v>
      </c>
    </row>
    <row r="1301" spans="2:5">
      <c r="B1301" t="s">
        <v>9121</v>
      </c>
      <c r="C1301" t="s">
        <v>9122</v>
      </c>
      <c r="D1301">
        <v>5</v>
      </c>
      <c r="E1301" t="s">
        <v>9469</v>
      </c>
    </row>
    <row r="1302" spans="2:5">
      <c r="B1302" t="s">
        <v>6518</v>
      </c>
      <c r="C1302" t="s">
        <v>9123</v>
      </c>
      <c r="D1302">
        <v>2</v>
      </c>
      <c r="E1302" t="s">
        <v>9469</v>
      </c>
    </row>
    <row r="1303" spans="2:5">
      <c r="B1303" t="s">
        <v>6524</v>
      </c>
      <c r="C1303" t="s">
        <v>9124</v>
      </c>
      <c r="D1303">
        <v>0</v>
      </c>
      <c r="E1303" t="s">
        <v>9466</v>
      </c>
    </row>
    <row r="1304" spans="2:5">
      <c r="B1304" t="s">
        <v>9125</v>
      </c>
      <c r="C1304" t="s">
        <v>9126</v>
      </c>
      <c r="D1304">
        <v>0</v>
      </c>
      <c r="E1304" t="s">
        <v>9469</v>
      </c>
    </row>
    <row r="1305" spans="2:5">
      <c r="B1305" t="s">
        <v>9127</v>
      </c>
      <c r="C1305" t="s">
        <v>9128</v>
      </c>
      <c r="D1305">
        <v>7</v>
      </c>
      <c r="E1305" t="s">
        <v>9466</v>
      </c>
    </row>
    <row r="1306" spans="2:5">
      <c r="B1306" t="s">
        <v>6528</v>
      </c>
      <c r="C1306" t="s">
        <v>9129</v>
      </c>
      <c r="D1306">
        <v>4</v>
      </c>
      <c r="E1306" t="s">
        <v>9469</v>
      </c>
    </row>
    <row r="1307" spans="2:5">
      <c r="B1307" t="s">
        <v>6534</v>
      </c>
      <c r="C1307" t="s">
        <v>9130</v>
      </c>
      <c r="D1307">
        <v>61</v>
      </c>
      <c r="E1307" t="s">
        <v>9469</v>
      </c>
    </row>
    <row r="1308" spans="2:5">
      <c r="B1308" t="s">
        <v>9131</v>
      </c>
      <c r="C1308" t="s">
        <v>9132</v>
      </c>
      <c r="D1308">
        <v>0</v>
      </c>
      <c r="E1308" t="s">
        <v>9469</v>
      </c>
    </row>
    <row r="1309" spans="2:5">
      <c r="B1309" t="s">
        <v>9133</v>
      </c>
      <c r="C1309" t="s">
        <v>9134</v>
      </c>
      <c r="D1309">
        <v>0</v>
      </c>
      <c r="E1309" t="s">
        <v>9469</v>
      </c>
    </row>
    <row r="1310" spans="2:5">
      <c r="B1310" t="s">
        <v>9135</v>
      </c>
      <c r="C1310" t="s">
        <v>9136</v>
      </c>
      <c r="D1310">
        <v>0</v>
      </c>
      <c r="E1310" t="s">
        <v>9469</v>
      </c>
    </row>
    <row r="1311" spans="2:5">
      <c r="B1311" t="s">
        <v>9137</v>
      </c>
      <c r="C1311" t="s">
        <v>9138</v>
      </c>
      <c r="D1311">
        <v>0</v>
      </c>
      <c r="E1311" t="s">
        <v>9469</v>
      </c>
    </row>
    <row r="1312" spans="2:5">
      <c r="B1312" t="s">
        <v>9139</v>
      </c>
      <c r="C1312" t="s">
        <v>9140</v>
      </c>
      <c r="D1312">
        <v>26</v>
      </c>
      <c r="E1312" t="s">
        <v>9469</v>
      </c>
    </row>
    <row r="1313" spans="2:5">
      <c r="B1313" t="s">
        <v>9141</v>
      </c>
      <c r="C1313" t="s">
        <v>9142</v>
      </c>
      <c r="D1313">
        <v>16</v>
      </c>
      <c r="E1313" t="s">
        <v>9469</v>
      </c>
    </row>
    <row r="1314" spans="2:5">
      <c r="B1314" t="s">
        <v>9143</v>
      </c>
      <c r="C1314" t="s">
        <v>9144</v>
      </c>
      <c r="D1314">
        <v>1</v>
      </c>
      <c r="E1314" t="s">
        <v>9469</v>
      </c>
    </row>
    <row r="1315" spans="2:5">
      <c r="B1315" t="s">
        <v>9145</v>
      </c>
      <c r="C1315" t="s">
        <v>9146</v>
      </c>
      <c r="D1315">
        <v>3</v>
      </c>
      <c r="E1315" t="s">
        <v>9469</v>
      </c>
    </row>
    <row r="1316" spans="2:5">
      <c r="B1316" t="s">
        <v>9147</v>
      </c>
      <c r="C1316" t="s">
        <v>9148</v>
      </c>
      <c r="D1316">
        <v>1</v>
      </c>
      <c r="E1316" t="s">
        <v>9469</v>
      </c>
    </row>
    <row r="1317" spans="2:5">
      <c r="B1317" t="s">
        <v>9149</v>
      </c>
      <c r="C1317" t="s">
        <v>9150</v>
      </c>
      <c r="D1317">
        <v>12</v>
      </c>
      <c r="E1317" t="s">
        <v>9469</v>
      </c>
    </row>
    <row r="1318" spans="2:5">
      <c r="B1318" t="s">
        <v>9151</v>
      </c>
      <c r="C1318" t="s">
        <v>9152</v>
      </c>
      <c r="D1318">
        <v>0</v>
      </c>
      <c r="E1318" t="s">
        <v>9469</v>
      </c>
    </row>
    <row r="1319" spans="2:5">
      <c r="B1319" t="s">
        <v>9153</v>
      </c>
      <c r="C1319" t="s">
        <v>9154</v>
      </c>
      <c r="D1319">
        <v>0</v>
      </c>
      <c r="E1319" t="s">
        <v>9469</v>
      </c>
    </row>
    <row r="1320" spans="2:5">
      <c r="B1320" t="s">
        <v>9155</v>
      </c>
      <c r="C1320" t="s">
        <v>9156</v>
      </c>
      <c r="D1320">
        <v>6</v>
      </c>
      <c r="E1320" t="s">
        <v>9469</v>
      </c>
    </row>
    <row r="1321" spans="2:5">
      <c r="B1321" t="s">
        <v>6538</v>
      </c>
      <c r="C1321" t="s">
        <v>9157</v>
      </c>
      <c r="D1321">
        <v>5</v>
      </c>
      <c r="E1321" t="s">
        <v>9466</v>
      </c>
    </row>
    <row r="1322" spans="2:5">
      <c r="B1322" t="s">
        <v>9158</v>
      </c>
      <c r="C1322" t="s">
        <v>9159</v>
      </c>
      <c r="D1322">
        <v>0</v>
      </c>
      <c r="E1322" t="s">
        <v>9466</v>
      </c>
    </row>
    <row r="1323" spans="2:5">
      <c r="B1323" t="s">
        <v>9160</v>
      </c>
      <c r="C1323" t="s">
        <v>9161</v>
      </c>
      <c r="D1323">
        <v>12</v>
      </c>
      <c r="E1323" t="s">
        <v>9466</v>
      </c>
    </row>
    <row r="1324" spans="2:5">
      <c r="B1324" t="s">
        <v>9162</v>
      </c>
      <c r="C1324" t="s">
        <v>9163</v>
      </c>
      <c r="D1324">
        <v>0</v>
      </c>
      <c r="E1324" t="s">
        <v>9466</v>
      </c>
    </row>
    <row r="1325" spans="2:5">
      <c r="B1325" t="s">
        <v>9164</v>
      </c>
      <c r="C1325" t="s">
        <v>9165</v>
      </c>
      <c r="D1325">
        <v>1</v>
      </c>
      <c r="E1325" t="s">
        <v>9466</v>
      </c>
    </row>
    <row r="1326" spans="2:5">
      <c r="B1326" t="s">
        <v>9166</v>
      </c>
      <c r="C1326" t="s">
        <v>9167</v>
      </c>
      <c r="D1326">
        <v>0</v>
      </c>
      <c r="E1326" t="s">
        <v>9466</v>
      </c>
    </row>
    <row r="1327" spans="2:5">
      <c r="B1327" t="s">
        <v>6544</v>
      </c>
      <c r="C1327" t="s">
        <v>9168</v>
      </c>
      <c r="D1327">
        <v>25</v>
      </c>
      <c r="E1327" t="s">
        <v>9466</v>
      </c>
    </row>
    <row r="1328" spans="2:5">
      <c r="B1328" t="s">
        <v>9169</v>
      </c>
      <c r="C1328" t="s">
        <v>9170</v>
      </c>
      <c r="D1328">
        <v>3</v>
      </c>
      <c r="E1328" t="s">
        <v>9469</v>
      </c>
    </row>
    <row r="1329" spans="2:5">
      <c r="B1329" t="s">
        <v>9171</v>
      </c>
      <c r="C1329" t="s">
        <v>9172</v>
      </c>
      <c r="D1329">
        <v>1</v>
      </c>
      <c r="E1329" t="s">
        <v>9466</v>
      </c>
    </row>
    <row r="1330" spans="2:5">
      <c r="B1330" t="s">
        <v>9173</v>
      </c>
      <c r="C1330" t="s">
        <v>9174</v>
      </c>
      <c r="D1330">
        <v>0</v>
      </c>
      <c r="E1330" t="s">
        <v>9469</v>
      </c>
    </row>
    <row r="1331" spans="2:5">
      <c r="B1331" t="s">
        <v>9175</v>
      </c>
      <c r="C1331" t="s">
        <v>9176</v>
      </c>
      <c r="D1331">
        <v>6</v>
      </c>
      <c r="E1331" t="s">
        <v>9469</v>
      </c>
    </row>
    <row r="1332" spans="2:5">
      <c r="B1332" t="s">
        <v>6550</v>
      </c>
      <c r="C1332" t="s">
        <v>9177</v>
      </c>
      <c r="D1332">
        <v>0</v>
      </c>
      <c r="E1332" t="s">
        <v>9466</v>
      </c>
    </row>
    <row r="1333" spans="2:5">
      <c r="B1333" t="s">
        <v>9178</v>
      </c>
      <c r="C1333" t="s">
        <v>9179</v>
      </c>
      <c r="D1333">
        <v>1</v>
      </c>
      <c r="E1333" t="s">
        <v>9466</v>
      </c>
    </row>
    <row r="1334" spans="2:5">
      <c r="B1334" t="s">
        <v>6554</v>
      </c>
      <c r="C1334" t="s">
        <v>9180</v>
      </c>
      <c r="D1334">
        <v>10</v>
      </c>
      <c r="E1334" t="s">
        <v>9469</v>
      </c>
    </row>
    <row r="1335" spans="2:5">
      <c r="B1335" t="s">
        <v>9181</v>
      </c>
      <c r="C1335" t="s">
        <v>9182</v>
      </c>
      <c r="D1335">
        <v>44</v>
      </c>
      <c r="E1335" t="s">
        <v>9466</v>
      </c>
    </row>
    <row r="1336" spans="2:5">
      <c r="B1336" t="s">
        <v>6561</v>
      </c>
      <c r="C1336" t="s">
        <v>9183</v>
      </c>
      <c r="D1336">
        <v>15</v>
      </c>
      <c r="E1336" t="s">
        <v>9469</v>
      </c>
    </row>
    <row r="1337" spans="2:5">
      <c r="B1337" t="s">
        <v>6567</v>
      </c>
      <c r="C1337" t="s">
        <v>9184</v>
      </c>
      <c r="D1337">
        <v>2</v>
      </c>
      <c r="E1337" t="s">
        <v>9466</v>
      </c>
    </row>
    <row r="1338" spans="2:5">
      <c r="B1338" t="s">
        <v>9185</v>
      </c>
      <c r="C1338" t="s">
        <v>9186</v>
      </c>
      <c r="D1338">
        <v>0</v>
      </c>
      <c r="E1338" t="s">
        <v>9466</v>
      </c>
    </row>
    <row r="1339" spans="2:5">
      <c r="B1339" t="s">
        <v>9187</v>
      </c>
      <c r="C1339" t="s">
        <v>9188</v>
      </c>
      <c r="D1339">
        <v>0</v>
      </c>
      <c r="E1339" t="s">
        <v>9469</v>
      </c>
    </row>
    <row r="1340" spans="2:5">
      <c r="B1340" t="s">
        <v>9189</v>
      </c>
      <c r="C1340" t="s">
        <v>9190</v>
      </c>
      <c r="D1340">
        <v>3</v>
      </c>
      <c r="E1340" t="s">
        <v>9466</v>
      </c>
    </row>
    <row r="1341" spans="2:5">
      <c r="B1341" t="s">
        <v>9191</v>
      </c>
      <c r="C1341" t="s">
        <v>9192</v>
      </c>
      <c r="D1341">
        <v>13</v>
      </c>
      <c r="E1341" t="s">
        <v>9466</v>
      </c>
    </row>
    <row r="1342" spans="2:5">
      <c r="B1342" t="s">
        <v>6573</v>
      </c>
      <c r="C1342" t="s">
        <v>9193</v>
      </c>
      <c r="D1342">
        <v>23</v>
      </c>
      <c r="E1342" t="s">
        <v>9466</v>
      </c>
    </row>
    <row r="1343" spans="2:5">
      <c r="B1343" t="s">
        <v>6579</v>
      </c>
      <c r="C1343" t="s">
        <v>9194</v>
      </c>
      <c r="D1343">
        <v>8</v>
      </c>
      <c r="E1343" t="s">
        <v>9466</v>
      </c>
    </row>
    <row r="1344" spans="2:5">
      <c r="B1344" t="s">
        <v>9195</v>
      </c>
      <c r="C1344" t="s">
        <v>9196</v>
      </c>
      <c r="D1344">
        <v>1</v>
      </c>
      <c r="E1344" t="s">
        <v>9466</v>
      </c>
    </row>
    <row r="1345" spans="2:5">
      <c r="B1345" t="s">
        <v>9197</v>
      </c>
      <c r="C1345" t="s">
        <v>9198</v>
      </c>
      <c r="D1345">
        <v>0</v>
      </c>
      <c r="E1345" t="s">
        <v>9466</v>
      </c>
    </row>
    <row r="1346" spans="2:5">
      <c r="B1346" t="s">
        <v>9199</v>
      </c>
      <c r="C1346" t="s">
        <v>9200</v>
      </c>
      <c r="D1346">
        <v>1</v>
      </c>
      <c r="E1346" t="s">
        <v>9466</v>
      </c>
    </row>
    <row r="1347" spans="2:5">
      <c r="B1347" t="s">
        <v>9201</v>
      </c>
      <c r="C1347" t="s">
        <v>9202</v>
      </c>
      <c r="D1347">
        <v>1</v>
      </c>
      <c r="E1347" t="s">
        <v>9469</v>
      </c>
    </row>
    <row r="1348" spans="2:5">
      <c r="B1348" t="s">
        <v>9203</v>
      </c>
      <c r="C1348" t="s">
        <v>9204</v>
      </c>
      <c r="D1348">
        <v>14</v>
      </c>
      <c r="E1348" t="s">
        <v>9469</v>
      </c>
    </row>
    <row r="1349" spans="2:5">
      <c r="B1349" t="s">
        <v>9205</v>
      </c>
      <c r="C1349" t="s">
        <v>9206</v>
      </c>
      <c r="D1349">
        <v>0</v>
      </c>
      <c r="E1349" t="s">
        <v>9469</v>
      </c>
    </row>
    <row r="1350" spans="2:5">
      <c r="B1350" t="s">
        <v>9207</v>
      </c>
      <c r="C1350" t="s">
        <v>9208</v>
      </c>
      <c r="D1350">
        <v>2</v>
      </c>
      <c r="E1350" t="s">
        <v>9466</v>
      </c>
    </row>
    <row r="1351" spans="2:5">
      <c r="B1351" t="s">
        <v>6585</v>
      </c>
      <c r="C1351" t="s">
        <v>9209</v>
      </c>
      <c r="D1351">
        <v>14</v>
      </c>
      <c r="E1351" t="s">
        <v>9466</v>
      </c>
    </row>
    <row r="1352" spans="2:5">
      <c r="B1352" t="s">
        <v>6591</v>
      </c>
      <c r="C1352" t="s">
        <v>9210</v>
      </c>
      <c r="D1352">
        <v>17</v>
      </c>
      <c r="E1352" t="s">
        <v>9466</v>
      </c>
    </row>
    <row r="1353" spans="2:5">
      <c r="B1353" t="s">
        <v>6595</v>
      </c>
      <c r="C1353" t="s">
        <v>9211</v>
      </c>
      <c r="D1353">
        <v>5</v>
      </c>
      <c r="E1353" t="s">
        <v>9466</v>
      </c>
    </row>
    <row r="1354" spans="2:5">
      <c r="B1354" t="s">
        <v>9212</v>
      </c>
      <c r="C1354" t="s">
        <v>9213</v>
      </c>
      <c r="D1354">
        <v>0</v>
      </c>
      <c r="E1354" t="s">
        <v>9469</v>
      </c>
    </row>
    <row r="1355" spans="2:5">
      <c r="B1355" t="s">
        <v>9214</v>
      </c>
      <c r="C1355" t="s">
        <v>9215</v>
      </c>
      <c r="D1355">
        <v>0</v>
      </c>
      <c r="E1355" t="s">
        <v>9466</v>
      </c>
    </row>
    <row r="1356" spans="2:5">
      <c r="B1356" t="s">
        <v>6601</v>
      </c>
      <c r="C1356" t="s">
        <v>9216</v>
      </c>
      <c r="D1356">
        <v>13</v>
      </c>
      <c r="E1356" t="s">
        <v>9469</v>
      </c>
    </row>
    <row r="1357" spans="2:5">
      <c r="B1357" t="s">
        <v>9217</v>
      </c>
      <c r="C1357" t="s">
        <v>9218</v>
      </c>
      <c r="D1357">
        <v>15</v>
      </c>
      <c r="E1357" t="s">
        <v>9469</v>
      </c>
    </row>
    <row r="1358" spans="2:5">
      <c r="B1358" t="s">
        <v>9219</v>
      </c>
      <c r="C1358" t="s">
        <v>9220</v>
      </c>
      <c r="D1358">
        <v>0</v>
      </c>
      <c r="E1358" t="s">
        <v>9466</v>
      </c>
    </row>
    <row r="1359" spans="2:5">
      <c r="B1359" t="s">
        <v>9221</v>
      </c>
      <c r="C1359" t="s">
        <v>9222</v>
      </c>
      <c r="D1359">
        <v>1</v>
      </c>
      <c r="E1359" t="s">
        <v>9466</v>
      </c>
    </row>
    <row r="1360" spans="2:5">
      <c r="B1360" t="s">
        <v>9223</v>
      </c>
      <c r="C1360" t="s">
        <v>9224</v>
      </c>
      <c r="D1360">
        <v>2</v>
      </c>
      <c r="E1360" t="s">
        <v>9466</v>
      </c>
    </row>
    <row r="1361" spans="2:5">
      <c r="B1361" t="s">
        <v>9225</v>
      </c>
      <c r="C1361" t="s">
        <v>9226</v>
      </c>
      <c r="D1361">
        <v>10</v>
      </c>
      <c r="E1361" t="s">
        <v>9466</v>
      </c>
    </row>
    <row r="1362" spans="2:5">
      <c r="B1362" t="s">
        <v>9227</v>
      </c>
      <c r="C1362" t="s">
        <v>9228</v>
      </c>
      <c r="D1362">
        <v>1</v>
      </c>
      <c r="E1362" t="s">
        <v>9466</v>
      </c>
    </row>
    <row r="1363" spans="2:5">
      <c r="B1363" t="s">
        <v>9229</v>
      </c>
      <c r="C1363" t="s">
        <v>9230</v>
      </c>
      <c r="D1363">
        <v>1</v>
      </c>
      <c r="E1363" t="s">
        <v>9466</v>
      </c>
    </row>
    <row r="1364" spans="2:5">
      <c r="B1364" t="s">
        <v>9231</v>
      </c>
      <c r="C1364" t="s">
        <v>9232</v>
      </c>
      <c r="D1364">
        <v>41</v>
      </c>
      <c r="E1364" t="s">
        <v>9469</v>
      </c>
    </row>
    <row r="1365" spans="2:5">
      <c r="B1365" t="s">
        <v>6607</v>
      </c>
      <c r="C1365" t="s">
        <v>9232</v>
      </c>
      <c r="D1365">
        <v>1</v>
      </c>
      <c r="E1365" t="s">
        <v>9469</v>
      </c>
    </row>
    <row r="1366" spans="2:5">
      <c r="B1366" t="s">
        <v>9233</v>
      </c>
      <c r="C1366" t="s">
        <v>9234</v>
      </c>
      <c r="D1366">
        <v>14</v>
      </c>
      <c r="E1366" t="s">
        <v>9466</v>
      </c>
    </row>
    <row r="1367" spans="2:5">
      <c r="B1367" t="s">
        <v>9235</v>
      </c>
      <c r="C1367" t="s">
        <v>9236</v>
      </c>
      <c r="D1367">
        <v>0</v>
      </c>
      <c r="E1367" t="s">
        <v>9466</v>
      </c>
    </row>
    <row r="1368" spans="2:5">
      <c r="B1368" t="s">
        <v>9237</v>
      </c>
      <c r="C1368" t="s">
        <v>9238</v>
      </c>
      <c r="D1368">
        <v>5</v>
      </c>
      <c r="E1368" t="s">
        <v>9466</v>
      </c>
    </row>
    <row r="1369" spans="2:5">
      <c r="B1369" t="s">
        <v>6614</v>
      </c>
      <c r="C1369" t="s">
        <v>9239</v>
      </c>
      <c r="D1369">
        <v>0</v>
      </c>
      <c r="E1369" t="s">
        <v>9466</v>
      </c>
    </row>
    <row r="1370" spans="2:5">
      <c r="B1370" t="s">
        <v>9240</v>
      </c>
      <c r="C1370" t="s">
        <v>9241</v>
      </c>
      <c r="D1370">
        <v>49</v>
      </c>
      <c r="E1370" t="s">
        <v>9466</v>
      </c>
    </row>
    <row r="1371" spans="2:5">
      <c r="B1371" t="s">
        <v>9242</v>
      </c>
      <c r="C1371" t="s">
        <v>9243</v>
      </c>
      <c r="D1371">
        <v>12</v>
      </c>
      <c r="E1371" t="s">
        <v>9466</v>
      </c>
    </row>
    <row r="1372" spans="2:5">
      <c r="B1372" t="s">
        <v>9244</v>
      </c>
      <c r="C1372" t="s">
        <v>9245</v>
      </c>
      <c r="D1372">
        <v>0</v>
      </c>
      <c r="E1372" t="s">
        <v>9466</v>
      </c>
    </row>
    <row r="1373" spans="2:5">
      <c r="B1373" t="s">
        <v>9246</v>
      </c>
      <c r="C1373" t="s">
        <v>9247</v>
      </c>
      <c r="D1373">
        <v>0</v>
      </c>
      <c r="E1373" t="s">
        <v>9466</v>
      </c>
    </row>
    <row r="1374" spans="2:5">
      <c r="B1374" t="s">
        <v>9248</v>
      </c>
      <c r="C1374" t="s">
        <v>9249</v>
      </c>
      <c r="D1374">
        <v>2</v>
      </c>
      <c r="E1374" t="s">
        <v>9466</v>
      </c>
    </row>
    <row r="1375" spans="2:5">
      <c r="B1375" t="s">
        <v>9250</v>
      </c>
      <c r="C1375" t="s">
        <v>9251</v>
      </c>
      <c r="D1375">
        <v>0</v>
      </c>
      <c r="E1375" t="s">
        <v>9466</v>
      </c>
    </row>
    <row r="1376" spans="2:5">
      <c r="B1376" t="s">
        <v>6621</v>
      </c>
      <c r="C1376" t="s">
        <v>9252</v>
      </c>
      <c r="D1376">
        <v>42</v>
      </c>
      <c r="E1376" t="s">
        <v>9466</v>
      </c>
    </row>
    <row r="1377" spans="2:5">
      <c r="B1377" t="s">
        <v>6627</v>
      </c>
      <c r="C1377" t="s">
        <v>9253</v>
      </c>
      <c r="D1377">
        <v>4</v>
      </c>
      <c r="E1377" t="s">
        <v>9469</v>
      </c>
    </row>
    <row r="1378" spans="2:5">
      <c r="B1378" t="s">
        <v>6633</v>
      </c>
      <c r="C1378" t="s">
        <v>9254</v>
      </c>
      <c r="D1378">
        <v>71</v>
      </c>
      <c r="E1378" t="s">
        <v>9466</v>
      </c>
    </row>
    <row r="1379" spans="2:5">
      <c r="B1379" t="s">
        <v>9255</v>
      </c>
      <c r="C1379" t="s">
        <v>9256</v>
      </c>
      <c r="D1379">
        <v>25</v>
      </c>
      <c r="E1379" t="s">
        <v>9466</v>
      </c>
    </row>
    <row r="1380" spans="2:5">
      <c r="B1380" t="s">
        <v>9257</v>
      </c>
      <c r="C1380" t="s">
        <v>9258</v>
      </c>
      <c r="D1380">
        <v>5</v>
      </c>
      <c r="E1380" t="s">
        <v>9466</v>
      </c>
    </row>
    <row r="1381" spans="2:5">
      <c r="B1381" t="s">
        <v>6639</v>
      </c>
      <c r="C1381" t="s">
        <v>9259</v>
      </c>
      <c r="D1381">
        <v>3</v>
      </c>
      <c r="E1381" t="s">
        <v>9466</v>
      </c>
    </row>
    <row r="1382" spans="2:5">
      <c r="B1382" t="s">
        <v>9260</v>
      </c>
      <c r="C1382" t="s">
        <v>9261</v>
      </c>
      <c r="D1382">
        <v>22</v>
      </c>
      <c r="E1382" t="s">
        <v>9466</v>
      </c>
    </row>
    <row r="1383" spans="2:5">
      <c r="B1383" t="s">
        <v>9262</v>
      </c>
      <c r="C1383" t="s">
        <v>9263</v>
      </c>
      <c r="D1383">
        <v>0</v>
      </c>
      <c r="E1383" t="s">
        <v>9466</v>
      </c>
    </row>
    <row r="1384" spans="2:5">
      <c r="B1384" t="s">
        <v>9264</v>
      </c>
      <c r="C1384" t="s">
        <v>9265</v>
      </c>
      <c r="D1384">
        <v>2</v>
      </c>
      <c r="E1384" t="s">
        <v>9466</v>
      </c>
    </row>
    <row r="1385" spans="2:5">
      <c r="B1385" t="s">
        <v>9266</v>
      </c>
      <c r="C1385" t="s">
        <v>9267</v>
      </c>
      <c r="D1385">
        <v>15</v>
      </c>
      <c r="E1385" t="s">
        <v>9466</v>
      </c>
    </row>
    <row r="1386" spans="2:5">
      <c r="B1386" t="s">
        <v>6642</v>
      </c>
      <c r="C1386" t="s">
        <v>9268</v>
      </c>
      <c r="D1386">
        <v>0</v>
      </c>
      <c r="E1386" t="s">
        <v>9469</v>
      </c>
    </row>
    <row r="1387" spans="2:5">
      <c r="B1387" t="s">
        <v>9269</v>
      </c>
      <c r="C1387" t="s">
        <v>9270</v>
      </c>
      <c r="D1387">
        <v>9</v>
      </c>
      <c r="E1387" t="s">
        <v>9466</v>
      </c>
    </row>
    <row r="1388" spans="2:5">
      <c r="B1388" t="s">
        <v>9271</v>
      </c>
      <c r="C1388" t="s">
        <v>9272</v>
      </c>
      <c r="D1388">
        <v>1</v>
      </c>
      <c r="E1388" t="s">
        <v>9466</v>
      </c>
    </row>
    <row r="1389" spans="2:5">
      <c r="B1389" t="s">
        <v>9273</v>
      </c>
      <c r="C1389" t="s">
        <v>9274</v>
      </c>
      <c r="D1389">
        <v>0</v>
      </c>
      <c r="E1389" t="s">
        <v>9469</v>
      </c>
    </row>
    <row r="1390" spans="2:5">
      <c r="B1390" t="s">
        <v>9275</v>
      </c>
      <c r="C1390" t="s">
        <v>9276</v>
      </c>
      <c r="D1390">
        <v>3</v>
      </c>
      <c r="E1390" t="s">
        <v>9466</v>
      </c>
    </row>
    <row r="1391" spans="2:5">
      <c r="B1391" t="s">
        <v>9277</v>
      </c>
      <c r="C1391" t="s">
        <v>9278</v>
      </c>
      <c r="D1391">
        <v>1</v>
      </c>
      <c r="E1391" t="s">
        <v>9466</v>
      </c>
    </row>
    <row r="1392" spans="2:5">
      <c r="B1392" t="s">
        <v>9279</v>
      </c>
      <c r="C1392" t="s">
        <v>9280</v>
      </c>
      <c r="D1392">
        <v>19</v>
      </c>
      <c r="E1392" t="s">
        <v>9466</v>
      </c>
    </row>
    <row r="1393" spans="2:5">
      <c r="B1393" t="s">
        <v>9281</v>
      </c>
      <c r="C1393" t="s">
        <v>9282</v>
      </c>
      <c r="D1393">
        <v>605</v>
      </c>
      <c r="E1393" t="s">
        <v>9466</v>
      </c>
    </row>
    <row r="1394" spans="2:5">
      <c r="B1394" t="s">
        <v>9283</v>
      </c>
      <c r="C1394" t="s">
        <v>9284</v>
      </c>
      <c r="D1394">
        <v>0</v>
      </c>
      <c r="E1394" t="s">
        <v>9466</v>
      </c>
    </row>
    <row r="1395" spans="2:5">
      <c r="B1395" t="s">
        <v>6648</v>
      </c>
      <c r="C1395" t="s">
        <v>9285</v>
      </c>
      <c r="D1395">
        <v>0</v>
      </c>
      <c r="E1395" t="s">
        <v>9466</v>
      </c>
    </row>
    <row r="1396" spans="2:5">
      <c r="B1396" t="s">
        <v>9286</v>
      </c>
      <c r="C1396" t="s">
        <v>9287</v>
      </c>
      <c r="D1396">
        <v>2</v>
      </c>
      <c r="E1396" t="s">
        <v>9466</v>
      </c>
    </row>
    <row r="1397" spans="2:5">
      <c r="B1397" t="s">
        <v>9288</v>
      </c>
      <c r="C1397" t="s">
        <v>9289</v>
      </c>
      <c r="D1397">
        <v>0</v>
      </c>
      <c r="E1397" t="s">
        <v>9466</v>
      </c>
    </row>
    <row r="1398" spans="2:5">
      <c r="B1398" t="s">
        <v>9290</v>
      </c>
      <c r="C1398" t="s">
        <v>9291</v>
      </c>
      <c r="D1398">
        <v>0</v>
      </c>
      <c r="E1398" t="s">
        <v>9466</v>
      </c>
    </row>
    <row r="1399" spans="2:5">
      <c r="B1399" t="s">
        <v>9292</v>
      </c>
      <c r="C1399" t="s">
        <v>9293</v>
      </c>
      <c r="D1399">
        <v>0</v>
      </c>
      <c r="E1399" t="s">
        <v>9466</v>
      </c>
    </row>
    <row r="1400" spans="2:5">
      <c r="B1400" t="s">
        <v>9294</v>
      </c>
      <c r="C1400" t="s">
        <v>9295</v>
      </c>
      <c r="D1400">
        <v>0</v>
      </c>
      <c r="E1400" t="s">
        <v>9466</v>
      </c>
    </row>
    <row r="1401" spans="2:5">
      <c r="B1401" t="s">
        <v>9296</v>
      </c>
      <c r="C1401" t="s">
        <v>9297</v>
      </c>
      <c r="D1401">
        <v>8</v>
      </c>
      <c r="E1401" t="s">
        <v>9466</v>
      </c>
    </row>
    <row r="1402" spans="2:5">
      <c r="B1402" t="s">
        <v>9298</v>
      </c>
      <c r="C1402" t="s">
        <v>9299</v>
      </c>
      <c r="D1402">
        <v>2</v>
      </c>
      <c r="E1402" t="s">
        <v>9466</v>
      </c>
    </row>
    <row r="1403" spans="2:5">
      <c r="B1403" t="s">
        <v>9300</v>
      </c>
      <c r="C1403" t="s">
        <v>9301</v>
      </c>
      <c r="D1403">
        <v>0</v>
      </c>
      <c r="E1403" t="s">
        <v>9469</v>
      </c>
    </row>
    <row r="1404" spans="2:5">
      <c r="B1404" t="s">
        <v>9302</v>
      </c>
      <c r="C1404" t="s">
        <v>9303</v>
      </c>
      <c r="D1404">
        <v>0</v>
      </c>
      <c r="E1404" t="s">
        <v>9466</v>
      </c>
    </row>
    <row r="1405" spans="2:5">
      <c r="B1405" t="s">
        <v>9304</v>
      </c>
      <c r="C1405" t="s">
        <v>9305</v>
      </c>
      <c r="D1405">
        <v>1</v>
      </c>
      <c r="E1405" t="s">
        <v>9466</v>
      </c>
    </row>
    <row r="1406" spans="2:5">
      <c r="B1406" t="s">
        <v>6654</v>
      </c>
      <c r="C1406" t="s">
        <v>9306</v>
      </c>
      <c r="D1406">
        <v>5</v>
      </c>
      <c r="E1406" t="s">
        <v>9466</v>
      </c>
    </row>
    <row r="1407" spans="2:5">
      <c r="B1407" t="s">
        <v>9307</v>
      </c>
      <c r="C1407" t="s">
        <v>9308</v>
      </c>
      <c r="D1407">
        <v>0</v>
      </c>
      <c r="E1407" t="s">
        <v>9469</v>
      </c>
    </row>
    <row r="1408" spans="2:5">
      <c r="B1408" t="s">
        <v>9309</v>
      </c>
      <c r="C1408" t="s">
        <v>9310</v>
      </c>
      <c r="D1408">
        <v>1</v>
      </c>
      <c r="E1408" t="s">
        <v>9469</v>
      </c>
    </row>
    <row r="1409" spans="2:5">
      <c r="B1409" t="s">
        <v>9311</v>
      </c>
      <c r="C1409" t="s">
        <v>9312</v>
      </c>
      <c r="D1409">
        <v>190</v>
      </c>
      <c r="E1409" t="s">
        <v>9469</v>
      </c>
    </row>
    <row r="1410" spans="2:5">
      <c r="B1410" t="s">
        <v>9313</v>
      </c>
      <c r="C1410" t="s">
        <v>9314</v>
      </c>
      <c r="D1410">
        <v>0</v>
      </c>
      <c r="E1410" t="s">
        <v>9469</v>
      </c>
    </row>
    <row r="1411" spans="2:5">
      <c r="B1411" t="s">
        <v>9315</v>
      </c>
      <c r="C1411" t="s">
        <v>9316</v>
      </c>
      <c r="D1411">
        <v>0</v>
      </c>
      <c r="E1411" t="s">
        <v>9469</v>
      </c>
    </row>
    <row r="1412" spans="2:5">
      <c r="B1412" t="s">
        <v>6660</v>
      </c>
      <c r="C1412" t="s">
        <v>9317</v>
      </c>
      <c r="D1412">
        <v>15</v>
      </c>
      <c r="E1412" t="s">
        <v>9469</v>
      </c>
    </row>
    <row r="1413" spans="2:5">
      <c r="B1413" t="s">
        <v>9318</v>
      </c>
      <c r="C1413" t="s">
        <v>9319</v>
      </c>
      <c r="D1413">
        <v>11</v>
      </c>
      <c r="E1413" t="s">
        <v>9469</v>
      </c>
    </row>
    <row r="1414" spans="2:5">
      <c r="B1414" t="s">
        <v>9320</v>
      </c>
      <c r="C1414" t="s">
        <v>9321</v>
      </c>
      <c r="D1414">
        <v>0</v>
      </c>
      <c r="E1414" t="s">
        <v>9469</v>
      </c>
    </row>
    <row r="1415" spans="2:5">
      <c r="B1415" t="s">
        <v>9322</v>
      </c>
      <c r="C1415" t="s">
        <v>9323</v>
      </c>
      <c r="D1415">
        <v>0</v>
      </c>
      <c r="E1415" t="s">
        <v>9469</v>
      </c>
    </row>
    <row r="1416" spans="2:5">
      <c r="B1416" t="s">
        <v>9324</v>
      </c>
      <c r="C1416" t="s">
        <v>9325</v>
      </c>
      <c r="D1416">
        <v>0</v>
      </c>
      <c r="E1416" t="s">
        <v>9469</v>
      </c>
    </row>
    <row r="1417" spans="2:5">
      <c r="B1417" t="s">
        <v>9326</v>
      </c>
      <c r="C1417" t="s">
        <v>9327</v>
      </c>
      <c r="D1417">
        <v>17</v>
      </c>
      <c r="E1417" t="s">
        <v>9469</v>
      </c>
    </row>
    <row r="1418" spans="2:5">
      <c r="B1418" t="s">
        <v>9328</v>
      </c>
      <c r="C1418" t="s">
        <v>9329</v>
      </c>
      <c r="D1418">
        <v>0</v>
      </c>
      <c r="E1418" t="s">
        <v>9469</v>
      </c>
    </row>
    <row r="1419" spans="2:5">
      <c r="B1419" t="s">
        <v>9330</v>
      </c>
      <c r="C1419" t="s">
        <v>9331</v>
      </c>
      <c r="D1419">
        <v>3</v>
      </c>
      <c r="E1419" t="s">
        <v>9469</v>
      </c>
    </row>
    <row r="1420" spans="2:5">
      <c r="B1420" t="s">
        <v>9332</v>
      </c>
      <c r="C1420" t="s">
        <v>9333</v>
      </c>
      <c r="D1420">
        <v>0</v>
      </c>
      <c r="E1420" t="s">
        <v>9469</v>
      </c>
    </row>
    <row r="1421" spans="2:5">
      <c r="B1421" t="s">
        <v>9334</v>
      </c>
      <c r="C1421" t="s">
        <v>9335</v>
      </c>
      <c r="D1421">
        <v>0</v>
      </c>
      <c r="E1421" t="s">
        <v>9469</v>
      </c>
    </row>
    <row r="1422" spans="2:5">
      <c r="B1422" t="s">
        <v>9336</v>
      </c>
      <c r="C1422" t="s">
        <v>9337</v>
      </c>
      <c r="D1422">
        <v>0</v>
      </c>
      <c r="E1422" t="s">
        <v>9469</v>
      </c>
    </row>
    <row r="1423" spans="2:5">
      <c r="B1423" t="s">
        <v>9338</v>
      </c>
      <c r="C1423" t="s">
        <v>9339</v>
      </c>
      <c r="D1423">
        <v>0</v>
      </c>
      <c r="E1423" t="s">
        <v>9469</v>
      </c>
    </row>
    <row r="1424" spans="2:5">
      <c r="B1424" t="s">
        <v>9340</v>
      </c>
      <c r="C1424" t="s">
        <v>9341</v>
      </c>
      <c r="D1424">
        <v>5</v>
      </c>
      <c r="E1424" t="s">
        <v>9469</v>
      </c>
    </row>
    <row r="1425" spans="2:5">
      <c r="B1425" t="s">
        <v>9342</v>
      </c>
      <c r="C1425" t="s">
        <v>9343</v>
      </c>
      <c r="D1425">
        <v>16</v>
      </c>
      <c r="E1425" t="s">
        <v>9469</v>
      </c>
    </row>
    <row r="1426" spans="2:5">
      <c r="B1426" t="s">
        <v>9344</v>
      </c>
      <c r="C1426" t="s">
        <v>9345</v>
      </c>
      <c r="D1426">
        <v>1</v>
      </c>
      <c r="E1426" t="s">
        <v>9469</v>
      </c>
    </row>
    <row r="1427" spans="2:5">
      <c r="B1427" t="s">
        <v>6666</v>
      </c>
      <c r="C1427" t="s">
        <v>9346</v>
      </c>
      <c r="D1427">
        <v>7</v>
      </c>
      <c r="E1427" t="s">
        <v>9469</v>
      </c>
    </row>
    <row r="1428" spans="2:5">
      <c r="B1428" t="s">
        <v>6670</v>
      </c>
      <c r="C1428" t="s">
        <v>9347</v>
      </c>
      <c r="D1428">
        <v>17</v>
      </c>
      <c r="E1428" t="s">
        <v>9469</v>
      </c>
    </row>
    <row r="1429" spans="2:5">
      <c r="B1429" t="s">
        <v>6676</v>
      </c>
      <c r="C1429" t="s">
        <v>9348</v>
      </c>
      <c r="D1429">
        <v>2</v>
      </c>
      <c r="E1429" t="s">
        <v>9469</v>
      </c>
    </row>
    <row r="1430" spans="2:5">
      <c r="B1430" t="s">
        <v>9349</v>
      </c>
      <c r="C1430" t="s">
        <v>9350</v>
      </c>
      <c r="D1430">
        <v>3</v>
      </c>
      <c r="E1430" t="s">
        <v>9469</v>
      </c>
    </row>
    <row r="1431" spans="2:5">
      <c r="B1431" t="s">
        <v>9351</v>
      </c>
      <c r="C1431" t="s">
        <v>9352</v>
      </c>
      <c r="D1431">
        <v>10</v>
      </c>
      <c r="E1431" t="s">
        <v>9469</v>
      </c>
    </row>
    <row r="1432" spans="2:5">
      <c r="B1432" t="s">
        <v>6682</v>
      </c>
      <c r="C1432" t="s">
        <v>9353</v>
      </c>
      <c r="D1432">
        <v>4</v>
      </c>
      <c r="E1432" t="s">
        <v>9469</v>
      </c>
    </row>
    <row r="1433" spans="2:5">
      <c r="B1433" t="s">
        <v>9354</v>
      </c>
      <c r="C1433" t="s">
        <v>9355</v>
      </c>
      <c r="D1433">
        <v>4</v>
      </c>
      <c r="E1433" t="s">
        <v>9469</v>
      </c>
    </row>
    <row r="1434" spans="2:5">
      <c r="B1434" t="s">
        <v>9356</v>
      </c>
      <c r="C1434" t="s">
        <v>9357</v>
      </c>
      <c r="D1434">
        <v>0</v>
      </c>
      <c r="E1434" t="s">
        <v>9469</v>
      </c>
    </row>
    <row r="1435" spans="2:5">
      <c r="B1435" t="s">
        <v>9358</v>
      </c>
      <c r="C1435" t="s">
        <v>9359</v>
      </c>
      <c r="D1435">
        <v>1</v>
      </c>
      <c r="E1435" t="s">
        <v>9469</v>
      </c>
    </row>
    <row r="1436" spans="2:5">
      <c r="B1436" t="s">
        <v>9360</v>
      </c>
      <c r="C1436" t="s">
        <v>9361</v>
      </c>
      <c r="D1436">
        <v>0</v>
      </c>
      <c r="E1436" t="s">
        <v>9469</v>
      </c>
    </row>
    <row r="1437" spans="2:5">
      <c r="B1437" t="s">
        <v>9362</v>
      </c>
      <c r="C1437" t="s">
        <v>9363</v>
      </c>
      <c r="D1437">
        <v>1</v>
      </c>
      <c r="E1437" t="s">
        <v>9469</v>
      </c>
    </row>
    <row r="1438" spans="2:5">
      <c r="B1438" t="s">
        <v>9364</v>
      </c>
      <c r="C1438" t="s">
        <v>9365</v>
      </c>
      <c r="D1438">
        <v>1</v>
      </c>
      <c r="E1438" t="s">
        <v>9469</v>
      </c>
    </row>
    <row r="1439" spans="2:5">
      <c r="B1439" t="s">
        <v>9366</v>
      </c>
      <c r="C1439" t="s">
        <v>9367</v>
      </c>
      <c r="D1439">
        <v>0</v>
      </c>
      <c r="E1439" t="s">
        <v>9469</v>
      </c>
    </row>
    <row r="1440" spans="2:5">
      <c r="B1440" t="s">
        <v>6688</v>
      </c>
      <c r="C1440" t="s">
        <v>9368</v>
      </c>
      <c r="D1440">
        <v>10</v>
      </c>
      <c r="E1440" t="s">
        <v>9469</v>
      </c>
    </row>
    <row r="1441" spans="2:5">
      <c r="B1441" t="s">
        <v>9369</v>
      </c>
      <c r="C1441" t="s">
        <v>9370</v>
      </c>
      <c r="D1441">
        <v>11</v>
      </c>
      <c r="E1441" t="s">
        <v>9469</v>
      </c>
    </row>
    <row r="1442" spans="2:5">
      <c r="B1442" t="s">
        <v>9371</v>
      </c>
      <c r="C1442" t="s">
        <v>9372</v>
      </c>
      <c r="D1442">
        <v>0</v>
      </c>
      <c r="E1442" t="s">
        <v>9469</v>
      </c>
    </row>
    <row r="1443" spans="2:5">
      <c r="B1443" t="s">
        <v>9373</v>
      </c>
      <c r="C1443" t="s">
        <v>9374</v>
      </c>
      <c r="D1443">
        <v>12</v>
      </c>
      <c r="E1443" t="s">
        <v>9469</v>
      </c>
    </row>
    <row r="1444" spans="2:5">
      <c r="B1444" t="s">
        <v>9375</v>
      </c>
      <c r="C1444" t="s">
        <v>9376</v>
      </c>
      <c r="D1444">
        <v>0</v>
      </c>
      <c r="E1444" t="s">
        <v>9469</v>
      </c>
    </row>
    <row r="1445" spans="2:5">
      <c r="B1445" t="s">
        <v>9377</v>
      </c>
      <c r="C1445" t="s">
        <v>9378</v>
      </c>
      <c r="D1445">
        <v>0</v>
      </c>
      <c r="E1445" t="s">
        <v>9469</v>
      </c>
    </row>
    <row r="1446" spans="2:5">
      <c r="B1446" t="s">
        <v>9379</v>
      </c>
      <c r="C1446" t="s">
        <v>9380</v>
      </c>
      <c r="D1446">
        <v>2</v>
      </c>
      <c r="E1446" t="s">
        <v>9469</v>
      </c>
    </row>
    <row r="1447" spans="2:5">
      <c r="B1447" t="s">
        <v>9381</v>
      </c>
      <c r="C1447" t="s">
        <v>9382</v>
      </c>
      <c r="D1447">
        <v>2</v>
      </c>
      <c r="E1447" t="s">
        <v>9469</v>
      </c>
    </row>
    <row r="1448" spans="2:5">
      <c r="B1448" t="s">
        <v>9383</v>
      </c>
      <c r="C1448" t="s">
        <v>9384</v>
      </c>
      <c r="D1448">
        <v>0</v>
      </c>
      <c r="E1448" t="s">
        <v>9469</v>
      </c>
    </row>
    <row r="1449" spans="2:5">
      <c r="B1449" t="s">
        <v>9385</v>
      </c>
      <c r="C1449" t="s">
        <v>9386</v>
      </c>
      <c r="D1449">
        <v>3</v>
      </c>
      <c r="E1449" t="s">
        <v>9469</v>
      </c>
    </row>
    <row r="1450" spans="2:5">
      <c r="B1450" t="s">
        <v>6694</v>
      </c>
      <c r="C1450" t="s">
        <v>9387</v>
      </c>
      <c r="D1450">
        <v>9</v>
      </c>
      <c r="E1450" t="s">
        <v>9469</v>
      </c>
    </row>
    <row r="1451" spans="2:5">
      <c r="B1451" t="s">
        <v>9388</v>
      </c>
      <c r="C1451" t="s">
        <v>9389</v>
      </c>
      <c r="D1451">
        <v>21</v>
      </c>
      <c r="E1451" t="s">
        <v>9469</v>
      </c>
    </row>
    <row r="1452" spans="2:5">
      <c r="B1452" t="s">
        <v>9390</v>
      </c>
      <c r="C1452" t="s">
        <v>9391</v>
      </c>
      <c r="D1452">
        <v>0</v>
      </c>
      <c r="E1452" t="s">
        <v>9469</v>
      </c>
    </row>
    <row r="1453" spans="2:5">
      <c r="B1453" t="s">
        <v>9392</v>
      </c>
      <c r="C1453" t="s">
        <v>9393</v>
      </c>
      <c r="D1453">
        <v>0</v>
      </c>
      <c r="E1453" t="s">
        <v>9469</v>
      </c>
    </row>
    <row r="1454" spans="2:5">
      <c r="B1454" t="s">
        <v>9394</v>
      </c>
      <c r="C1454" t="s">
        <v>9395</v>
      </c>
      <c r="D1454">
        <v>20</v>
      </c>
      <c r="E1454" t="s">
        <v>9469</v>
      </c>
    </row>
    <row r="1455" spans="2:5">
      <c r="B1455" t="s">
        <v>9396</v>
      </c>
      <c r="C1455" t="s">
        <v>9397</v>
      </c>
      <c r="D1455">
        <v>1</v>
      </c>
      <c r="E1455" t="s">
        <v>9469</v>
      </c>
    </row>
    <row r="1456" spans="2:5">
      <c r="B1456" t="s">
        <v>9398</v>
      </c>
      <c r="C1456" t="s">
        <v>9399</v>
      </c>
      <c r="D1456">
        <v>32</v>
      </c>
      <c r="E1456" t="s">
        <v>9469</v>
      </c>
    </row>
    <row r="1457" spans="2:5">
      <c r="B1457" t="s">
        <v>6700</v>
      </c>
      <c r="C1457" t="s">
        <v>9400</v>
      </c>
      <c r="D1457">
        <v>1</v>
      </c>
      <c r="E1457" t="s">
        <v>9469</v>
      </c>
    </row>
    <row r="1458" spans="2:5">
      <c r="B1458" t="s">
        <v>9401</v>
      </c>
      <c r="C1458" t="s">
        <v>9402</v>
      </c>
      <c r="D1458">
        <v>20</v>
      </c>
      <c r="E1458" t="s">
        <v>9469</v>
      </c>
    </row>
    <row r="1459" spans="2:5">
      <c r="B1459" t="s">
        <v>9403</v>
      </c>
      <c r="C1459" t="s">
        <v>9404</v>
      </c>
      <c r="D1459">
        <v>0</v>
      </c>
      <c r="E1459" t="s">
        <v>9470</v>
      </c>
    </row>
    <row r="1460" spans="2:5">
      <c r="B1460" t="s">
        <v>9405</v>
      </c>
      <c r="C1460" t="s">
        <v>9406</v>
      </c>
      <c r="D1460">
        <v>5</v>
      </c>
      <c r="E1460" t="s">
        <v>9470</v>
      </c>
    </row>
    <row r="1461" spans="2:5">
      <c r="B1461" t="s">
        <v>6706</v>
      </c>
      <c r="C1461" t="s">
        <v>9407</v>
      </c>
      <c r="D1461">
        <v>0</v>
      </c>
      <c r="E1461" t="s">
        <v>9470</v>
      </c>
    </row>
    <row r="1462" spans="2:5">
      <c r="B1462" t="s">
        <v>6710</v>
      </c>
      <c r="C1462" t="s">
        <v>9408</v>
      </c>
      <c r="D1462">
        <v>0</v>
      </c>
      <c r="E1462" t="s">
        <v>9470</v>
      </c>
    </row>
    <row r="1463" spans="2:5">
      <c r="B1463" t="s">
        <v>9409</v>
      </c>
      <c r="C1463" t="s">
        <v>9410</v>
      </c>
      <c r="D1463">
        <v>82</v>
      </c>
      <c r="E1463" t="s">
        <v>9470</v>
      </c>
    </row>
    <row r="1464" spans="2:5">
      <c r="B1464" t="s">
        <v>6714</v>
      </c>
      <c r="C1464" t="s">
        <v>9411</v>
      </c>
      <c r="D1464">
        <v>0</v>
      </c>
      <c r="E1464" t="s">
        <v>9470</v>
      </c>
    </row>
    <row r="1465" spans="2:5">
      <c r="B1465" t="s">
        <v>9412</v>
      </c>
      <c r="C1465" t="s">
        <v>9413</v>
      </c>
      <c r="D1465">
        <v>1</v>
      </c>
      <c r="E1465" t="s">
        <v>9470</v>
      </c>
    </row>
    <row r="1466" spans="2:5">
      <c r="B1466" t="s">
        <v>9414</v>
      </c>
      <c r="C1466" t="s">
        <v>9413</v>
      </c>
      <c r="D1466">
        <v>0</v>
      </c>
      <c r="E1466" t="s">
        <v>9470</v>
      </c>
    </row>
    <row r="1467" spans="2:5">
      <c r="B1467" t="s">
        <v>9415</v>
      </c>
      <c r="C1467" t="s">
        <v>9416</v>
      </c>
      <c r="D1467">
        <v>36</v>
      </c>
      <c r="E1467" t="s">
        <v>9470</v>
      </c>
    </row>
    <row r="1468" spans="2:5">
      <c r="B1468" t="s">
        <v>9417</v>
      </c>
      <c r="C1468" t="s">
        <v>9416</v>
      </c>
      <c r="D1468">
        <v>0</v>
      </c>
      <c r="E1468" t="s">
        <v>9470</v>
      </c>
    </row>
    <row r="1469" spans="2:5">
      <c r="B1469" t="s">
        <v>6718</v>
      </c>
      <c r="C1469" t="s">
        <v>9418</v>
      </c>
      <c r="D1469">
        <v>14</v>
      </c>
      <c r="E1469" t="s">
        <v>9470</v>
      </c>
    </row>
    <row r="1470" spans="2:5">
      <c r="B1470" t="s">
        <v>6722</v>
      </c>
      <c r="C1470" t="s">
        <v>9419</v>
      </c>
      <c r="D1470">
        <v>2</v>
      </c>
      <c r="E1470" t="s">
        <v>9470</v>
      </c>
    </row>
    <row r="1471" spans="2:5">
      <c r="B1471" t="s">
        <v>6726</v>
      </c>
      <c r="C1471" t="s">
        <v>9420</v>
      </c>
      <c r="D1471">
        <v>83</v>
      </c>
      <c r="E1471" t="s">
        <v>9470</v>
      </c>
    </row>
    <row r="1472" spans="2:5">
      <c r="B1472" t="s">
        <v>9421</v>
      </c>
      <c r="C1472" t="s">
        <v>9422</v>
      </c>
      <c r="D1472">
        <v>5</v>
      </c>
      <c r="E1472" t="s">
        <v>9470</v>
      </c>
    </row>
    <row r="1473" spans="2:5">
      <c r="B1473" t="s">
        <v>9423</v>
      </c>
      <c r="C1473" t="s">
        <v>9422</v>
      </c>
      <c r="D1473">
        <v>0</v>
      </c>
      <c r="E1473" t="s">
        <v>9470</v>
      </c>
    </row>
    <row r="1474" spans="2:5">
      <c r="B1474" t="s">
        <v>9424</v>
      </c>
      <c r="C1474" t="s">
        <v>9425</v>
      </c>
      <c r="D1474">
        <v>1</v>
      </c>
      <c r="E1474" t="s">
        <v>9470</v>
      </c>
    </row>
    <row r="1475" spans="2:5">
      <c r="B1475" t="s">
        <v>9426</v>
      </c>
      <c r="C1475" t="s">
        <v>9427</v>
      </c>
      <c r="D1475">
        <v>9</v>
      </c>
      <c r="E1475" t="s">
        <v>9470</v>
      </c>
    </row>
    <row r="1476" spans="2:5">
      <c r="B1476" t="s">
        <v>6730</v>
      </c>
      <c r="C1476" t="s">
        <v>9428</v>
      </c>
      <c r="D1476">
        <v>0</v>
      </c>
      <c r="E1476" t="s">
        <v>9470</v>
      </c>
    </row>
    <row r="1477" spans="2:5">
      <c r="B1477" t="s">
        <v>9429</v>
      </c>
      <c r="C1477" t="s">
        <v>9430</v>
      </c>
      <c r="D1477">
        <v>1</v>
      </c>
      <c r="E1477" t="s">
        <v>9470</v>
      </c>
    </row>
    <row r="1478" spans="2:5">
      <c r="B1478" t="s">
        <v>9431</v>
      </c>
      <c r="C1478" t="s">
        <v>9432</v>
      </c>
      <c r="D1478">
        <v>0</v>
      </c>
      <c r="E1478" t="s">
        <v>9464</v>
      </c>
    </row>
    <row r="1479" spans="2:5">
      <c r="B1479" t="s">
        <v>9433</v>
      </c>
      <c r="C1479" t="s">
        <v>9434</v>
      </c>
      <c r="D1479">
        <v>0</v>
      </c>
      <c r="E1479" t="s">
        <v>9464</v>
      </c>
    </row>
    <row r="1480" spans="2:5">
      <c r="B1480" t="s">
        <v>9435</v>
      </c>
      <c r="C1480" t="s">
        <v>9436</v>
      </c>
      <c r="D1480">
        <v>0</v>
      </c>
      <c r="E1480" t="s">
        <v>9464</v>
      </c>
    </row>
    <row r="1481" spans="2:5">
      <c r="B1481" t="s">
        <v>9437</v>
      </c>
      <c r="C1481" t="s">
        <v>9438</v>
      </c>
      <c r="D1481">
        <v>0</v>
      </c>
      <c r="E1481" t="s">
        <v>9464</v>
      </c>
    </row>
    <row r="1482" spans="2:5">
      <c r="B1482" t="s">
        <v>9439</v>
      </c>
      <c r="C1482" t="s">
        <v>9440</v>
      </c>
      <c r="D1482">
        <v>0</v>
      </c>
      <c r="E1482" t="s">
        <v>9464</v>
      </c>
    </row>
    <row r="1483" spans="2:5">
      <c r="B1483" t="s">
        <v>9441</v>
      </c>
      <c r="C1483" t="s">
        <v>9442</v>
      </c>
      <c r="D1483">
        <v>0</v>
      </c>
      <c r="E1483" t="s">
        <v>9464</v>
      </c>
    </row>
    <row r="1484" spans="2:5">
      <c r="B1484" t="s">
        <v>9443</v>
      </c>
      <c r="C1484" t="s">
        <v>9444</v>
      </c>
      <c r="D1484">
        <v>0</v>
      </c>
      <c r="E1484" t="s">
        <v>9464</v>
      </c>
    </row>
    <row r="1485" spans="2:5">
      <c r="B1485" t="s">
        <v>9445</v>
      </c>
      <c r="C1485" t="s">
        <v>9446</v>
      </c>
      <c r="D1485">
        <v>0</v>
      </c>
      <c r="E1485" t="s">
        <v>9464</v>
      </c>
    </row>
    <row r="1486" spans="2:5">
      <c r="B1486" t="s">
        <v>6735</v>
      </c>
      <c r="C1486" t="s">
        <v>9282</v>
      </c>
      <c r="D1486">
        <v>51</v>
      </c>
      <c r="E1486" t="s">
        <v>9466</v>
      </c>
    </row>
  </sheetData>
  <sortState ref="B3:E1488">
    <sortCondition ref="B3"/>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B2:E6320"/>
  <sheetViews>
    <sheetView topLeftCell="A5888" workbookViewId="0">
      <selection activeCell="F5896" sqref="F5896"/>
    </sheetView>
  </sheetViews>
  <sheetFormatPr baseColWidth="10" defaultRowHeight="15" x14ac:dyDescent="0"/>
  <cols>
    <col min="1" max="1" width="2.33203125" customWidth="1"/>
    <col min="2" max="2" width="14.1640625" style="65" customWidth="1"/>
    <col min="4" max="4" width="4.6640625" customWidth="1"/>
    <col min="5" max="5" width="23.6640625" customWidth="1"/>
  </cols>
  <sheetData>
    <row r="2" spans="2:5">
      <c r="B2" s="64" t="s">
        <v>2</v>
      </c>
      <c r="C2" s="64" t="s">
        <v>10878</v>
      </c>
      <c r="D2" s="64" t="s">
        <v>10879</v>
      </c>
      <c r="E2" s="64" t="s">
        <v>10880</v>
      </c>
    </row>
    <row r="3" spans="2:5">
      <c r="B3" s="65" t="str">
        <f>$C3&amp;":"&amp;$D3</f>
        <v>doc-1000:1</v>
      </c>
      <c r="C3" t="s">
        <v>9471</v>
      </c>
      <c r="D3">
        <v>1</v>
      </c>
      <c r="E3" t="s">
        <v>2729</v>
      </c>
    </row>
    <row r="4" spans="2:5">
      <c r="B4" s="65" t="str">
        <f t="shared" ref="B4:B67" si="0">$C4&amp;":"&amp;$D4</f>
        <v>doc-1000:2</v>
      </c>
      <c r="C4" t="s">
        <v>9471</v>
      </c>
      <c r="D4">
        <v>2</v>
      </c>
      <c r="E4" t="s">
        <v>2717</v>
      </c>
    </row>
    <row r="5" spans="2:5">
      <c r="B5" s="65" t="str">
        <f t="shared" si="0"/>
        <v>doc-1000:3</v>
      </c>
      <c r="C5" t="s">
        <v>9471</v>
      </c>
      <c r="D5">
        <v>3</v>
      </c>
      <c r="E5" t="s">
        <v>1911</v>
      </c>
    </row>
    <row r="6" spans="2:5">
      <c r="B6" s="65" t="str">
        <f t="shared" si="0"/>
        <v>doc-1000:4</v>
      </c>
      <c r="C6" t="s">
        <v>9471</v>
      </c>
      <c r="D6">
        <v>4</v>
      </c>
      <c r="E6" t="s">
        <v>2667</v>
      </c>
    </row>
    <row r="7" spans="2:5">
      <c r="B7" s="65" t="str">
        <f t="shared" si="0"/>
        <v>doc-1001:1</v>
      </c>
      <c r="C7" t="s">
        <v>9472</v>
      </c>
      <c r="D7">
        <v>1</v>
      </c>
      <c r="E7" t="s">
        <v>2995</v>
      </c>
    </row>
    <row r="8" spans="2:5">
      <c r="B8" s="65" t="str">
        <f t="shared" si="0"/>
        <v>doc-1001:2</v>
      </c>
      <c r="C8" t="s">
        <v>9472</v>
      </c>
      <c r="D8">
        <v>2</v>
      </c>
      <c r="E8" t="s">
        <v>3001</v>
      </c>
    </row>
    <row r="9" spans="2:5">
      <c r="B9" s="65" t="str">
        <f t="shared" si="0"/>
        <v>doc-1001:3</v>
      </c>
      <c r="C9" t="s">
        <v>9472</v>
      </c>
      <c r="D9">
        <v>3</v>
      </c>
      <c r="E9" t="s">
        <v>2980</v>
      </c>
    </row>
    <row r="10" spans="2:5">
      <c r="B10" s="65" t="str">
        <f t="shared" si="0"/>
        <v>doc-1001:4</v>
      </c>
      <c r="C10" t="s">
        <v>9472</v>
      </c>
      <c r="D10">
        <v>4</v>
      </c>
      <c r="E10" t="s">
        <v>3142</v>
      </c>
    </row>
    <row r="11" spans="2:5">
      <c r="B11" s="65" t="str">
        <f t="shared" si="0"/>
        <v>doc-1002:1</v>
      </c>
      <c r="C11" t="s">
        <v>9473</v>
      </c>
      <c r="D11">
        <v>1</v>
      </c>
      <c r="E11" t="s">
        <v>2151</v>
      </c>
    </row>
    <row r="12" spans="2:5">
      <c r="B12" s="65" t="str">
        <f t="shared" si="0"/>
        <v>doc-1002:2</v>
      </c>
      <c r="C12" t="s">
        <v>9473</v>
      </c>
      <c r="D12">
        <v>2</v>
      </c>
      <c r="E12" t="s">
        <v>1905</v>
      </c>
    </row>
    <row r="13" spans="2:5">
      <c r="B13" s="65" t="str">
        <f t="shared" si="0"/>
        <v>doc-1002:3</v>
      </c>
      <c r="C13" t="s">
        <v>9473</v>
      </c>
      <c r="D13">
        <v>3</v>
      </c>
      <c r="E13" t="s">
        <v>2112</v>
      </c>
    </row>
    <row r="14" spans="2:5">
      <c r="B14" s="65" t="str">
        <f t="shared" si="0"/>
        <v>doc-1002:4</v>
      </c>
      <c r="C14" t="s">
        <v>9473</v>
      </c>
      <c r="D14">
        <v>4</v>
      </c>
      <c r="E14" t="s">
        <v>2061</v>
      </c>
    </row>
    <row r="15" spans="2:5">
      <c r="B15" s="65" t="str">
        <f t="shared" si="0"/>
        <v>doc-1002:5</v>
      </c>
      <c r="C15" t="s">
        <v>9473</v>
      </c>
      <c r="D15">
        <v>5</v>
      </c>
      <c r="E15" t="s">
        <v>2092</v>
      </c>
    </row>
    <row r="16" spans="2:5">
      <c r="B16" s="65" t="str">
        <f t="shared" si="0"/>
        <v>doc-1002:6</v>
      </c>
      <c r="C16" t="s">
        <v>9473</v>
      </c>
      <c r="D16">
        <v>6</v>
      </c>
      <c r="E16" t="s">
        <v>2269</v>
      </c>
    </row>
    <row r="17" spans="2:5">
      <c r="B17" s="65" t="str">
        <f t="shared" si="0"/>
        <v>doc-1002:7</v>
      </c>
      <c r="C17" t="s">
        <v>9473</v>
      </c>
      <c r="D17">
        <v>7</v>
      </c>
      <c r="E17" t="s">
        <v>2003</v>
      </c>
    </row>
    <row r="18" spans="2:5">
      <c r="B18" s="65" t="str">
        <f t="shared" si="0"/>
        <v>doc-1002:8</v>
      </c>
      <c r="C18" t="s">
        <v>9473</v>
      </c>
      <c r="D18">
        <v>8</v>
      </c>
      <c r="E18" t="s">
        <v>2137</v>
      </c>
    </row>
    <row r="19" spans="2:5">
      <c r="B19" s="65" t="str">
        <f t="shared" si="0"/>
        <v>doc-1004:1</v>
      </c>
      <c r="C19" t="s">
        <v>9474</v>
      </c>
      <c r="D19">
        <v>1</v>
      </c>
      <c r="E19" t="s">
        <v>1127</v>
      </c>
    </row>
    <row r="20" spans="2:5">
      <c r="B20" s="65" t="str">
        <f t="shared" si="0"/>
        <v>doc-1004:2</v>
      </c>
      <c r="C20" t="s">
        <v>9474</v>
      </c>
      <c r="D20">
        <v>2</v>
      </c>
      <c r="E20" t="s">
        <v>2087</v>
      </c>
    </row>
    <row r="21" spans="2:5">
      <c r="B21" s="65" t="str">
        <f t="shared" si="0"/>
        <v>doc-1004:3</v>
      </c>
      <c r="C21" t="s">
        <v>9474</v>
      </c>
      <c r="D21">
        <v>3</v>
      </c>
      <c r="E21" t="s">
        <v>2089</v>
      </c>
    </row>
    <row r="22" spans="2:5">
      <c r="B22" s="65" t="str">
        <f t="shared" si="0"/>
        <v>doc-1004:4</v>
      </c>
      <c r="C22" t="s">
        <v>9474</v>
      </c>
      <c r="D22">
        <v>4</v>
      </c>
      <c r="E22" t="s">
        <v>1547</v>
      </c>
    </row>
    <row r="23" spans="2:5">
      <c r="B23" s="65" t="str">
        <f t="shared" si="0"/>
        <v>doc-1005:1</v>
      </c>
      <c r="C23" t="s">
        <v>9475</v>
      </c>
      <c r="D23">
        <v>1</v>
      </c>
      <c r="E23" t="s">
        <v>2176</v>
      </c>
    </row>
    <row r="24" spans="2:5">
      <c r="B24" s="65" t="str">
        <f t="shared" si="0"/>
        <v>doc-1005:2</v>
      </c>
      <c r="C24" t="s">
        <v>9475</v>
      </c>
      <c r="D24">
        <v>2</v>
      </c>
      <c r="E24" t="s">
        <v>2847</v>
      </c>
    </row>
    <row r="25" spans="2:5">
      <c r="B25" s="65" t="str">
        <f t="shared" si="0"/>
        <v>doc-1005:3</v>
      </c>
      <c r="C25" t="s">
        <v>9475</v>
      </c>
      <c r="D25">
        <v>3</v>
      </c>
      <c r="E25" t="s">
        <v>2121</v>
      </c>
    </row>
    <row r="26" spans="2:5">
      <c r="B26" s="65" t="str">
        <f t="shared" si="0"/>
        <v>doc-1005:4</v>
      </c>
      <c r="C26" t="s">
        <v>9475</v>
      </c>
      <c r="D26">
        <v>4</v>
      </c>
      <c r="E26" t="s">
        <v>2179</v>
      </c>
    </row>
    <row r="27" spans="2:5">
      <c r="B27" s="65" t="str">
        <f t="shared" si="0"/>
        <v>doc-1006a:1</v>
      </c>
      <c r="C27" t="s">
        <v>9476</v>
      </c>
      <c r="D27">
        <v>1</v>
      </c>
      <c r="E27" t="s">
        <v>2173</v>
      </c>
    </row>
    <row r="28" spans="2:5">
      <c r="B28" s="65" t="str">
        <f t="shared" si="0"/>
        <v>doc-1006a:2</v>
      </c>
      <c r="C28" t="s">
        <v>9476</v>
      </c>
      <c r="D28">
        <v>2</v>
      </c>
      <c r="E28" t="s">
        <v>2121</v>
      </c>
    </row>
    <row r="29" spans="2:5">
      <c r="B29" s="65" t="str">
        <f t="shared" si="0"/>
        <v>doc-1006a:3</v>
      </c>
      <c r="C29" t="s">
        <v>9476</v>
      </c>
      <c r="D29">
        <v>3</v>
      </c>
      <c r="E29" t="s">
        <v>1804</v>
      </c>
    </row>
    <row r="30" spans="2:5">
      <c r="B30" s="65" t="str">
        <f t="shared" si="0"/>
        <v>doc-1007:1</v>
      </c>
      <c r="C30" t="s">
        <v>5502</v>
      </c>
      <c r="D30">
        <v>1</v>
      </c>
      <c r="E30" t="s">
        <v>3106</v>
      </c>
    </row>
    <row r="31" spans="2:5">
      <c r="B31" s="65" t="str">
        <f t="shared" si="0"/>
        <v>doc-1007:2</v>
      </c>
      <c r="C31" t="s">
        <v>5502</v>
      </c>
      <c r="D31">
        <v>2</v>
      </c>
      <c r="E31" t="s">
        <v>1165</v>
      </c>
    </row>
    <row r="32" spans="2:5">
      <c r="B32" s="65" t="str">
        <f t="shared" si="0"/>
        <v>doc-1007:3</v>
      </c>
      <c r="C32" t="s">
        <v>5502</v>
      </c>
      <c r="D32">
        <v>3</v>
      </c>
      <c r="E32" t="s">
        <v>2667</v>
      </c>
    </row>
    <row r="33" spans="2:5">
      <c r="B33" s="65" t="str">
        <f t="shared" si="0"/>
        <v>doc-1007:4</v>
      </c>
      <c r="C33" t="s">
        <v>5502</v>
      </c>
      <c r="D33">
        <v>4</v>
      </c>
      <c r="E33" t="s">
        <v>2752</v>
      </c>
    </row>
    <row r="34" spans="2:5">
      <c r="B34" s="65" t="str">
        <f t="shared" si="0"/>
        <v>doc-1008:1</v>
      </c>
      <c r="C34" t="s">
        <v>9477</v>
      </c>
      <c r="D34">
        <v>1</v>
      </c>
      <c r="E34" t="s">
        <v>2176</v>
      </c>
    </row>
    <row r="35" spans="2:5">
      <c r="B35" s="65" t="str">
        <f t="shared" si="0"/>
        <v>doc-1008:2</v>
      </c>
      <c r="C35" t="s">
        <v>9477</v>
      </c>
      <c r="D35">
        <v>2</v>
      </c>
      <c r="E35" t="s">
        <v>2179</v>
      </c>
    </row>
    <row r="36" spans="2:5">
      <c r="B36" s="65" t="str">
        <f t="shared" si="0"/>
        <v>doc-1008:3</v>
      </c>
      <c r="C36" t="s">
        <v>9477</v>
      </c>
      <c r="D36">
        <v>3</v>
      </c>
      <c r="E36" t="s">
        <v>2121</v>
      </c>
    </row>
    <row r="37" spans="2:5">
      <c r="B37" s="65" t="str">
        <f t="shared" si="0"/>
        <v>doc-1009:1</v>
      </c>
      <c r="C37" t="s">
        <v>5536</v>
      </c>
      <c r="D37">
        <v>1</v>
      </c>
      <c r="E37" t="s">
        <v>2176</v>
      </c>
    </row>
    <row r="38" spans="2:5">
      <c r="B38" s="65" t="str">
        <f t="shared" si="0"/>
        <v>doc-1009:2</v>
      </c>
      <c r="C38" t="s">
        <v>5536</v>
      </c>
      <c r="D38">
        <v>2</v>
      </c>
      <c r="E38" t="s">
        <v>2179</v>
      </c>
    </row>
    <row r="39" spans="2:5">
      <c r="B39" s="65" t="str">
        <f t="shared" si="0"/>
        <v>doc-1009:3</v>
      </c>
      <c r="C39" t="s">
        <v>5536</v>
      </c>
      <c r="D39">
        <v>3</v>
      </c>
      <c r="E39" t="s">
        <v>2121</v>
      </c>
    </row>
    <row r="40" spans="2:5">
      <c r="B40" s="65" t="str">
        <f t="shared" si="0"/>
        <v>doc-1010:1</v>
      </c>
      <c r="C40" t="s">
        <v>9478</v>
      </c>
      <c r="D40">
        <v>1</v>
      </c>
      <c r="E40" t="s">
        <v>2889</v>
      </c>
    </row>
    <row r="41" spans="2:5">
      <c r="B41" s="65" t="str">
        <f t="shared" si="0"/>
        <v>doc-1010:2</v>
      </c>
      <c r="C41" t="s">
        <v>9478</v>
      </c>
      <c r="D41">
        <v>2</v>
      </c>
      <c r="E41" t="s">
        <v>2849</v>
      </c>
    </row>
    <row r="42" spans="2:5">
      <c r="B42" s="65" t="str">
        <f t="shared" si="0"/>
        <v>doc-1010:3</v>
      </c>
      <c r="C42" t="s">
        <v>9478</v>
      </c>
      <c r="D42">
        <v>3</v>
      </c>
      <c r="E42" t="s">
        <v>2847</v>
      </c>
    </row>
    <row r="43" spans="2:5">
      <c r="B43" s="65" t="str">
        <f t="shared" si="0"/>
        <v>doc-1010:4</v>
      </c>
      <c r="C43" t="s">
        <v>9478</v>
      </c>
      <c r="D43">
        <v>4</v>
      </c>
      <c r="E43" t="s">
        <v>2884</v>
      </c>
    </row>
    <row r="44" spans="2:5">
      <c r="B44" s="65" t="str">
        <f t="shared" si="0"/>
        <v>doc-1011:1</v>
      </c>
      <c r="C44" t="s">
        <v>9479</v>
      </c>
      <c r="D44">
        <v>1</v>
      </c>
      <c r="E44" t="s">
        <v>2889</v>
      </c>
    </row>
    <row r="45" spans="2:5">
      <c r="B45" s="65" t="str">
        <f t="shared" si="0"/>
        <v>doc-1011:2</v>
      </c>
      <c r="C45" t="s">
        <v>9479</v>
      </c>
      <c r="D45">
        <v>2</v>
      </c>
      <c r="E45" t="s">
        <v>2849</v>
      </c>
    </row>
    <row r="46" spans="2:5">
      <c r="B46" s="65" t="str">
        <f t="shared" si="0"/>
        <v>doc-1011:3</v>
      </c>
      <c r="C46" t="s">
        <v>9479</v>
      </c>
      <c r="D46">
        <v>3</v>
      </c>
      <c r="E46" t="s">
        <v>2847</v>
      </c>
    </row>
    <row r="47" spans="2:5">
      <c r="B47" s="65" t="str">
        <f t="shared" si="0"/>
        <v>doc-1011:4</v>
      </c>
      <c r="C47" t="s">
        <v>9479</v>
      </c>
      <c r="D47">
        <v>4</v>
      </c>
      <c r="E47" t="s">
        <v>2884</v>
      </c>
    </row>
    <row r="48" spans="2:5">
      <c r="B48" s="65" t="str">
        <f t="shared" si="0"/>
        <v>doc-1012a:1</v>
      </c>
      <c r="C48" t="s">
        <v>9480</v>
      </c>
      <c r="D48">
        <v>1</v>
      </c>
      <c r="E48" t="s">
        <v>2173</v>
      </c>
    </row>
    <row r="49" spans="2:5">
      <c r="B49" s="65" t="str">
        <f t="shared" si="0"/>
        <v>doc-1012a:2</v>
      </c>
      <c r="C49" t="s">
        <v>9480</v>
      </c>
      <c r="D49">
        <v>2</v>
      </c>
      <c r="E49" t="s">
        <v>2121</v>
      </c>
    </row>
    <row r="50" spans="2:5">
      <c r="B50" s="65" t="str">
        <f t="shared" si="0"/>
        <v>doc-1012a:3</v>
      </c>
      <c r="C50" t="s">
        <v>9480</v>
      </c>
      <c r="D50">
        <v>3</v>
      </c>
      <c r="E50" t="s">
        <v>1804</v>
      </c>
    </row>
    <row r="51" spans="2:5">
      <c r="B51" s="65" t="str">
        <f t="shared" si="0"/>
        <v>doc-1013:1</v>
      </c>
      <c r="C51" t="s">
        <v>9481</v>
      </c>
      <c r="D51">
        <v>1</v>
      </c>
      <c r="E51" t="s">
        <v>2176</v>
      </c>
    </row>
    <row r="52" spans="2:5">
      <c r="B52" s="65" t="str">
        <f t="shared" si="0"/>
        <v>doc-1013:2</v>
      </c>
      <c r="C52" t="s">
        <v>9481</v>
      </c>
      <c r="D52">
        <v>2</v>
      </c>
      <c r="E52" t="s">
        <v>2179</v>
      </c>
    </row>
    <row r="53" spans="2:5">
      <c r="B53" s="65" t="str">
        <f t="shared" si="0"/>
        <v>doc-1013:3</v>
      </c>
      <c r="C53" t="s">
        <v>9481</v>
      </c>
      <c r="D53">
        <v>3</v>
      </c>
      <c r="E53" t="s">
        <v>2121</v>
      </c>
    </row>
    <row r="54" spans="2:5">
      <c r="B54" s="65" t="str">
        <f t="shared" si="0"/>
        <v>doc-1014:1</v>
      </c>
      <c r="C54" t="s">
        <v>9482</v>
      </c>
      <c r="D54">
        <v>1</v>
      </c>
      <c r="E54" t="s">
        <v>2179</v>
      </c>
    </row>
    <row r="55" spans="2:5">
      <c r="B55" s="65" t="str">
        <f t="shared" si="0"/>
        <v>doc-1014:2</v>
      </c>
      <c r="C55" t="s">
        <v>9482</v>
      </c>
      <c r="D55">
        <v>2</v>
      </c>
      <c r="E55" t="s">
        <v>2121</v>
      </c>
    </row>
    <row r="56" spans="2:5">
      <c r="B56" s="65" t="str">
        <f t="shared" si="0"/>
        <v>doc-1015a:1</v>
      </c>
      <c r="C56" t="s">
        <v>9483</v>
      </c>
      <c r="D56">
        <v>1</v>
      </c>
      <c r="E56" t="s">
        <v>2729</v>
      </c>
    </row>
    <row r="57" spans="2:5">
      <c r="B57" s="65" t="str">
        <f t="shared" si="0"/>
        <v>doc-1015a:2</v>
      </c>
      <c r="C57" t="s">
        <v>9483</v>
      </c>
      <c r="D57">
        <v>2</v>
      </c>
      <c r="E57" t="s">
        <v>2717</v>
      </c>
    </row>
    <row r="58" spans="2:5">
      <c r="B58" s="65" t="str">
        <f t="shared" si="0"/>
        <v>doc-1015a:3</v>
      </c>
      <c r="C58" t="s">
        <v>9483</v>
      </c>
      <c r="D58">
        <v>3</v>
      </c>
      <c r="E58" t="s">
        <v>1911</v>
      </c>
    </row>
    <row r="59" spans="2:5">
      <c r="B59" s="65" t="str">
        <f t="shared" si="0"/>
        <v>doc-1015a:4</v>
      </c>
      <c r="C59" t="s">
        <v>9483</v>
      </c>
      <c r="D59">
        <v>4</v>
      </c>
      <c r="E59" t="s">
        <v>2667</v>
      </c>
    </row>
    <row r="60" spans="2:5">
      <c r="B60" s="65" t="str">
        <f t="shared" si="0"/>
        <v>doc-1016:1</v>
      </c>
      <c r="C60" t="s">
        <v>9484</v>
      </c>
      <c r="D60">
        <v>1</v>
      </c>
      <c r="E60" t="s">
        <v>2023</v>
      </c>
    </row>
    <row r="61" spans="2:5">
      <c r="B61" s="65" t="str">
        <f t="shared" si="0"/>
        <v>doc-1016:2</v>
      </c>
      <c r="C61" t="s">
        <v>9484</v>
      </c>
      <c r="D61">
        <v>2</v>
      </c>
      <c r="E61" t="s">
        <v>2143</v>
      </c>
    </row>
    <row r="62" spans="2:5">
      <c r="B62" s="65" t="str">
        <f t="shared" si="0"/>
        <v>doc-1016:3</v>
      </c>
      <c r="C62" t="s">
        <v>9484</v>
      </c>
      <c r="D62">
        <v>3</v>
      </c>
      <c r="E62" t="s">
        <v>1911</v>
      </c>
    </row>
    <row r="63" spans="2:5">
      <c r="B63" s="65" t="str">
        <f t="shared" si="0"/>
        <v>doc-1016:4</v>
      </c>
      <c r="C63" t="s">
        <v>9484</v>
      </c>
      <c r="D63">
        <v>4</v>
      </c>
      <c r="E63" t="s">
        <v>2121</v>
      </c>
    </row>
    <row r="64" spans="2:5">
      <c r="B64" s="65" t="str">
        <f t="shared" si="0"/>
        <v>doc-1017:1</v>
      </c>
      <c r="C64" t="s">
        <v>9485</v>
      </c>
      <c r="D64">
        <v>1</v>
      </c>
      <c r="E64" t="s">
        <v>2012</v>
      </c>
    </row>
    <row r="65" spans="2:5">
      <c r="B65" s="65" t="str">
        <f t="shared" si="0"/>
        <v>doc-1017:2</v>
      </c>
      <c r="C65" t="s">
        <v>9485</v>
      </c>
      <c r="D65">
        <v>2</v>
      </c>
      <c r="E65" t="s">
        <v>1880</v>
      </c>
    </row>
    <row r="66" spans="2:5">
      <c r="B66" s="65" t="str">
        <f t="shared" si="0"/>
        <v>doc-1017:3</v>
      </c>
      <c r="C66" t="s">
        <v>9485</v>
      </c>
      <c r="D66">
        <v>3</v>
      </c>
      <c r="E66" t="s">
        <v>2983</v>
      </c>
    </row>
    <row r="67" spans="2:5">
      <c r="B67" s="65" t="str">
        <f t="shared" si="0"/>
        <v>doc-1017:4</v>
      </c>
      <c r="C67" t="s">
        <v>9485</v>
      </c>
      <c r="D67">
        <v>4</v>
      </c>
      <c r="E67" t="s">
        <v>1679</v>
      </c>
    </row>
    <row r="68" spans="2:5">
      <c r="B68" s="65" t="str">
        <f t="shared" ref="B68:B131" si="1">$C68&amp;":"&amp;$D68</f>
        <v>doc-1017:5</v>
      </c>
      <c r="C68" t="s">
        <v>9485</v>
      </c>
      <c r="D68">
        <v>5</v>
      </c>
      <c r="E68" t="s">
        <v>1911</v>
      </c>
    </row>
    <row r="69" spans="2:5">
      <c r="B69" s="65" t="str">
        <f t="shared" si="1"/>
        <v>doc-1017:6</v>
      </c>
      <c r="C69" t="s">
        <v>9485</v>
      </c>
      <c r="D69">
        <v>6</v>
      </c>
      <c r="E69" t="s">
        <v>2996</v>
      </c>
    </row>
    <row r="70" spans="2:5">
      <c r="B70" s="65" t="str">
        <f t="shared" si="1"/>
        <v>doc-1017:7</v>
      </c>
      <c r="C70" t="s">
        <v>9485</v>
      </c>
      <c r="D70">
        <v>7</v>
      </c>
      <c r="E70" t="s">
        <v>2667</v>
      </c>
    </row>
    <row r="71" spans="2:5">
      <c r="B71" s="65" t="str">
        <f t="shared" si="1"/>
        <v>doc-1018a:1</v>
      </c>
      <c r="C71" t="s">
        <v>9486</v>
      </c>
      <c r="D71">
        <v>1</v>
      </c>
      <c r="E71" t="s">
        <v>2678</v>
      </c>
    </row>
    <row r="72" spans="2:5">
      <c r="B72" s="65" t="str">
        <f t="shared" si="1"/>
        <v>doc-1018a:2</v>
      </c>
      <c r="C72" t="s">
        <v>9486</v>
      </c>
      <c r="D72">
        <v>2</v>
      </c>
      <c r="E72" t="s">
        <v>2667</v>
      </c>
    </row>
    <row r="73" spans="2:5">
      <c r="B73" s="65" t="str">
        <f t="shared" si="1"/>
        <v>doc-1019a:1</v>
      </c>
      <c r="C73" t="s">
        <v>9487</v>
      </c>
      <c r="D73">
        <v>1</v>
      </c>
      <c r="E73" t="s">
        <v>2717</v>
      </c>
    </row>
    <row r="74" spans="2:5">
      <c r="B74" s="65" t="str">
        <f t="shared" si="1"/>
        <v>doc-1019a:2</v>
      </c>
      <c r="C74" t="s">
        <v>9487</v>
      </c>
      <c r="D74">
        <v>2</v>
      </c>
      <c r="E74" t="s">
        <v>2667</v>
      </c>
    </row>
    <row r="75" spans="2:5">
      <c r="B75" s="65" t="str">
        <f t="shared" si="1"/>
        <v>doc-1020:1</v>
      </c>
      <c r="C75" t="s">
        <v>9488</v>
      </c>
      <c r="D75">
        <v>1</v>
      </c>
      <c r="E75" t="s">
        <v>2983</v>
      </c>
    </row>
    <row r="76" spans="2:5">
      <c r="B76" s="65" t="str">
        <f t="shared" si="1"/>
        <v>doc-1020:2</v>
      </c>
      <c r="C76" t="s">
        <v>9488</v>
      </c>
      <c r="D76">
        <v>2</v>
      </c>
      <c r="E76" t="s">
        <v>2027</v>
      </c>
    </row>
    <row r="77" spans="2:5">
      <c r="B77" s="65" t="str">
        <f t="shared" si="1"/>
        <v>doc-1020:3</v>
      </c>
      <c r="C77" t="s">
        <v>9488</v>
      </c>
      <c r="D77">
        <v>3</v>
      </c>
      <c r="E77" t="s">
        <v>1911</v>
      </c>
    </row>
    <row r="78" spans="2:5">
      <c r="B78" s="65" t="str">
        <f t="shared" si="1"/>
        <v>doc-1020:4</v>
      </c>
      <c r="C78" t="s">
        <v>9488</v>
      </c>
      <c r="D78">
        <v>4</v>
      </c>
      <c r="E78" t="s">
        <v>1810</v>
      </c>
    </row>
    <row r="79" spans="2:5">
      <c r="B79" s="65" t="str">
        <f t="shared" si="1"/>
        <v>doc-1021:1</v>
      </c>
      <c r="C79" t="s">
        <v>9489</v>
      </c>
      <c r="D79">
        <v>1</v>
      </c>
      <c r="E79" t="s">
        <v>2027</v>
      </c>
    </row>
    <row r="80" spans="2:5">
      <c r="B80" s="65" t="str">
        <f t="shared" si="1"/>
        <v>doc-1021:2</v>
      </c>
      <c r="C80" t="s">
        <v>9489</v>
      </c>
      <c r="D80">
        <v>2</v>
      </c>
      <c r="E80" t="s">
        <v>1856</v>
      </c>
    </row>
    <row r="81" spans="2:5">
      <c r="B81" s="65" t="str">
        <f t="shared" si="1"/>
        <v>doc-1022a:1</v>
      </c>
      <c r="C81" t="s">
        <v>9490</v>
      </c>
      <c r="D81">
        <v>1</v>
      </c>
      <c r="E81" t="s">
        <v>2151</v>
      </c>
    </row>
    <row r="82" spans="2:5">
      <c r="B82" s="65" t="str">
        <f t="shared" si="1"/>
        <v>doc-1022a:2</v>
      </c>
      <c r="C82" t="s">
        <v>9490</v>
      </c>
      <c r="D82">
        <v>2</v>
      </c>
      <c r="E82" t="s">
        <v>1905</v>
      </c>
    </row>
    <row r="83" spans="2:5">
      <c r="B83" s="65" t="str">
        <f t="shared" si="1"/>
        <v>doc-1022a:3</v>
      </c>
      <c r="C83" t="s">
        <v>9490</v>
      </c>
      <c r="D83">
        <v>3</v>
      </c>
      <c r="E83" t="s">
        <v>2092</v>
      </c>
    </row>
    <row r="84" spans="2:5">
      <c r="B84" s="65" t="str">
        <f t="shared" si="1"/>
        <v>doc-1022a:4</v>
      </c>
      <c r="C84" t="s">
        <v>9490</v>
      </c>
      <c r="D84">
        <v>4</v>
      </c>
      <c r="E84" t="s">
        <v>2061</v>
      </c>
    </row>
    <row r="85" spans="2:5">
      <c r="B85" s="65" t="str">
        <f t="shared" si="1"/>
        <v>doc-1022a:5</v>
      </c>
      <c r="C85" t="s">
        <v>9490</v>
      </c>
      <c r="D85">
        <v>5</v>
      </c>
      <c r="E85" t="s">
        <v>2137</v>
      </c>
    </row>
    <row r="86" spans="2:5">
      <c r="B86" s="65" t="str">
        <f t="shared" si="1"/>
        <v>doc-1023:1</v>
      </c>
      <c r="C86" t="s">
        <v>9491</v>
      </c>
      <c r="D86">
        <v>1</v>
      </c>
      <c r="E86" t="s">
        <v>2112</v>
      </c>
    </row>
    <row r="87" spans="2:5">
      <c r="B87" s="65" t="str">
        <f t="shared" si="1"/>
        <v>doc-1023:2</v>
      </c>
      <c r="C87" t="s">
        <v>9491</v>
      </c>
      <c r="D87">
        <v>2</v>
      </c>
      <c r="E87" t="s">
        <v>1905</v>
      </c>
    </row>
    <row r="88" spans="2:5">
      <c r="B88" s="65" t="str">
        <f t="shared" si="1"/>
        <v>doc-1023:3</v>
      </c>
      <c r="C88" t="s">
        <v>9491</v>
      </c>
      <c r="D88">
        <v>3</v>
      </c>
      <c r="E88" t="s">
        <v>2061</v>
      </c>
    </row>
    <row r="89" spans="2:5">
      <c r="B89" s="65" t="str">
        <f t="shared" si="1"/>
        <v>doc-1023:4</v>
      </c>
      <c r="C89" t="s">
        <v>9491</v>
      </c>
      <c r="D89">
        <v>4</v>
      </c>
      <c r="E89" t="s">
        <v>2092</v>
      </c>
    </row>
    <row r="90" spans="2:5">
      <c r="B90" s="65" t="str">
        <f t="shared" si="1"/>
        <v>doc-1023:5</v>
      </c>
      <c r="C90" t="s">
        <v>9491</v>
      </c>
      <c r="D90">
        <v>5</v>
      </c>
      <c r="E90" t="s">
        <v>2003</v>
      </c>
    </row>
    <row r="91" spans="2:5">
      <c r="B91" s="65" t="str">
        <f t="shared" si="1"/>
        <v>doc-1023:6</v>
      </c>
      <c r="C91" t="s">
        <v>9491</v>
      </c>
      <c r="D91">
        <v>6</v>
      </c>
      <c r="E91" t="s">
        <v>2137</v>
      </c>
    </row>
    <row r="92" spans="2:5">
      <c r="B92" s="65" t="str">
        <f t="shared" si="1"/>
        <v>doc-1024:1</v>
      </c>
      <c r="C92" t="s">
        <v>9492</v>
      </c>
      <c r="D92">
        <v>1</v>
      </c>
      <c r="E92" t="s">
        <v>2059</v>
      </c>
    </row>
    <row r="93" spans="2:5">
      <c r="B93" s="65" t="str">
        <f t="shared" si="1"/>
        <v>doc-1024:2</v>
      </c>
      <c r="C93" t="s">
        <v>9492</v>
      </c>
      <c r="D93">
        <v>2</v>
      </c>
      <c r="E93" t="s">
        <v>2092</v>
      </c>
    </row>
    <row r="94" spans="2:5">
      <c r="B94" s="65" t="str">
        <f t="shared" si="1"/>
        <v>doc-1024:3</v>
      </c>
      <c r="C94" t="s">
        <v>9492</v>
      </c>
      <c r="D94">
        <v>3</v>
      </c>
      <c r="E94" t="s">
        <v>2137</v>
      </c>
    </row>
    <row r="95" spans="2:5">
      <c r="B95" s="65" t="str">
        <f t="shared" si="1"/>
        <v>doc-1025:1</v>
      </c>
      <c r="C95" t="s">
        <v>9493</v>
      </c>
      <c r="D95">
        <v>1</v>
      </c>
      <c r="E95" t="s">
        <v>2411</v>
      </c>
    </row>
    <row r="96" spans="2:5">
      <c r="B96" s="65" t="str">
        <f t="shared" si="1"/>
        <v>doc-1025:2</v>
      </c>
      <c r="C96" t="s">
        <v>9493</v>
      </c>
      <c r="D96">
        <v>2</v>
      </c>
      <c r="E96" t="s">
        <v>2414</v>
      </c>
    </row>
    <row r="97" spans="2:5">
      <c r="B97" s="65" t="str">
        <f t="shared" si="1"/>
        <v>doc-1026:1</v>
      </c>
      <c r="C97" t="s">
        <v>9494</v>
      </c>
      <c r="D97">
        <v>1</v>
      </c>
      <c r="E97" t="s">
        <v>2397</v>
      </c>
    </row>
    <row r="98" spans="2:5">
      <c r="B98" s="65" t="str">
        <f t="shared" si="1"/>
        <v>doc-1026:2</v>
      </c>
      <c r="C98" t="s">
        <v>9494</v>
      </c>
      <c r="D98">
        <v>2</v>
      </c>
      <c r="E98" t="s">
        <v>1841</v>
      </c>
    </row>
    <row r="99" spans="2:5">
      <c r="B99" s="65" t="str">
        <f t="shared" si="1"/>
        <v>doc-1026:3</v>
      </c>
      <c r="C99" t="s">
        <v>9494</v>
      </c>
      <c r="D99">
        <v>3</v>
      </c>
      <c r="E99" t="s">
        <v>2009</v>
      </c>
    </row>
    <row r="100" spans="2:5">
      <c r="B100" s="65" t="str">
        <f t="shared" si="1"/>
        <v>doc-1026:4</v>
      </c>
      <c r="C100" t="s">
        <v>9494</v>
      </c>
      <c r="D100">
        <v>4</v>
      </c>
      <c r="E100" t="s">
        <v>2799</v>
      </c>
    </row>
    <row r="101" spans="2:5">
      <c r="B101" s="65" t="str">
        <f t="shared" si="1"/>
        <v>doc-1028:1</v>
      </c>
      <c r="C101" t="s">
        <v>9495</v>
      </c>
      <c r="D101">
        <v>1</v>
      </c>
      <c r="E101" t="s">
        <v>1941</v>
      </c>
    </row>
    <row r="102" spans="2:5">
      <c r="B102" s="65" t="str">
        <f t="shared" si="1"/>
        <v>doc-1028:2</v>
      </c>
      <c r="C102" t="s">
        <v>9495</v>
      </c>
      <c r="D102">
        <v>2</v>
      </c>
      <c r="E102" t="s">
        <v>1844</v>
      </c>
    </row>
    <row r="103" spans="2:5">
      <c r="B103" s="65" t="str">
        <f t="shared" si="1"/>
        <v>doc-1028:3</v>
      </c>
      <c r="C103" t="s">
        <v>9495</v>
      </c>
      <c r="D103">
        <v>3</v>
      </c>
      <c r="E103" t="s">
        <v>2411</v>
      </c>
    </row>
    <row r="104" spans="2:5">
      <c r="B104" s="65" t="str">
        <f t="shared" si="1"/>
        <v>doc-1029a:1</v>
      </c>
      <c r="C104" t="s">
        <v>9496</v>
      </c>
      <c r="D104">
        <v>1</v>
      </c>
      <c r="E104" t="s">
        <v>1363</v>
      </c>
    </row>
    <row r="105" spans="2:5">
      <c r="B105" s="65" t="str">
        <f t="shared" si="1"/>
        <v>doc-1029a:2</v>
      </c>
      <c r="C105" t="s">
        <v>9496</v>
      </c>
      <c r="D105">
        <v>2</v>
      </c>
      <c r="E105" t="s">
        <v>1388</v>
      </c>
    </row>
    <row r="106" spans="2:5">
      <c r="B106" s="65" t="str">
        <f t="shared" si="1"/>
        <v>doc-1029a:3</v>
      </c>
      <c r="C106" t="s">
        <v>9496</v>
      </c>
      <c r="D106">
        <v>3</v>
      </c>
      <c r="E106" t="s">
        <v>2367</v>
      </c>
    </row>
    <row r="107" spans="2:5">
      <c r="B107" s="65" t="str">
        <f t="shared" si="1"/>
        <v>doc-1029b:1</v>
      </c>
      <c r="C107" t="s">
        <v>9497</v>
      </c>
      <c r="D107">
        <v>1</v>
      </c>
      <c r="E107" t="s">
        <v>1388</v>
      </c>
    </row>
    <row r="108" spans="2:5">
      <c r="B108" s="65" t="str">
        <f t="shared" si="1"/>
        <v>doc-1029b:2</v>
      </c>
      <c r="C108" t="s">
        <v>9497</v>
      </c>
      <c r="D108">
        <v>2</v>
      </c>
      <c r="E108" t="s">
        <v>2367</v>
      </c>
    </row>
    <row r="109" spans="2:5">
      <c r="B109" s="65" t="str">
        <f t="shared" si="1"/>
        <v>doc-1029b:3</v>
      </c>
      <c r="C109" t="s">
        <v>9497</v>
      </c>
      <c r="D109">
        <v>3</v>
      </c>
      <c r="E109" t="s">
        <v>1363</v>
      </c>
    </row>
    <row r="110" spans="2:5">
      <c r="B110" s="65" t="str">
        <f t="shared" si="1"/>
        <v>doc-1030:1</v>
      </c>
      <c r="C110" t="s">
        <v>9498</v>
      </c>
      <c r="D110">
        <v>1</v>
      </c>
      <c r="E110" t="s">
        <v>2411</v>
      </c>
    </row>
    <row r="111" spans="2:5">
      <c r="B111" s="65" t="str">
        <f t="shared" si="1"/>
        <v>doc-1030:2</v>
      </c>
      <c r="C111" t="s">
        <v>9498</v>
      </c>
      <c r="D111">
        <v>2</v>
      </c>
      <c r="E111" t="s">
        <v>2414</v>
      </c>
    </row>
    <row r="112" spans="2:5">
      <c r="B112" s="65" t="str">
        <f t="shared" si="1"/>
        <v>doc-1031:1</v>
      </c>
      <c r="C112" t="s">
        <v>9499</v>
      </c>
      <c r="D112">
        <v>1</v>
      </c>
      <c r="E112" t="s">
        <v>1944</v>
      </c>
    </row>
    <row r="113" spans="2:5">
      <c r="B113" s="65" t="str">
        <f t="shared" si="1"/>
        <v>doc-1031:2</v>
      </c>
      <c r="C113" t="s">
        <v>9499</v>
      </c>
      <c r="D113">
        <v>2</v>
      </c>
      <c r="E113" t="s">
        <v>1844</v>
      </c>
    </row>
    <row r="114" spans="2:5">
      <c r="B114" s="65" t="str">
        <f t="shared" si="1"/>
        <v>doc-1031:3</v>
      </c>
      <c r="C114" t="s">
        <v>9499</v>
      </c>
      <c r="D114">
        <v>3</v>
      </c>
      <c r="E114" t="s">
        <v>1941</v>
      </c>
    </row>
    <row r="115" spans="2:5">
      <c r="B115" s="65" t="str">
        <f t="shared" si="1"/>
        <v>doc-1032:1</v>
      </c>
      <c r="C115" t="s">
        <v>9500</v>
      </c>
      <c r="D115">
        <v>1</v>
      </c>
      <c r="E115" t="s">
        <v>2411</v>
      </c>
    </row>
    <row r="116" spans="2:5">
      <c r="B116" s="65" t="str">
        <f t="shared" si="1"/>
        <v>doc-1032:2</v>
      </c>
      <c r="C116" t="s">
        <v>9500</v>
      </c>
      <c r="D116">
        <v>2</v>
      </c>
      <c r="E116" t="s">
        <v>1941</v>
      </c>
    </row>
    <row r="117" spans="2:5">
      <c r="B117" s="65" t="str">
        <f t="shared" si="1"/>
        <v>doc-1032:3</v>
      </c>
      <c r="C117" t="s">
        <v>9500</v>
      </c>
      <c r="D117">
        <v>3</v>
      </c>
      <c r="E117" t="s">
        <v>2407</v>
      </c>
    </row>
    <row r="118" spans="2:5">
      <c r="B118" s="65" t="str">
        <f t="shared" si="1"/>
        <v>doc-1033:1</v>
      </c>
      <c r="C118" t="s">
        <v>9501</v>
      </c>
      <c r="D118">
        <v>1</v>
      </c>
      <c r="E118" t="s">
        <v>2411</v>
      </c>
    </row>
    <row r="119" spans="2:5">
      <c r="B119" s="65" t="str">
        <f t="shared" si="1"/>
        <v>doc-1033:2</v>
      </c>
      <c r="C119" t="s">
        <v>9501</v>
      </c>
      <c r="D119">
        <v>2</v>
      </c>
      <c r="E119" t="s">
        <v>1941</v>
      </c>
    </row>
    <row r="120" spans="2:5">
      <c r="B120" s="65" t="str">
        <f t="shared" si="1"/>
        <v>doc-1033:3</v>
      </c>
      <c r="C120" t="s">
        <v>9501</v>
      </c>
      <c r="D120">
        <v>3</v>
      </c>
      <c r="E120" t="s">
        <v>2407</v>
      </c>
    </row>
    <row r="121" spans="2:5">
      <c r="B121" s="65" t="str">
        <f t="shared" si="1"/>
        <v>doc-1034:1</v>
      </c>
      <c r="C121" t="s">
        <v>5509</v>
      </c>
      <c r="D121">
        <v>1</v>
      </c>
      <c r="E121" t="s">
        <v>2302</v>
      </c>
    </row>
    <row r="122" spans="2:5">
      <c r="B122" s="65" t="str">
        <f t="shared" si="1"/>
        <v>doc-1034:2</v>
      </c>
      <c r="C122" t="s">
        <v>5509</v>
      </c>
      <c r="D122">
        <v>2</v>
      </c>
      <c r="E122" t="s">
        <v>1395</v>
      </c>
    </row>
    <row r="123" spans="2:5">
      <c r="B123" s="65" t="str">
        <f t="shared" si="1"/>
        <v>doc-1034:3</v>
      </c>
      <c r="C123" t="s">
        <v>5509</v>
      </c>
      <c r="D123">
        <v>3</v>
      </c>
      <c r="E123" t="s">
        <v>1437</v>
      </c>
    </row>
    <row r="124" spans="2:5">
      <c r="B124" s="65" t="str">
        <f t="shared" si="1"/>
        <v>doc-1034:4</v>
      </c>
      <c r="C124" t="s">
        <v>5509</v>
      </c>
      <c r="D124">
        <v>4</v>
      </c>
      <c r="E124" t="s">
        <v>1349</v>
      </c>
    </row>
    <row r="125" spans="2:5">
      <c r="B125" s="65" t="str">
        <f t="shared" si="1"/>
        <v>doc-1034:5</v>
      </c>
      <c r="C125" t="s">
        <v>5509</v>
      </c>
      <c r="D125">
        <v>5</v>
      </c>
      <c r="E125" t="s">
        <v>281</v>
      </c>
    </row>
    <row r="126" spans="2:5">
      <c r="B126" s="65" t="str">
        <f t="shared" si="1"/>
        <v>doc-1035:1</v>
      </c>
      <c r="C126" t="s">
        <v>9502</v>
      </c>
      <c r="D126">
        <v>1</v>
      </c>
      <c r="E126" t="s">
        <v>73</v>
      </c>
    </row>
    <row r="127" spans="2:5">
      <c r="B127" s="65" t="str">
        <f t="shared" si="1"/>
        <v>doc-1035:2</v>
      </c>
      <c r="C127" t="s">
        <v>9502</v>
      </c>
      <c r="D127">
        <v>2</v>
      </c>
      <c r="E127" t="s">
        <v>87</v>
      </c>
    </row>
    <row r="128" spans="2:5">
      <c r="B128" s="65" t="str">
        <f t="shared" si="1"/>
        <v>doc-1035:3</v>
      </c>
      <c r="C128" t="s">
        <v>9502</v>
      </c>
      <c r="D128">
        <v>3</v>
      </c>
      <c r="E128" t="s">
        <v>1467</v>
      </c>
    </row>
    <row r="129" spans="2:5">
      <c r="B129" s="65" t="str">
        <f t="shared" si="1"/>
        <v>doc-1035:4</v>
      </c>
      <c r="C129" t="s">
        <v>9502</v>
      </c>
      <c r="D129">
        <v>4</v>
      </c>
      <c r="E129" t="s">
        <v>90</v>
      </c>
    </row>
    <row r="130" spans="2:5">
      <c r="B130" s="65" t="str">
        <f t="shared" si="1"/>
        <v>doc-1035:5</v>
      </c>
      <c r="C130" t="s">
        <v>9502</v>
      </c>
      <c r="D130">
        <v>5</v>
      </c>
      <c r="E130" t="s">
        <v>2967</v>
      </c>
    </row>
    <row r="131" spans="2:5">
      <c r="B131" s="65" t="str">
        <f t="shared" si="1"/>
        <v>doc-1035:6</v>
      </c>
      <c r="C131" t="s">
        <v>9502</v>
      </c>
      <c r="D131">
        <v>6</v>
      </c>
      <c r="E131" t="s">
        <v>1349</v>
      </c>
    </row>
    <row r="132" spans="2:5">
      <c r="B132" s="65" t="str">
        <f t="shared" ref="B132:B195" si="2">$C132&amp;":"&amp;$D132</f>
        <v>doc-1035:7</v>
      </c>
      <c r="C132" t="s">
        <v>9502</v>
      </c>
      <c r="D132">
        <v>7</v>
      </c>
      <c r="E132" t="s">
        <v>1395</v>
      </c>
    </row>
    <row r="133" spans="2:5">
      <c r="B133" s="65" t="str">
        <f t="shared" si="2"/>
        <v>doc-1035:8</v>
      </c>
      <c r="C133" t="s">
        <v>9502</v>
      </c>
      <c r="D133">
        <v>8</v>
      </c>
      <c r="E133" t="s">
        <v>281</v>
      </c>
    </row>
    <row r="134" spans="2:5">
      <c r="B134" s="65" t="str">
        <f t="shared" si="2"/>
        <v>doc-1035:9</v>
      </c>
      <c r="C134" t="s">
        <v>9502</v>
      </c>
      <c r="D134">
        <v>9</v>
      </c>
      <c r="E134" t="s">
        <v>2310</v>
      </c>
    </row>
    <row r="135" spans="2:5">
      <c r="B135" s="65" t="str">
        <f t="shared" si="2"/>
        <v>doc-1037:1</v>
      </c>
      <c r="C135" t="s">
        <v>9503</v>
      </c>
      <c r="D135">
        <v>1</v>
      </c>
      <c r="E135" t="s">
        <v>2435</v>
      </c>
    </row>
    <row r="136" spans="2:5">
      <c r="B136" s="65" t="str">
        <f t="shared" si="2"/>
        <v>doc-1037:2</v>
      </c>
      <c r="C136" t="s">
        <v>9503</v>
      </c>
      <c r="D136">
        <v>2</v>
      </c>
      <c r="E136" t="s">
        <v>2501</v>
      </c>
    </row>
    <row r="137" spans="2:5">
      <c r="B137" s="65" t="str">
        <f t="shared" si="2"/>
        <v>doc-1037:3</v>
      </c>
      <c r="C137" t="s">
        <v>9503</v>
      </c>
      <c r="D137">
        <v>3</v>
      </c>
      <c r="E137" t="s">
        <v>2422</v>
      </c>
    </row>
    <row r="138" spans="2:5">
      <c r="B138" s="65" t="str">
        <f t="shared" si="2"/>
        <v>doc-1038:1</v>
      </c>
      <c r="C138" t="s">
        <v>9504</v>
      </c>
      <c r="D138">
        <v>1</v>
      </c>
      <c r="E138" t="s">
        <v>2501</v>
      </c>
    </row>
    <row r="139" spans="2:5">
      <c r="B139" s="65" t="str">
        <f t="shared" si="2"/>
        <v>doc-1038:2</v>
      </c>
      <c r="C139" t="s">
        <v>9504</v>
      </c>
      <c r="D139">
        <v>2</v>
      </c>
      <c r="E139" t="s">
        <v>2435</v>
      </c>
    </row>
    <row r="140" spans="2:5">
      <c r="B140" s="65" t="str">
        <f t="shared" si="2"/>
        <v>doc-1038:3</v>
      </c>
      <c r="C140" t="s">
        <v>9504</v>
      </c>
      <c r="D140">
        <v>3</v>
      </c>
      <c r="E140" t="s">
        <v>2422</v>
      </c>
    </row>
    <row r="141" spans="2:5">
      <c r="B141" s="65" t="str">
        <f t="shared" si="2"/>
        <v>doc-1039a:1</v>
      </c>
      <c r="C141" t="s">
        <v>9505</v>
      </c>
      <c r="D141">
        <v>1</v>
      </c>
      <c r="E141" t="s">
        <v>2261</v>
      </c>
    </row>
    <row r="142" spans="2:5">
      <c r="B142" s="65" t="str">
        <f t="shared" si="2"/>
        <v>doc-1039a:2</v>
      </c>
      <c r="C142" t="s">
        <v>9505</v>
      </c>
      <c r="D142">
        <v>2</v>
      </c>
      <c r="E142" t="s">
        <v>2422</v>
      </c>
    </row>
    <row r="143" spans="2:5">
      <c r="B143" s="65" t="str">
        <f t="shared" si="2"/>
        <v>doc-1040:1</v>
      </c>
      <c r="C143" t="s">
        <v>9506</v>
      </c>
      <c r="D143">
        <v>1</v>
      </c>
      <c r="E143" t="s">
        <v>92</v>
      </c>
    </row>
    <row r="144" spans="2:5">
      <c r="B144" s="65" t="str">
        <f t="shared" si="2"/>
        <v>doc-1040:2</v>
      </c>
      <c r="C144" t="s">
        <v>9506</v>
      </c>
      <c r="D144">
        <v>2</v>
      </c>
      <c r="E144" t="s">
        <v>101</v>
      </c>
    </row>
    <row r="145" spans="2:5">
      <c r="B145" s="65" t="str">
        <f t="shared" si="2"/>
        <v>doc-1040:3</v>
      </c>
      <c r="C145" t="s">
        <v>9506</v>
      </c>
      <c r="D145">
        <v>3</v>
      </c>
      <c r="E145" t="s">
        <v>85</v>
      </c>
    </row>
    <row r="146" spans="2:5">
      <c r="B146" s="65" t="str">
        <f t="shared" si="2"/>
        <v>doc-1040:4</v>
      </c>
      <c r="C146" t="s">
        <v>9506</v>
      </c>
      <c r="D146">
        <v>4</v>
      </c>
      <c r="E146" t="s">
        <v>1343</v>
      </c>
    </row>
    <row r="147" spans="2:5">
      <c r="B147" s="65" t="str">
        <f t="shared" si="2"/>
        <v>doc-1041:1</v>
      </c>
      <c r="C147" t="s">
        <v>9507</v>
      </c>
      <c r="D147">
        <v>1</v>
      </c>
      <c r="E147" t="s">
        <v>2003</v>
      </c>
    </row>
    <row r="148" spans="2:5">
      <c r="B148" s="65" t="str">
        <f t="shared" si="2"/>
        <v>doc-1041:2</v>
      </c>
      <c r="C148" t="s">
        <v>9507</v>
      </c>
      <c r="D148">
        <v>2</v>
      </c>
      <c r="E148" t="s">
        <v>1854</v>
      </c>
    </row>
    <row r="149" spans="2:5">
      <c r="B149" s="65" t="str">
        <f t="shared" si="2"/>
        <v>doc-1041:3</v>
      </c>
      <c r="C149" t="s">
        <v>9507</v>
      </c>
      <c r="D149">
        <v>3</v>
      </c>
      <c r="E149" t="s">
        <v>1968</v>
      </c>
    </row>
    <row r="150" spans="2:5">
      <c r="B150" s="65" t="str">
        <f t="shared" si="2"/>
        <v>doc-1041:4</v>
      </c>
      <c r="C150" t="s">
        <v>9507</v>
      </c>
      <c r="D150">
        <v>4</v>
      </c>
      <c r="E150" t="s">
        <v>85</v>
      </c>
    </row>
    <row r="151" spans="2:5">
      <c r="B151" s="65" t="str">
        <f t="shared" si="2"/>
        <v>doc-1041:5</v>
      </c>
      <c r="C151" t="s">
        <v>9507</v>
      </c>
      <c r="D151">
        <v>5</v>
      </c>
      <c r="E151" t="s">
        <v>101</v>
      </c>
    </row>
    <row r="152" spans="2:5">
      <c r="B152" s="65" t="str">
        <f t="shared" si="2"/>
        <v>doc-1041:6</v>
      </c>
      <c r="C152" t="s">
        <v>9507</v>
      </c>
      <c r="D152">
        <v>6</v>
      </c>
      <c r="E152" t="s">
        <v>92</v>
      </c>
    </row>
    <row r="153" spans="2:5">
      <c r="B153" s="65" t="str">
        <f t="shared" si="2"/>
        <v>doc-1042a:1</v>
      </c>
      <c r="C153" t="s">
        <v>9508</v>
      </c>
      <c r="D153">
        <v>1</v>
      </c>
      <c r="E153" t="s">
        <v>2926</v>
      </c>
    </row>
    <row r="154" spans="2:5">
      <c r="B154" s="65" t="str">
        <f t="shared" si="2"/>
        <v>doc-1042a:2</v>
      </c>
      <c r="C154" t="s">
        <v>9508</v>
      </c>
      <c r="D154">
        <v>2</v>
      </c>
      <c r="E154" t="s">
        <v>299</v>
      </c>
    </row>
    <row r="155" spans="2:5">
      <c r="B155" s="65" t="str">
        <f t="shared" si="2"/>
        <v>doc-1043a:1</v>
      </c>
      <c r="C155" t="s">
        <v>9509</v>
      </c>
      <c r="D155">
        <v>1</v>
      </c>
      <c r="E155" t="s">
        <v>2933</v>
      </c>
    </row>
    <row r="156" spans="2:5">
      <c r="B156" s="65" t="str">
        <f t="shared" si="2"/>
        <v>doc-1043a:2</v>
      </c>
      <c r="C156" t="s">
        <v>9509</v>
      </c>
      <c r="D156">
        <v>2</v>
      </c>
      <c r="E156" t="s">
        <v>299</v>
      </c>
    </row>
    <row r="157" spans="2:5">
      <c r="B157" s="65" t="str">
        <f t="shared" si="2"/>
        <v>doc-1043a:3</v>
      </c>
      <c r="C157" t="s">
        <v>9509</v>
      </c>
      <c r="D157">
        <v>3</v>
      </c>
      <c r="E157" t="s">
        <v>2939</v>
      </c>
    </row>
    <row r="158" spans="2:5">
      <c r="B158" s="65" t="str">
        <f t="shared" si="2"/>
        <v>doc-1043a:4</v>
      </c>
      <c r="C158" t="s">
        <v>9509</v>
      </c>
      <c r="D158">
        <v>4</v>
      </c>
      <c r="E158" t="s">
        <v>1417</v>
      </c>
    </row>
    <row r="159" spans="2:5">
      <c r="B159" s="65" t="str">
        <f t="shared" si="2"/>
        <v>doc-1044a:1</v>
      </c>
      <c r="C159" t="s">
        <v>9510</v>
      </c>
      <c r="D159">
        <v>1</v>
      </c>
      <c r="E159" t="s">
        <v>1321</v>
      </c>
    </row>
    <row r="160" spans="2:5">
      <c r="B160" s="65" t="str">
        <f t="shared" si="2"/>
        <v>doc-1044a:2</v>
      </c>
      <c r="C160" t="s">
        <v>9510</v>
      </c>
      <c r="D160">
        <v>2</v>
      </c>
      <c r="E160" t="s">
        <v>299</v>
      </c>
    </row>
    <row r="161" spans="2:5">
      <c r="B161" s="65" t="str">
        <f t="shared" si="2"/>
        <v>doc-1045a:1</v>
      </c>
      <c r="C161" t="s">
        <v>9511</v>
      </c>
      <c r="D161">
        <v>1</v>
      </c>
      <c r="E161" t="s">
        <v>2952</v>
      </c>
    </row>
    <row r="162" spans="2:5">
      <c r="B162" s="65" t="str">
        <f t="shared" si="2"/>
        <v>doc-1045a:2</v>
      </c>
      <c r="C162" t="s">
        <v>9511</v>
      </c>
      <c r="D162">
        <v>2</v>
      </c>
      <c r="E162" t="s">
        <v>1286</v>
      </c>
    </row>
    <row r="163" spans="2:5">
      <c r="B163" s="65" t="str">
        <f t="shared" si="2"/>
        <v>doc-1045a:3</v>
      </c>
      <c r="C163" t="s">
        <v>9511</v>
      </c>
      <c r="D163">
        <v>3</v>
      </c>
      <c r="E163" t="s">
        <v>254</v>
      </c>
    </row>
    <row r="164" spans="2:5">
      <c r="B164" s="65" t="str">
        <f t="shared" si="2"/>
        <v>doc-1045a:4</v>
      </c>
      <c r="C164" t="s">
        <v>9511</v>
      </c>
      <c r="D164">
        <v>4</v>
      </c>
      <c r="E164" t="s">
        <v>299</v>
      </c>
    </row>
    <row r="165" spans="2:5">
      <c r="B165" s="65" t="str">
        <f t="shared" si="2"/>
        <v>doc-1046a:1</v>
      </c>
      <c r="C165" t="s">
        <v>9512</v>
      </c>
      <c r="D165">
        <v>1</v>
      </c>
      <c r="E165" t="s">
        <v>2930</v>
      </c>
    </row>
    <row r="166" spans="2:5">
      <c r="B166" s="65" t="str">
        <f t="shared" si="2"/>
        <v>doc-1046a:2</v>
      </c>
      <c r="C166" t="s">
        <v>9512</v>
      </c>
      <c r="D166">
        <v>2</v>
      </c>
      <c r="E166" t="s">
        <v>299</v>
      </c>
    </row>
    <row r="167" spans="2:5">
      <c r="B167" s="65" t="str">
        <f t="shared" si="2"/>
        <v>doc-1046a:3</v>
      </c>
      <c r="C167" t="s">
        <v>9512</v>
      </c>
      <c r="D167">
        <v>3</v>
      </c>
      <c r="E167" t="s">
        <v>2967</v>
      </c>
    </row>
    <row r="168" spans="2:5">
      <c r="B168" s="65" t="str">
        <f t="shared" si="2"/>
        <v>doc-1046a:4</v>
      </c>
      <c r="C168" t="s">
        <v>9512</v>
      </c>
      <c r="D168">
        <v>4</v>
      </c>
      <c r="E168" t="s">
        <v>254</v>
      </c>
    </row>
    <row r="169" spans="2:5">
      <c r="B169" s="65" t="str">
        <f t="shared" si="2"/>
        <v>doc-1047a:1</v>
      </c>
      <c r="C169" t="s">
        <v>9513</v>
      </c>
      <c r="D169">
        <v>1</v>
      </c>
      <c r="E169" t="s">
        <v>1224</v>
      </c>
    </row>
    <row r="170" spans="2:5">
      <c r="B170" s="65" t="str">
        <f t="shared" si="2"/>
        <v>doc-1047a:2</v>
      </c>
      <c r="C170" t="s">
        <v>9513</v>
      </c>
      <c r="D170">
        <v>2</v>
      </c>
      <c r="E170" t="s">
        <v>1216</v>
      </c>
    </row>
    <row r="171" spans="2:5">
      <c r="B171" s="65" t="str">
        <f t="shared" si="2"/>
        <v>doc-1047a:3</v>
      </c>
      <c r="C171" t="s">
        <v>9513</v>
      </c>
      <c r="D171">
        <v>3</v>
      </c>
      <c r="E171" t="s">
        <v>1757</v>
      </c>
    </row>
    <row r="172" spans="2:5">
      <c r="B172" s="65" t="str">
        <f t="shared" si="2"/>
        <v>doc-1048a:1</v>
      </c>
      <c r="C172" t="s">
        <v>9514</v>
      </c>
      <c r="D172">
        <v>1</v>
      </c>
      <c r="E172" t="s">
        <v>1224</v>
      </c>
    </row>
    <row r="173" spans="2:5">
      <c r="B173" s="65" t="str">
        <f t="shared" si="2"/>
        <v>doc-1048a:2</v>
      </c>
      <c r="C173" t="s">
        <v>9514</v>
      </c>
      <c r="D173">
        <v>2</v>
      </c>
      <c r="E173" t="s">
        <v>1216</v>
      </c>
    </row>
    <row r="174" spans="2:5">
      <c r="B174" s="65" t="str">
        <f t="shared" si="2"/>
        <v>doc-1048a:3</v>
      </c>
      <c r="C174" t="s">
        <v>9514</v>
      </c>
      <c r="D174">
        <v>3</v>
      </c>
      <c r="E174" t="s">
        <v>1757</v>
      </c>
    </row>
    <row r="175" spans="2:5">
      <c r="B175" s="65" t="str">
        <f t="shared" si="2"/>
        <v>doc-1049a:1</v>
      </c>
      <c r="C175" t="s">
        <v>9515</v>
      </c>
      <c r="D175">
        <v>1</v>
      </c>
      <c r="E175" t="s">
        <v>1224</v>
      </c>
    </row>
    <row r="176" spans="2:5">
      <c r="B176" s="65" t="str">
        <f t="shared" si="2"/>
        <v>doc-1049a:2</v>
      </c>
      <c r="C176" t="s">
        <v>9515</v>
      </c>
      <c r="D176">
        <v>2</v>
      </c>
      <c r="E176" t="s">
        <v>3061</v>
      </c>
    </row>
    <row r="177" spans="2:5">
      <c r="B177" s="65" t="str">
        <f t="shared" si="2"/>
        <v>doc-1050a:1</v>
      </c>
      <c r="C177" t="s">
        <v>9516</v>
      </c>
      <c r="D177">
        <v>1</v>
      </c>
      <c r="E177" t="s">
        <v>1227</v>
      </c>
    </row>
    <row r="178" spans="2:5">
      <c r="B178" s="65" t="str">
        <f t="shared" si="2"/>
        <v>doc-1050a:2</v>
      </c>
      <c r="C178" t="s">
        <v>9516</v>
      </c>
      <c r="D178">
        <v>2</v>
      </c>
      <c r="E178" t="s">
        <v>1078</v>
      </c>
    </row>
    <row r="179" spans="2:5">
      <c r="B179" s="65" t="str">
        <f t="shared" si="2"/>
        <v>doc-1050a:3</v>
      </c>
      <c r="C179" t="s">
        <v>9516</v>
      </c>
      <c r="D179">
        <v>3</v>
      </c>
      <c r="E179" t="s">
        <v>1561</v>
      </c>
    </row>
    <row r="180" spans="2:5">
      <c r="B180" s="65" t="str">
        <f t="shared" si="2"/>
        <v>doc-1050a:4</v>
      </c>
      <c r="C180" t="s">
        <v>9516</v>
      </c>
      <c r="D180">
        <v>4</v>
      </c>
      <c r="E180" t="s">
        <v>1203</v>
      </c>
    </row>
    <row r="181" spans="2:5">
      <c r="B181" s="65" t="str">
        <f t="shared" si="2"/>
        <v>doc-1050a:5</v>
      </c>
      <c r="C181" t="s">
        <v>9516</v>
      </c>
      <c r="D181">
        <v>5</v>
      </c>
      <c r="E181" t="s">
        <v>1221</v>
      </c>
    </row>
    <row r="182" spans="2:5">
      <c r="B182" s="65" t="str">
        <f t="shared" si="2"/>
        <v>doc-1051:1</v>
      </c>
      <c r="C182" t="s">
        <v>9517</v>
      </c>
      <c r="D182">
        <v>1</v>
      </c>
      <c r="E182" t="s">
        <v>2197</v>
      </c>
    </row>
    <row r="183" spans="2:5">
      <c r="B183" s="65" t="str">
        <f t="shared" si="2"/>
        <v>doc-1051:2</v>
      </c>
      <c r="C183" t="s">
        <v>9517</v>
      </c>
      <c r="D183">
        <v>2</v>
      </c>
      <c r="E183" t="s">
        <v>82</v>
      </c>
    </row>
    <row r="184" spans="2:5">
      <c r="B184" s="65" t="str">
        <f t="shared" si="2"/>
        <v>doc-1051:3</v>
      </c>
      <c r="C184" t="s">
        <v>9517</v>
      </c>
      <c r="D184">
        <v>3</v>
      </c>
      <c r="E184" t="s">
        <v>1197</v>
      </c>
    </row>
    <row r="185" spans="2:5">
      <c r="B185" s="65" t="str">
        <f t="shared" si="2"/>
        <v>doc-1051:4</v>
      </c>
      <c r="C185" t="s">
        <v>9517</v>
      </c>
      <c r="D185">
        <v>4</v>
      </c>
      <c r="E185" t="s">
        <v>1561</v>
      </c>
    </row>
    <row r="186" spans="2:5">
      <c r="B186" s="65" t="str">
        <f t="shared" si="2"/>
        <v>doc-1052:1</v>
      </c>
      <c r="C186" t="s">
        <v>9518</v>
      </c>
      <c r="D186">
        <v>1</v>
      </c>
      <c r="E186" t="s">
        <v>82</v>
      </c>
    </row>
    <row r="187" spans="2:5">
      <c r="B187" s="65" t="str">
        <f t="shared" si="2"/>
        <v>doc-1052:2</v>
      </c>
      <c r="C187" t="s">
        <v>9518</v>
      </c>
      <c r="D187">
        <v>2</v>
      </c>
      <c r="E187" t="s">
        <v>2197</v>
      </c>
    </row>
    <row r="188" spans="2:5">
      <c r="B188" s="65" t="str">
        <f t="shared" si="2"/>
        <v>doc-1053:1</v>
      </c>
      <c r="C188" t="s">
        <v>9519</v>
      </c>
      <c r="D188">
        <v>1</v>
      </c>
      <c r="E188" t="s">
        <v>82</v>
      </c>
    </row>
    <row r="189" spans="2:5">
      <c r="B189" s="65" t="str">
        <f t="shared" si="2"/>
        <v>doc-1053:2</v>
      </c>
      <c r="C189" t="s">
        <v>9519</v>
      </c>
      <c r="D189">
        <v>2</v>
      </c>
      <c r="E189" t="s">
        <v>247</v>
      </c>
    </row>
    <row r="190" spans="2:5">
      <c r="B190" s="65" t="str">
        <f t="shared" si="2"/>
        <v>doc-1054:1</v>
      </c>
      <c r="C190" t="s">
        <v>9520</v>
      </c>
      <c r="D190">
        <v>1</v>
      </c>
      <c r="E190" t="s">
        <v>3061</v>
      </c>
    </row>
    <row r="191" spans="2:5">
      <c r="B191" s="65" t="str">
        <f t="shared" si="2"/>
        <v>doc-1054:2</v>
      </c>
      <c r="C191" t="s">
        <v>9520</v>
      </c>
      <c r="D191">
        <v>2</v>
      </c>
      <c r="E191" t="s">
        <v>3066</v>
      </c>
    </row>
    <row r="192" spans="2:5">
      <c r="B192" s="65" t="str">
        <f t="shared" si="2"/>
        <v>doc-1054:3</v>
      </c>
      <c r="C192" t="s">
        <v>9520</v>
      </c>
      <c r="D192">
        <v>3</v>
      </c>
      <c r="E192" t="s">
        <v>82</v>
      </c>
    </row>
    <row r="193" spans="2:5">
      <c r="B193" s="65" t="str">
        <f t="shared" si="2"/>
        <v>doc-1054:4</v>
      </c>
      <c r="C193" t="s">
        <v>9520</v>
      </c>
      <c r="D193">
        <v>4</v>
      </c>
      <c r="E193" t="s">
        <v>254</v>
      </c>
    </row>
    <row r="194" spans="2:5">
      <c r="B194" s="65" t="str">
        <f t="shared" si="2"/>
        <v>doc-1054:5</v>
      </c>
      <c r="C194" t="s">
        <v>9520</v>
      </c>
      <c r="D194">
        <v>5</v>
      </c>
      <c r="E194" t="s">
        <v>79</v>
      </c>
    </row>
    <row r="195" spans="2:5">
      <c r="B195" s="65" t="str">
        <f t="shared" si="2"/>
        <v>doc-1054:6</v>
      </c>
      <c r="C195" t="s">
        <v>9520</v>
      </c>
      <c r="D195">
        <v>6</v>
      </c>
      <c r="E195" t="s">
        <v>1114</v>
      </c>
    </row>
    <row r="196" spans="2:5">
      <c r="B196" s="65" t="str">
        <f t="shared" ref="B196:B259" si="3">$C196&amp;":"&amp;$D196</f>
        <v>doc-1054:7</v>
      </c>
      <c r="C196" t="s">
        <v>9520</v>
      </c>
      <c r="D196">
        <v>7</v>
      </c>
      <c r="E196" t="s">
        <v>1065</v>
      </c>
    </row>
    <row r="197" spans="2:5">
      <c r="B197" s="65" t="str">
        <f t="shared" si="3"/>
        <v>doc-1054:8</v>
      </c>
      <c r="C197" t="s">
        <v>9520</v>
      </c>
      <c r="D197">
        <v>8</v>
      </c>
      <c r="E197" t="s">
        <v>3058</v>
      </c>
    </row>
    <row r="198" spans="2:5">
      <c r="B198" s="65" t="str">
        <f t="shared" si="3"/>
        <v>doc-1055:1</v>
      </c>
      <c r="C198" t="s">
        <v>9521</v>
      </c>
      <c r="D198">
        <v>1</v>
      </c>
      <c r="E198" t="s">
        <v>2455</v>
      </c>
    </row>
    <row r="199" spans="2:5">
      <c r="B199" s="65" t="str">
        <f t="shared" si="3"/>
        <v>doc-1055:2</v>
      </c>
      <c r="C199" t="s">
        <v>9521</v>
      </c>
      <c r="D199">
        <v>2</v>
      </c>
      <c r="E199" t="s">
        <v>3061</v>
      </c>
    </row>
    <row r="200" spans="2:5">
      <c r="B200" s="65" t="str">
        <f t="shared" si="3"/>
        <v>doc-1055:3</v>
      </c>
      <c r="C200" t="s">
        <v>9521</v>
      </c>
      <c r="D200">
        <v>3</v>
      </c>
      <c r="E200" t="s">
        <v>79</v>
      </c>
    </row>
    <row r="201" spans="2:5">
      <c r="B201" s="65" t="str">
        <f t="shared" si="3"/>
        <v>doc-1055:4</v>
      </c>
      <c r="C201" t="s">
        <v>9521</v>
      </c>
      <c r="D201">
        <v>4</v>
      </c>
      <c r="E201" t="s">
        <v>1750</v>
      </c>
    </row>
    <row r="202" spans="2:5">
      <c r="B202" s="65" t="str">
        <f t="shared" si="3"/>
        <v>doc-1055:5</v>
      </c>
      <c r="C202" t="s">
        <v>9521</v>
      </c>
      <c r="D202">
        <v>5</v>
      </c>
      <c r="E202" t="s">
        <v>3058</v>
      </c>
    </row>
    <row r="203" spans="2:5">
      <c r="B203" s="65" t="str">
        <f t="shared" si="3"/>
        <v>doc-1056:1</v>
      </c>
      <c r="C203" t="s">
        <v>9522</v>
      </c>
      <c r="D203">
        <v>1</v>
      </c>
      <c r="E203" t="s">
        <v>2455</v>
      </c>
    </row>
    <row r="204" spans="2:5">
      <c r="B204" s="65" t="str">
        <f t="shared" si="3"/>
        <v>doc-1056:2</v>
      </c>
      <c r="C204" t="s">
        <v>9522</v>
      </c>
      <c r="D204">
        <v>2</v>
      </c>
      <c r="E204" t="s">
        <v>2469</v>
      </c>
    </row>
    <row r="205" spans="2:5">
      <c r="B205" s="65" t="str">
        <f t="shared" si="3"/>
        <v>doc-1056:3</v>
      </c>
      <c r="C205" t="s">
        <v>9522</v>
      </c>
      <c r="D205">
        <v>3</v>
      </c>
      <c r="E205" t="s">
        <v>3061</v>
      </c>
    </row>
    <row r="206" spans="2:5">
      <c r="B206" s="65" t="str">
        <f t="shared" si="3"/>
        <v>doc-1056:4</v>
      </c>
      <c r="C206" t="s">
        <v>9522</v>
      </c>
      <c r="D206">
        <v>4</v>
      </c>
      <c r="E206" t="s">
        <v>79</v>
      </c>
    </row>
    <row r="207" spans="2:5">
      <c r="B207" s="65" t="str">
        <f t="shared" si="3"/>
        <v>doc-1056:5</v>
      </c>
      <c r="C207" t="s">
        <v>9522</v>
      </c>
      <c r="D207">
        <v>5</v>
      </c>
      <c r="E207" t="s">
        <v>1750</v>
      </c>
    </row>
    <row r="208" spans="2:5">
      <c r="B208" s="65" t="str">
        <f t="shared" si="3"/>
        <v>doc-1058:1</v>
      </c>
      <c r="C208" t="s">
        <v>5517</v>
      </c>
      <c r="D208">
        <v>1</v>
      </c>
      <c r="E208" t="s">
        <v>2497</v>
      </c>
    </row>
    <row r="209" spans="2:5">
      <c r="B209" s="65" t="str">
        <f t="shared" si="3"/>
        <v>doc-1058:2</v>
      </c>
      <c r="C209" t="s">
        <v>5517</v>
      </c>
      <c r="D209">
        <v>2</v>
      </c>
      <c r="E209" t="s">
        <v>2428</v>
      </c>
    </row>
    <row r="210" spans="2:5">
      <c r="B210" s="65" t="str">
        <f t="shared" si="3"/>
        <v>doc-1058:3</v>
      </c>
      <c r="C210" t="s">
        <v>5517</v>
      </c>
      <c r="D210">
        <v>3</v>
      </c>
      <c r="E210" t="s">
        <v>2422</v>
      </c>
    </row>
    <row r="211" spans="2:5">
      <c r="B211" s="65" t="str">
        <f t="shared" si="3"/>
        <v>doc-1060:1</v>
      </c>
      <c r="C211" t="s">
        <v>9523</v>
      </c>
      <c r="D211">
        <v>1</v>
      </c>
      <c r="E211" t="s">
        <v>2394</v>
      </c>
    </row>
    <row r="212" spans="2:5">
      <c r="B212" s="65" t="str">
        <f t="shared" si="3"/>
        <v>doc-1060:2</v>
      </c>
      <c r="C212" t="s">
        <v>9523</v>
      </c>
      <c r="D212">
        <v>2</v>
      </c>
      <c r="E212" t="s">
        <v>2409</v>
      </c>
    </row>
    <row r="213" spans="2:5">
      <c r="B213" s="65" t="str">
        <f t="shared" si="3"/>
        <v>doc-1061:1</v>
      </c>
      <c r="C213" t="s">
        <v>9524</v>
      </c>
      <c r="D213">
        <v>1</v>
      </c>
      <c r="E213" t="s">
        <v>1760</v>
      </c>
    </row>
    <row r="214" spans="2:5">
      <c r="B214" s="65" t="str">
        <f t="shared" si="3"/>
        <v>doc-1061:2</v>
      </c>
      <c r="C214" t="s">
        <v>9524</v>
      </c>
      <c r="D214">
        <v>2</v>
      </c>
      <c r="E214" t="s">
        <v>1737</v>
      </c>
    </row>
    <row r="215" spans="2:5">
      <c r="B215" s="65" t="str">
        <f t="shared" si="3"/>
        <v>doc-1061:3</v>
      </c>
      <c r="C215" t="s">
        <v>9524</v>
      </c>
      <c r="D215">
        <v>3</v>
      </c>
      <c r="E215" t="s">
        <v>1747</v>
      </c>
    </row>
    <row r="216" spans="2:5">
      <c r="B216" s="65" t="str">
        <f t="shared" si="3"/>
        <v>doc-1061:4</v>
      </c>
      <c r="C216" t="s">
        <v>9524</v>
      </c>
      <c r="D216">
        <v>4</v>
      </c>
      <c r="E216" t="s">
        <v>1102</v>
      </c>
    </row>
    <row r="217" spans="2:5">
      <c r="B217" s="65" t="str">
        <f t="shared" si="3"/>
        <v>doc-1061:5</v>
      </c>
      <c r="C217" t="s">
        <v>9524</v>
      </c>
      <c r="D217">
        <v>5</v>
      </c>
      <c r="E217" t="s">
        <v>1133</v>
      </c>
    </row>
    <row r="218" spans="2:5">
      <c r="B218" s="65" t="str">
        <f t="shared" si="3"/>
        <v>doc-1061:6</v>
      </c>
      <c r="C218" t="s">
        <v>9524</v>
      </c>
      <c r="D218">
        <v>6</v>
      </c>
      <c r="E218" t="s">
        <v>1087</v>
      </c>
    </row>
    <row r="219" spans="2:5">
      <c r="B219" s="65" t="str">
        <f t="shared" si="3"/>
        <v>doc-1061:7</v>
      </c>
      <c r="C219" t="s">
        <v>9524</v>
      </c>
      <c r="D219">
        <v>7</v>
      </c>
      <c r="E219" t="s">
        <v>1081</v>
      </c>
    </row>
    <row r="220" spans="2:5">
      <c r="B220" s="65" t="str">
        <f t="shared" si="3"/>
        <v>doc-1062:1</v>
      </c>
      <c r="C220" t="s">
        <v>9525</v>
      </c>
      <c r="D220">
        <v>1</v>
      </c>
      <c r="E220" t="s">
        <v>2059</v>
      </c>
    </row>
    <row r="221" spans="2:5">
      <c r="B221" s="65" t="str">
        <f t="shared" si="3"/>
        <v>doc-1062:2</v>
      </c>
      <c r="C221" t="s">
        <v>9525</v>
      </c>
      <c r="D221">
        <v>2</v>
      </c>
      <c r="E221" t="s">
        <v>2092</v>
      </c>
    </row>
    <row r="222" spans="2:5">
      <c r="B222" s="65" t="str">
        <f t="shared" si="3"/>
        <v>doc-1062:3</v>
      </c>
      <c r="C222" t="s">
        <v>9525</v>
      </c>
      <c r="D222">
        <v>3</v>
      </c>
      <c r="E222" t="s">
        <v>2137</v>
      </c>
    </row>
    <row r="223" spans="2:5">
      <c r="B223" s="65" t="str">
        <f t="shared" si="3"/>
        <v>doc-1062:4</v>
      </c>
      <c r="C223" t="s">
        <v>9525</v>
      </c>
      <c r="D223">
        <v>4</v>
      </c>
      <c r="E223" t="s">
        <v>2164</v>
      </c>
    </row>
    <row r="224" spans="2:5">
      <c r="B224" s="65" t="str">
        <f t="shared" si="3"/>
        <v>doc-1063:1</v>
      </c>
      <c r="C224" t="s">
        <v>9526</v>
      </c>
      <c r="D224">
        <v>1</v>
      </c>
      <c r="E224" t="s">
        <v>3046</v>
      </c>
    </row>
    <row r="225" spans="2:5">
      <c r="B225" s="65" t="str">
        <f t="shared" si="3"/>
        <v>doc-1063:2</v>
      </c>
      <c r="C225" t="s">
        <v>9526</v>
      </c>
      <c r="D225">
        <v>2</v>
      </c>
      <c r="E225" t="s">
        <v>3056</v>
      </c>
    </row>
    <row r="226" spans="2:5">
      <c r="B226" s="65" t="str">
        <f t="shared" si="3"/>
        <v>doc-1063:3</v>
      </c>
      <c r="C226" t="s">
        <v>9526</v>
      </c>
      <c r="D226">
        <v>3</v>
      </c>
      <c r="E226" t="s">
        <v>1127</v>
      </c>
    </row>
    <row r="227" spans="2:5">
      <c r="B227" s="65" t="str">
        <f t="shared" si="3"/>
        <v>doc-1064:1</v>
      </c>
      <c r="C227" t="s">
        <v>9527</v>
      </c>
      <c r="D227">
        <v>1</v>
      </c>
      <c r="E227" t="s">
        <v>2003</v>
      </c>
    </row>
    <row r="228" spans="2:5">
      <c r="B228" s="65" t="str">
        <f t="shared" si="3"/>
        <v>doc-1064:2</v>
      </c>
      <c r="C228" t="s">
        <v>9527</v>
      </c>
      <c r="D228">
        <v>2</v>
      </c>
      <c r="E228" t="s">
        <v>1854</v>
      </c>
    </row>
    <row r="229" spans="2:5">
      <c r="B229" s="65" t="str">
        <f t="shared" si="3"/>
        <v>doc-1064:3</v>
      </c>
      <c r="C229" t="s">
        <v>9527</v>
      </c>
      <c r="D229">
        <v>3</v>
      </c>
      <c r="E229" t="s">
        <v>1968</v>
      </c>
    </row>
    <row r="230" spans="2:5">
      <c r="B230" s="65" t="str">
        <f t="shared" si="3"/>
        <v>doc-1064:4</v>
      </c>
      <c r="C230" t="s">
        <v>9527</v>
      </c>
      <c r="D230">
        <v>4</v>
      </c>
      <c r="E230" t="s">
        <v>85</v>
      </c>
    </row>
    <row r="231" spans="2:5">
      <c r="B231" s="65" t="str">
        <f t="shared" si="3"/>
        <v>doc-1064:5</v>
      </c>
      <c r="C231" t="s">
        <v>9527</v>
      </c>
      <c r="D231">
        <v>5</v>
      </c>
      <c r="E231" t="s">
        <v>101</v>
      </c>
    </row>
    <row r="232" spans="2:5">
      <c r="B232" s="65" t="str">
        <f t="shared" si="3"/>
        <v>doc-1064:6</v>
      </c>
      <c r="C232" t="s">
        <v>9527</v>
      </c>
      <c r="D232">
        <v>6</v>
      </c>
      <c r="E232" t="s">
        <v>92</v>
      </c>
    </row>
    <row r="233" spans="2:5">
      <c r="B233" s="65" t="str">
        <f t="shared" si="3"/>
        <v>doc-1065:1</v>
      </c>
      <c r="C233" t="s">
        <v>9528</v>
      </c>
      <c r="D233">
        <v>1</v>
      </c>
      <c r="E233" t="s">
        <v>1921</v>
      </c>
    </row>
    <row r="234" spans="2:5">
      <c r="B234" s="65" t="str">
        <f t="shared" si="3"/>
        <v>doc-1065:2</v>
      </c>
      <c r="C234" t="s">
        <v>9528</v>
      </c>
      <c r="D234">
        <v>2</v>
      </c>
      <c r="E234" t="s">
        <v>1503</v>
      </c>
    </row>
    <row r="235" spans="2:5">
      <c r="B235" s="65" t="str">
        <f t="shared" si="3"/>
        <v>doc-1065:3</v>
      </c>
      <c r="C235" t="s">
        <v>9528</v>
      </c>
      <c r="D235">
        <v>3</v>
      </c>
      <c r="E235" t="s">
        <v>2006</v>
      </c>
    </row>
    <row r="236" spans="2:5">
      <c r="B236" s="65" t="str">
        <f t="shared" si="3"/>
        <v>doc-1065:4</v>
      </c>
      <c r="C236" t="s">
        <v>9528</v>
      </c>
      <c r="D236">
        <v>4</v>
      </c>
      <c r="E236" t="s">
        <v>1856</v>
      </c>
    </row>
    <row r="237" spans="2:5">
      <c r="B237" s="65" t="str">
        <f t="shared" si="3"/>
        <v>doc-1066:1</v>
      </c>
      <c r="C237" t="s">
        <v>9529</v>
      </c>
      <c r="D237">
        <v>1</v>
      </c>
      <c r="E237" t="s">
        <v>2458</v>
      </c>
    </row>
    <row r="238" spans="2:5">
      <c r="B238" s="65" t="str">
        <f t="shared" si="3"/>
        <v>doc-1066:2</v>
      </c>
      <c r="C238" t="s">
        <v>9529</v>
      </c>
      <c r="D238">
        <v>2</v>
      </c>
      <c r="E238" t="s">
        <v>1921</v>
      </c>
    </row>
    <row r="239" spans="2:5">
      <c r="B239" s="65" t="str">
        <f t="shared" si="3"/>
        <v>doc-1068:1</v>
      </c>
      <c r="C239" t="s">
        <v>9530</v>
      </c>
      <c r="D239">
        <v>1</v>
      </c>
      <c r="E239" t="s">
        <v>1197</v>
      </c>
    </row>
    <row r="240" spans="2:5">
      <c r="B240" s="65" t="str">
        <f t="shared" si="3"/>
        <v>doc-1069:1</v>
      </c>
      <c r="C240" t="s">
        <v>5524</v>
      </c>
      <c r="D240">
        <v>1</v>
      </c>
      <c r="E240" t="s">
        <v>2501</v>
      </c>
    </row>
    <row r="241" spans="2:5">
      <c r="B241" s="65" t="str">
        <f t="shared" si="3"/>
        <v>doc-1069:2</v>
      </c>
      <c r="C241" t="s">
        <v>5524</v>
      </c>
      <c r="D241">
        <v>2</v>
      </c>
      <c r="E241" t="s">
        <v>2435</v>
      </c>
    </row>
    <row r="242" spans="2:5">
      <c r="B242" s="65" t="str">
        <f t="shared" si="3"/>
        <v>doc-1069:3</v>
      </c>
      <c r="C242" t="s">
        <v>5524</v>
      </c>
      <c r="D242">
        <v>3</v>
      </c>
      <c r="E242" t="s">
        <v>2422</v>
      </c>
    </row>
    <row r="243" spans="2:5">
      <c r="B243" s="65" t="str">
        <f t="shared" si="3"/>
        <v>doc-1070:1</v>
      </c>
      <c r="C243" t="s">
        <v>5530</v>
      </c>
      <c r="D243">
        <v>1</v>
      </c>
      <c r="E243" t="s">
        <v>2176</v>
      </c>
    </row>
    <row r="244" spans="2:5">
      <c r="B244" s="65" t="str">
        <f t="shared" si="3"/>
        <v>doc-1070:2</v>
      </c>
      <c r="C244" t="s">
        <v>5530</v>
      </c>
      <c r="D244">
        <v>2</v>
      </c>
      <c r="E244" t="s">
        <v>2179</v>
      </c>
    </row>
    <row r="245" spans="2:5">
      <c r="B245" s="65" t="str">
        <f t="shared" si="3"/>
        <v>doc-1070:3</v>
      </c>
      <c r="C245" t="s">
        <v>5530</v>
      </c>
      <c r="D245">
        <v>3</v>
      </c>
      <c r="E245" t="s">
        <v>2121</v>
      </c>
    </row>
    <row r="246" spans="2:5">
      <c r="B246" s="65" t="str">
        <f t="shared" si="3"/>
        <v>doc-1071:1</v>
      </c>
      <c r="C246" t="s">
        <v>5537</v>
      </c>
      <c r="D246">
        <v>1</v>
      </c>
      <c r="E246" t="s">
        <v>2176</v>
      </c>
    </row>
    <row r="247" spans="2:5">
      <c r="B247" s="65" t="str">
        <f t="shared" si="3"/>
        <v>doc-1071:2</v>
      </c>
      <c r="C247" t="s">
        <v>5537</v>
      </c>
      <c r="D247">
        <v>2</v>
      </c>
      <c r="E247" t="s">
        <v>2179</v>
      </c>
    </row>
    <row r="248" spans="2:5">
      <c r="B248" s="65" t="str">
        <f t="shared" si="3"/>
        <v>doc-1071:3</v>
      </c>
      <c r="C248" t="s">
        <v>5537</v>
      </c>
      <c r="D248">
        <v>3</v>
      </c>
      <c r="E248" t="s">
        <v>2121</v>
      </c>
    </row>
    <row r="249" spans="2:5">
      <c r="B249" s="65" t="str">
        <f t="shared" si="3"/>
        <v>doc-1072a:1</v>
      </c>
      <c r="C249" t="s">
        <v>9531</v>
      </c>
      <c r="D249">
        <v>1</v>
      </c>
      <c r="E249" t="s">
        <v>2269</v>
      </c>
    </row>
    <row r="250" spans="2:5">
      <c r="B250" s="65" t="str">
        <f t="shared" si="3"/>
        <v>doc-1072a:2</v>
      </c>
      <c r="C250" t="s">
        <v>9531</v>
      </c>
      <c r="D250">
        <v>2</v>
      </c>
      <c r="E250" t="s">
        <v>3148</v>
      </c>
    </row>
    <row r="251" spans="2:5">
      <c r="B251" s="65" t="str">
        <f t="shared" si="3"/>
        <v>doc-1072a:3</v>
      </c>
      <c r="C251" t="s">
        <v>9531</v>
      </c>
      <c r="D251">
        <v>3</v>
      </c>
      <c r="E251" t="s">
        <v>2092</v>
      </c>
    </row>
    <row r="252" spans="2:5">
      <c r="B252" s="65" t="str">
        <f t="shared" si="3"/>
        <v>doc-1072a:4</v>
      </c>
      <c r="C252" t="s">
        <v>9531</v>
      </c>
      <c r="D252">
        <v>4</v>
      </c>
      <c r="E252" t="s">
        <v>2061</v>
      </c>
    </row>
    <row r="253" spans="2:5">
      <c r="B253" s="65" t="str">
        <f t="shared" si="3"/>
        <v>doc-1073:1</v>
      </c>
      <c r="C253" t="s">
        <v>5543</v>
      </c>
      <c r="D253">
        <v>1</v>
      </c>
      <c r="E253" t="s">
        <v>2187</v>
      </c>
    </row>
    <row r="254" spans="2:5">
      <c r="B254" s="65" t="str">
        <f t="shared" si="3"/>
        <v>doc-1073:2</v>
      </c>
      <c r="C254" t="s">
        <v>5543</v>
      </c>
      <c r="D254">
        <v>2</v>
      </c>
      <c r="E254" t="s">
        <v>2137</v>
      </c>
    </row>
    <row r="255" spans="2:5">
      <c r="B255" s="65" t="str">
        <f t="shared" si="3"/>
        <v>doc-1073:3</v>
      </c>
      <c r="C255" t="s">
        <v>5543</v>
      </c>
      <c r="D255">
        <v>3</v>
      </c>
      <c r="E255" t="s">
        <v>2140</v>
      </c>
    </row>
    <row r="256" spans="2:5">
      <c r="B256" s="65" t="str">
        <f t="shared" si="3"/>
        <v>doc-1074:1</v>
      </c>
      <c r="C256" t="s">
        <v>9532</v>
      </c>
      <c r="D256">
        <v>1</v>
      </c>
      <c r="E256" t="s">
        <v>2455</v>
      </c>
    </row>
    <row r="257" spans="2:5">
      <c r="B257" s="65" t="str">
        <f t="shared" si="3"/>
        <v>doc-1074:2</v>
      </c>
      <c r="C257" t="s">
        <v>9532</v>
      </c>
      <c r="D257">
        <v>2</v>
      </c>
      <c r="E257" t="s">
        <v>3061</v>
      </c>
    </row>
    <row r="258" spans="2:5">
      <c r="B258" s="65" t="str">
        <f t="shared" si="3"/>
        <v>doc-1074:3</v>
      </c>
      <c r="C258" t="s">
        <v>9532</v>
      </c>
      <c r="D258">
        <v>3</v>
      </c>
      <c r="E258" t="s">
        <v>79</v>
      </c>
    </row>
    <row r="259" spans="2:5">
      <c r="B259" s="65" t="str">
        <f t="shared" si="3"/>
        <v>doc-1074:4</v>
      </c>
      <c r="C259" t="s">
        <v>9532</v>
      </c>
      <c r="D259">
        <v>4</v>
      </c>
      <c r="E259" t="s">
        <v>3058</v>
      </c>
    </row>
    <row r="260" spans="2:5">
      <c r="B260" s="65" t="str">
        <f t="shared" ref="B260:B323" si="4">$C260&amp;":"&amp;$D260</f>
        <v>doc-1075:1</v>
      </c>
      <c r="C260" t="s">
        <v>9533</v>
      </c>
      <c r="D260">
        <v>1</v>
      </c>
      <c r="E260" t="s">
        <v>1795</v>
      </c>
    </row>
    <row r="261" spans="2:5">
      <c r="B261" s="65" t="str">
        <f t="shared" si="4"/>
        <v>doc-1075:2</v>
      </c>
      <c r="C261" t="s">
        <v>9533</v>
      </c>
      <c r="D261">
        <v>2</v>
      </c>
      <c r="E261" t="s">
        <v>1941</v>
      </c>
    </row>
    <row r="262" spans="2:5">
      <c r="B262" s="65" t="str">
        <f t="shared" si="4"/>
        <v>doc-1075:3</v>
      </c>
      <c r="C262" t="s">
        <v>9533</v>
      </c>
      <c r="D262">
        <v>3</v>
      </c>
      <c r="E262" t="s">
        <v>1959</v>
      </c>
    </row>
    <row r="263" spans="2:5">
      <c r="B263" s="65" t="str">
        <f t="shared" si="4"/>
        <v>doc-1075:4</v>
      </c>
      <c r="C263" t="s">
        <v>9533</v>
      </c>
      <c r="D263">
        <v>4</v>
      </c>
      <c r="E263" t="s">
        <v>1573</v>
      </c>
    </row>
    <row r="264" spans="2:5">
      <c r="B264" s="65" t="str">
        <f t="shared" si="4"/>
        <v>doc-1075:5</v>
      </c>
      <c r="C264" t="s">
        <v>9533</v>
      </c>
      <c r="D264">
        <v>5</v>
      </c>
      <c r="E264" t="s">
        <v>1564</v>
      </c>
    </row>
    <row r="265" spans="2:5">
      <c r="B265" s="65" t="str">
        <f t="shared" si="4"/>
        <v>doc-1077:1</v>
      </c>
      <c r="C265" t="s">
        <v>5549</v>
      </c>
      <c r="D265">
        <v>1</v>
      </c>
      <c r="E265" t="s">
        <v>2302</v>
      </c>
    </row>
    <row r="266" spans="2:5">
      <c r="B266" s="65" t="str">
        <f t="shared" si="4"/>
        <v>doc-1077:2</v>
      </c>
      <c r="C266" t="s">
        <v>5549</v>
      </c>
      <c r="D266">
        <v>2</v>
      </c>
      <c r="E266" t="s">
        <v>1395</v>
      </c>
    </row>
    <row r="267" spans="2:5">
      <c r="B267" s="65" t="str">
        <f t="shared" si="4"/>
        <v>doc-1077:3</v>
      </c>
      <c r="C267" t="s">
        <v>5549</v>
      </c>
      <c r="D267">
        <v>3</v>
      </c>
      <c r="E267" t="s">
        <v>1349</v>
      </c>
    </row>
    <row r="268" spans="2:5">
      <c r="B268" s="65" t="str">
        <f t="shared" si="4"/>
        <v>doc-1077:4</v>
      </c>
      <c r="C268" t="s">
        <v>5549</v>
      </c>
      <c r="D268">
        <v>4</v>
      </c>
      <c r="E268" t="s">
        <v>2529</v>
      </c>
    </row>
    <row r="269" spans="2:5">
      <c r="B269" s="65" t="str">
        <f t="shared" si="4"/>
        <v>doc-1077:5</v>
      </c>
      <c r="C269" t="s">
        <v>5549</v>
      </c>
      <c r="D269">
        <v>5</v>
      </c>
      <c r="E269" t="s">
        <v>281</v>
      </c>
    </row>
    <row r="270" spans="2:5">
      <c r="B270" s="65" t="str">
        <f t="shared" si="4"/>
        <v>doc-1078:1</v>
      </c>
      <c r="C270" t="s">
        <v>9534</v>
      </c>
      <c r="D270">
        <v>1</v>
      </c>
      <c r="E270" t="s">
        <v>90</v>
      </c>
    </row>
    <row r="271" spans="2:5">
      <c r="B271" s="65" t="str">
        <f t="shared" si="4"/>
        <v>doc-1078:2</v>
      </c>
      <c r="C271" t="s">
        <v>9534</v>
      </c>
      <c r="D271">
        <v>2</v>
      </c>
      <c r="E271" t="s">
        <v>2954</v>
      </c>
    </row>
    <row r="272" spans="2:5">
      <c r="B272" s="65" t="str">
        <f t="shared" si="4"/>
        <v>doc-1078:3</v>
      </c>
      <c r="C272" t="s">
        <v>9534</v>
      </c>
      <c r="D272">
        <v>3</v>
      </c>
      <c r="E272" t="s">
        <v>2967</v>
      </c>
    </row>
    <row r="273" spans="2:5">
      <c r="B273" s="65" t="str">
        <f t="shared" si="4"/>
        <v>doc-1078:4</v>
      </c>
      <c r="C273" t="s">
        <v>9534</v>
      </c>
      <c r="D273">
        <v>4</v>
      </c>
      <c r="E273" t="s">
        <v>73</v>
      </c>
    </row>
    <row r="274" spans="2:5">
      <c r="B274" s="65" t="str">
        <f t="shared" si="4"/>
        <v>doc-1079:1</v>
      </c>
      <c r="C274" t="s">
        <v>9535</v>
      </c>
      <c r="D274">
        <v>1</v>
      </c>
      <c r="E274" t="s">
        <v>1349</v>
      </c>
    </row>
    <row r="275" spans="2:5">
      <c r="B275" s="65" t="str">
        <f t="shared" si="4"/>
        <v>doc-1079:2</v>
      </c>
      <c r="C275" t="s">
        <v>9535</v>
      </c>
      <c r="D275">
        <v>2</v>
      </c>
      <c r="E275" t="s">
        <v>1425</v>
      </c>
    </row>
    <row r="276" spans="2:5">
      <c r="B276" s="65" t="str">
        <f t="shared" si="4"/>
        <v>doc-1079:3</v>
      </c>
      <c r="C276" t="s">
        <v>9535</v>
      </c>
      <c r="D276">
        <v>3</v>
      </c>
      <c r="E276" t="s">
        <v>1395</v>
      </c>
    </row>
    <row r="277" spans="2:5">
      <c r="B277" s="65" t="str">
        <f t="shared" si="4"/>
        <v>doc-1079:4</v>
      </c>
      <c r="C277" t="s">
        <v>9535</v>
      </c>
      <c r="D277">
        <v>4</v>
      </c>
      <c r="E277" t="s">
        <v>1404</v>
      </c>
    </row>
    <row r="278" spans="2:5">
      <c r="B278" s="65" t="str">
        <f t="shared" si="4"/>
        <v>doc-1080:1</v>
      </c>
      <c r="C278" t="s">
        <v>9536</v>
      </c>
      <c r="D278">
        <v>1</v>
      </c>
      <c r="E278" t="s">
        <v>2310</v>
      </c>
    </row>
    <row r="279" spans="2:5">
      <c r="B279" s="65" t="str">
        <f t="shared" si="4"/>
        <v>doc-1080:2</v>
      </c>
      <c r="C279" t="s">
        <v>9536</v>
      </c>
      <c r="D279">
        <v>2</v>
      </c>
      <c r="E279" t="s">
        <v>1395</v>
      </c>
    </row>
    <row r="280" spans="2:5">
      <c r="B280" s="65" t="str">
        <f t="shared" si="4"/>
        <v>doc-1080:3</v>
      </c>
      <c r="C280" t="s">
        <v>9536</v>
      </c>
      <c r="D280">
        <v>3</v>
      </c>
      <c r="E280" t="s">
        <v>87</v>
      </c>
    </row>
    <row r="281" spans="2:5">
      <c r="B281" s="65" t="str">
        <f t="shared" si="4"/>
        <v>doc-1080:4</v>
      </c>
      <c r="C281" t="s">
        <v>9536</v>
      </c>
      <c r="D281">
        <v>4</v>
      </c>
      <c r="E281" t="s">
        <v>1349</v>
      </c>
    </row>
    <row r="282" spans="2:5">
      <c r="B282" s="65" t="str">
        <f t="shared" si="4"/>
        <v>doc-1080:5</v>
      </c>
      <c r="C282" t="s">
        <v>9536</v>
      </c>
      <c r="D282">
        <v>5</v>
      </c>
      <c r="E282" t="s">
        <v>1108</v>
      </c>
    </row>
    <row r="283" spans="2:5">
      <c r="B283" s="65" t="str">
        <f t="shared" si="4"/>
        <v>doc-1080:6</v>
      </c>
      <c r="C283" t="s">
        <v>9536</v>
      </c>
      <c r="D283">
        <v>6</v>
      </c>
      <c r="E283" t="s">
        <v>281</v>
      </c>
    </row>
    <row r="284" spans="2:5">
      <c r="B284" s="65" t="str">
        <f t="shared" si="4"/>
        <v>doc-1080:7</v>
      </c>
      <c r="C284" t="s">
        <v>9536</v>
      </c>
      <c r="D284">
        <v>7</v>
      </c>
      <c r="E284" t="s">
        <v>73</v>
      </c>
    </row>
    <row r="285" spans="2:5">
      <c r="B285" s="65" t="str">
        <f t="shared" si="4"/>
        <v>doc-1083:1</v>
      </c>
      <c r="C285" t="s">
        <v>9537</v>
      </c>
      <c r="D285">
        <v>1</v>
      </c>
      <c r="E285" t="s">
        <v>2336</v>
      </c>
    </row>
    <row r="286" spans="2:5">
      <c r="B286" s="65" t="str">
        <f t="shared" si="4"/>
        <v>doc-1083:2</v>
      </c>
      <c r="C286" t="s">
        <v>9537</v>
      </c>
      <c r="D286">
        <v>2</v>
      </c>
      <c r="E286" t="s">
        <v>1804</v>
      </c>
    </row>
    <row r="287" spans="2:5">
      <c r="B287" s="65" t="str">
        <f t="shared" si="4"/>
        <v>doc-1083:3</v>
      </c>
      <c r="C287" t="s">
        <v>9537</v>
      </c>
      <c r="D287">
        <v>3</v>
      </c>
      <c r="E287" t="s">
        <v>281</v>
      </c>
    </row>
    <row r="288" spans="2:5">
      <c r="B288" s="65" t="str">
        <f t="shared" si="4"/>
        <v>doc-1084:1</v>
      </c>
      <c r="C288" t="s">
        <v>5555</v>
      </c>
      <c r="D288">
        <v>1</v>
      </c>
      <c r="E288" t="s">
        <v>2082</v>
      </c>
    </row>
    <row r="289" spans="2:5">
      <c r="B289" s="65" t="str">
        <f t="shared" si="4"/>
        <v>doc-1084:2</v>
      </c>
      <c r="C289" t="s">
        <v>5555</v>
      </c>
      <c r="D289">
        <v>2</v>
      </c>
      <c r="E289" t="s">
        <v>2109</v>
      </c>
    </row>
    <row r="290" spans="2:5">
      <c r="B290" s="65" t="str">
        <f t="shared" si="4"/>
        <v>doc-1084:3</v>
      </c>
      <c r="C290" t="s">
        <v>5555</v>
      </c>
      <c r="D290">
        <v>3</v>
      </c>
      <c r="E290" t="s">
        <v>2061</v>
      </c>
    </row>
    <row r="291" spans="2:5">
      <c r="B291" s="65" t="str">
        <f t="shared" si="4"/>
        <v>doc-1084:4</v>
      </c>
      <c r="C291" t="s">
        <v>5555</v>
      </c>
      <c r="D291">
        <v>4</v>
      </c>
      <c r="E291" t="s">
        <v>2154</v>
      </c>
    </row>
    <row r="292" spans="2:5">
      <c r="B292" s="65" t="str">
        <f t="shared" si="4"/>
        <v>doc-1085:1</v>
      </c>
      <c r="C292" t="s">
        <v>9538</v>
      </c>
      <c r="D292">
        <v>1</v>
      </c>
      <c r="E292" t="s">
        <v>2952</v>
      </c>
    </row>
    <row r="293" spans="2:5">
      <c r="B293" s="65" t="str">
        <f t="shared" si="4"/>
        <v>doc-1085:2</v>
      </c>
      <c r="C293" t="s">
        <v>9538</v>
      </c>
      <c r="D293">
        <v>2</v>
      </c>
      <c r="E293" t="s">
        <v>1286</v>
      </c>
    </row>
    <row r="294" spans="2:5">
      <c r="B294" s="65" t="str">
        <f t="shared" si="4"/>
        <v>doc-1085:3</v>
      </c>
      <c r="C294" t="s">
        <v>9538</v>
      </c>
      <c r="D294">
        <v>3</v>
      </c>
      <c r="E294" t="s">
        <v>254</v>
      </c>
    </row>
    <row r="295" spans="2:5">
      <c r="B295" s="65" t="str">
        <f t="shared" si="4"/>
        <v>doc-1085:4</v>
      </c>
      <c r="C295" t="s">
        <v>9538</v>
      </c>
      <c r="D295">
        <v>4</v>
      </c>
      <c r="E295" t="s">
        <v>299</v>
      </c>
    </row>
    <row r="296" spans="2:5">
      <c r="B296" s="65" t="str">
        <f t="shared" si="4"/>
        <v>doc-1085:5</v>
      </c>
      <c r="C296" t="s">
        <v>9538</v>
      </c>
      <c r="D296">
        <v>5</v>
      </c>
      <c r="E296" t="s">
        <v>2926</v>
      </c>
    </row>
    <row r="297" spans="2:5">
      <c r="B297" s="65" t="str">
        <f t="shared" si="4"/>
        <v>doc-1085:6</v>
      </c>
      <c r="C297" t="s">
        <v>9538</v>
      </c>
      <c r="D297">
        <v>6</v>
      </c>
      <c r="E297" t="s">
        <v>2930</v>
      </c>
    </row>
    <row r="298" spans="2:5">
      <c r="B298" s="65" t="str">
        <f t="shared" si="4"/>
        <v>doc-1086:1</v>
      </c>
      <c r="C298" t="s">
        <v>9539</v>
      </c>
      <c r="D298">
        <v>1</v>
      </c>
      <c r="E298" t="s">
        <v>2930</v>
      </c>
    </row>
    <row r="299" spans="2:5">
      <c r="B299" s="65" t="str">
        <f t="shared" si="4"/>
        <v>doc-1086:2</v>
      </c>
      <c r="C299" t="s">
        <v>9539</v>
      </c>
      <c r="D299">
        <v>2</v>
      </c>
      <c r="E299" t="s">
        <v>299</v>
      </c>
    </row>
    <row r="300" spans="2:5">
      <c r="B300" s="65" t="str">
        <f t="shared" si="4"/>
        <v>doc-1086:3</v>
      </c>
      <c r="C300" t="s">
        <v>9539</v>
      </c>
      <c r="D300">
        <v>3</v>
      </c>
      <c r="E300" t="s">
        <v>2967</v>
      </c>
    </row>
    <row r="301" spans="2:5">
      <c r="B301" s="65" t="str">
        <f t="shared" si="4"/>
        <v>doc-1091:1</v>
      </c>
      <c r="C301" t="s">
        <v>9540</v>
      </c>
      <c r="D301">
        <v>1</v>
      </c>
      <c r="E301" t="s">
        <v>2952</v>
      </c>
    </row>
    <row r="302" spans="2:5">
      <c r="B302" s="65" t="str">
        <f t="shared" si="4"/>
        <v>doc-1091:2</v>
      </c>
      <c r="C302" t="s">
        <v>9540</v>
      </c>
      <c r="D302">
        <v>2</v>
      </c>
      <c r="E302" t="s">
        <v>1286</v>
      </c>
    </row>
    <row r="303" spans="2:5">
      <c r="B303" s="65" t="str">
        <f t="shared" si="4"/>
        <v>doc-1091:3</v>
      </c>
      <c r="C303" t="s">
        <v>9540</v>
      </c>
      <c r="D303">
        <v>3</v>
      </c>
      <c r="E303" t="s">
        <v>254</v>
      </c>
    </row>
    <row r="304" spans="2:5">
      <c r="B304" s="65" t="str">
        <f t="shared" si="4"/>
        <v>doc-1091:4</v>
      </c>
      <c r="C304" t="s">
        <v>9540</v>
      </c>
      <c r="D304">
        <v>4</v>
      </c>
      <c r="E304" t="s">
        <v>299</v>
      </c>
    </row>
    <row r="305" spans="2:5">
      <c r="B305" s="65" t="str">
        <f t="shared" si="4"/>
        <v>doc-1092:1</v>
      </c>
      <c r="C305" t="s">
        <v>9541</v>
      </c>
      <c r="D305">
        <v>1</v>
      </c>
      <c r="E305" t="s">
        <v>2954</v>
      </c>
    </row>
    <row r="306" spans="2:5">
      <c r="B306" s="65" t="str">
        <f t="shared" si="4"/>
        <v>doc-1092:2</v>
      </c>
      <c r="C306" t="s">
        <v>9541</v>
      </c>
      <c r="D306">
        <v>2</v>
      </c>
      <c r="E306" t="s">
        <v>2967</v>
      </c>
    </row>
    <row r="307" spans="2:5">
      <c r="B307" s="65" t="str">
        <f t="shared" si="4"/>
        <v>doc-1092:3</v>
      </c>
      <c r="C307" t="s">
        <v>9541</v>
      </c>
      <c r="D307">
        <v>3</v>
      </c>
      <c r="E307" t="s">
        <v>90</v>
      </c>
    </row>
    <row r="308" spans="2:5">
      <c r="B308" s="65" t="str">
        <f t="shared" si="4"/>
        <v>doc-1092:4</v>
      </c>
      <c r="C308" t="s">
        <v>9541</v>
      </c>
      <c r="D308">
        <v>4</v>
      </c>
      <c r="E308" t="s">
        <v>299</v>
      </c>
    </row>
    <row r="309" spans="2:5">
      <c r="B309" s="65" t="str">
        <f t="shared" si="4"/>
        <v>doc-1093:1</v>
      </c>
      <c r="C309" t="s">
        <v>9542</v>
      </c>
      <c r="D309">
        <v>1</v>
      </c>
      <c r="E309" t="s">
        <v>2112</v>
      </c>
    </row>
    <row r="310" spans="2:5">
      <c r="B310" s="65" t="str">
        <f t="shared" si="4"/>
        <v>doc-1093:2</v>
      </c>
      <c r="C310" t="s">
        <v>9542</v>
      </c>
      <c r="D310">
        <v>2</v>
      </c>
      <c r="E310" t="s">
        <v>2061</v>
      </c>
    </row>
    <row r="311" spans="2:5">
      <c r="B311" s="65" t="str">
        <f t="shared" si="4"/>
        <v>doc-1093:3</v>
      </c>
      <c r="C311" t="s">
        <v>9542</v>
      </c>
      <c r="D311">
        <v>3</v>
      </c>
      <c r="E311" t="s">
        <v>2124</v>
      </c>
    </row>
    <row r="312" spans="2:5">
      <c r="B312" s="65" t="str">
        <f t="shared" si="4"/>
        <v>doc-1093:4</v>
      </c>
      <c r="C312" t="s">
        <v>9542</v>
      </c>
      <c r="D312">
        <v>4</v>
      </c>
      <c r="E312" t="s">
        <v>2092</v>
      </c>
    </row>
    <row r="313" spans="2:5">
      <c r="B313" s="65" t="str">
        <f t="shared" si="4"/>
        <v>doc-1094:1</v>
      </c>
      <c r="C313" t="s">
        <v>9543</v>
      </c>
      <c r="D313">
        <v>1</v>
      </c>
      <c r="E313" t="s">
        <v>2965</v>
      </c>
    </row>
    <row r="314" spans="2:5">
      <c r="B314" s="65" t="str">
        <f t="shared" si="4"/>
        <v>doc-1094:2</v>
      </c>
      <c r="C314" t="s">
        <v>9543</v>
      </c>
      <c r="D314">
        <v>2</v>
      </c>
      <c r="E314" t="s">
        <v>299</v>
      </c>
    </row>
    <row r="315" spans="2:5">
      <c r="B315" s="65" t="str">
        <f t="shared" si="4"/>
        <v>doc-1094:3</v>
      </c>
      <c r="C315" t="s">
        <v>9543</v>
      </c>
      <c r="D315">
        <v>3</v>
      </c>
      <c r="E315" t="s">
        <v>2967</v>
      </c>
    </row>
    <row r="316" spans="2:5">
      <c r="B316" s="65" t="str">
        <f t="shared" si="4"/>
        <v>doc-1095:1</v>
      </c>
      <c r="C316" t="s">
        <v>5561</v>
      </c>
      <c r="D316">
        <v>1</v>
      </c>
      <c r="E316" t="s">
        <v>2059</v>
      </c>
    </row>
    <row r="317" spans="2:5">
      <c r="B317" s="65" t="str">
        <f t="shared" si="4"/>
        <v>doc-1095:2</v>
      </c>
      <c r="C317" t="s">
        <v>5561</v>
      </c>
      <c r="D317">
        <v>2</v>
      </c>
      <c r="E317" t="s">
        <v>2092</v>
      </c>
    </row>
    <row r="318" spans="2:5">
      <c r="B318" s="65" t="str">
        <f t="shared" si="4"/>
        <v>doc-1095:3</v>
      </c>
      <c r="C318" t="s">
        <v>5561</v>
      </c>
      <c r="D318">
        <v>3</v>
      </c>
      <c r="E318" t="s">
        <v>2137</v>
      </c>
    </row>
    <row r="319" spans="2:5">
      <c r="B319" s="65" t="str">
        <f t="shared" si="4"/>
        <v>doc-1097:1</v>
      </c>
      <c r="C319" t="s">
        <v>9544</v>
      </c>
      <c r="D319">
        <v>1</v>
      </c>
      <c r="E319" t="s">
        <v>2485</v>
      </c>
    </row>
    <row r="320" spans="2:5">
      <c r="B320" s="65" t="str">
        <f t="shared" si="4"/>
        <v>doc-1097:2</v>
      </c>
      <c r="C320" t="s">
        <v>9544</v>
      </c>
      <c r="D320">
        <v>2</v>
      </c>
      <c r="E320" t="s">
        <v>2422</v>
      </c>
    </row>
    <row r="321" spans="2:5">
      <c r="B321" s="65" t="str">
        <f t="shared" si="4"/>
        <v>doc-1099:1</v>
      </c>
      <c r="C321" t="s">
        <v>9545</v>
      </c>
      <c r="D321">
        <v>1</v>
      </c>
      <c r="E321" t="s">
        <v>2983</v>
      </c>
    </row>
    <row r="322" spans="2:5">
      <c r="B322" s="65" t="str">
        <f t="shared" si="4"/>
        <v>doc-1099:2</v>
      </c>
      <c r="C322" t="s">
        <v>9545</v>
      </c>
      <c r="D322">
        <v>2</v>
      </c>
      <c r="E322" t="s">
        <v>1171</v>
      </c>
    </row>
    <row r="323" spans="2:5">
      <c r="B323" s="65" t="str">
        <f t="shared" si="4"/>
        <v>doc-1100:1</v>
      </c>
      <c r="C323" t="s">
        <v>5567</v>
      </c>
      <c r="D323">
        <v>1</v>
      </c>
      <c r="E323" t="s">
        <v>2749</v>
      </c>
    </row>
    <row r="324" spans="2:5">
      <c r="B324" s="65" t="str">
        <f t="shared" ref="B324:B387" si="5">$C324&amp;":"&amp;$D324</f>
        <v>doc-1100:2</v>
      </c>
      <c r="C324" t="s">
        <v>5567</v>
      </c>
      <c r="D324">
        <v>2</v>
      </c>
      <c r="E324" t="s">
        <v>2698</v>
      </c>
    </row>
    <row r="325" spans="2:5">
      <c r="B325" s="65" t="str">
        <f t="shared" si="5"/>
        <v>doc-1100:3</v>
      </c>
      <c r="C325" t="s">
        <v>5567</v>
      </c>
      <c r="D325">
        <v>3</v>
      </c>
      <c r="E325" t="s">
        <v>2742</v>
      </c>
    </row>
    <row r="326" spans="2:5">
      <c r="B326" s="65" t="str">
        <f t="shared" si="5"/>
        <v>doc-1100:4</v>
      </c>
      <c r="C326" t="s">
        <v>5567</v>
      </c>
      <c r="D326">
        <v>4</v>
      </c>
      <c r="E326" t="s">
        <v>2664</v>
      </c>
    </row>
    <row r="327" spans="2:5">
      <c r="B327" s="65" t="str">
        <f t="shared" si="5"/>
        <v>doc-1100:5</v>
      </c>
      <c r="C327" t="s">
        <v>5567</v>
      </c>
      <c r="D327">
        <v>5</v>
      </c>
      <c r="E327" t="s">
        <v>3233</v>
      </c>
    </row>
    <row r="328" spans="2:5">
      <c r="B328" s="65" t="str">
        <f t="shared" si="5"/>
        <v>doc-1101:1</v>
      </c>
      <c r="C328" t="s">
        <v>9546</v>
      </c>
      <c r="D328">
        <v>1</v>
      </c>
      <c r="E328" t="s">
        <v>2077</v>
      </c>
    </row>
    <row r="329" spans="2:5">
      <c r="B329" s="65" t="str">
        <f t="shared" si="5"/>
        <v>doc-1101:2</v>
      </c>
      <c r="C329" t="s">
        <v>9546</v>
      </c>
      <c r="D329">
        <v>2</v>
      </c>
      <c r="E329" t="s">
        <v>2089</v>
      </c>
    </row>
    <row r="330" spans="2:5">
      <c r="B330" s="65" t="str">
        <f t="shared" si="5"/>
        <v>doc-1102:1</v>
      </c>
      <c r="C330" t="s">
        <v>5573</v>
      </c>
      <c r="D330">
        <v>1</v>
      </c>
      <c r="E330" t="s">
        <v>2095</v>
      </c>
    </row>
    <row r="331" spans="2:5">
      <c r="B331" s="65" t="str">
        <f t="shared" si="5"/>
        <v>doc-1102:2</v>
      </c>
      <c r="C331" t="s">
        <v>5573</v>
      </c>
      <c r="D331">
        <v>2</v>
      </c>
      <c r="E331" t="s">
        <v>3254</v>
      </c>
    </row>
    <row r="332" spans="2:5">
      <c r="B332" s="65" t="str">
        <f t="shared" si="5"/>
        <v>doc-1102:3</v>
      </c>
      <c r="C332" t="s">
        <v>5573</v>
      </c>
      <c r="D332">
        <v>3</v>
      </c>
      <c r="E332" t="s">
        <v>1973</v>
      </c>
    </row>
    <row r="333" spans="2:5">
      <c r="B333" s="65" t="str">
        <f t="shared" si="5"/>
        <v>doc-1103:1</v>
      </c>
      <c r="C333" t="s">
        <v>9547</v>
      </c>
      <c r="D333">
        <v>1</v>
      </c>
      <c r="E333" t="s">
        <v>2558</v>
      </c>
    </row>
    <row r="334" spans="2:5">
      <c r="B334" s="65" t="str">
        <f t="shared" si="5"/>
        <v>doc-1103:2</v>
      </c>
      <c r="C334" t="s">
        <v>9547</v>
      </c>
      <c r="D334">
        <v>2</v>
      </c>
      <c r="E334" t="s">
        <v>1991</v>
      </c>
    </row>
    <row r="335" spans="2:5">
      <c r="B335" s="65" t="str">
        <f t="shared" si="5"/>
        <v>doc-1103:3</v>
      </c>
      <c r="C335" t="s">
        <v>9547</v>
      </c>
      <c r="D335">
        <v>3</v>
      </c>
      <c r="E335" t="s">
        <v>1830</v>
      </c>
    </row>
    <row r="336" spans="2:5">
      <c r="B336" s="65" t="str">
        <f t="shared" si="5"/>
        <v>doc-1103:4</v>
      </c>
      <c r="C336" t="s">
        <v>9547</v>
      </c>
      <c r="D336">
        <v>4</v>
      </c>
      <c r="E336" t="s">
        <v>1971</v>
      </c>
    </row>
    <row r="337" spans="2:5">
      <c r="B337" s="65" t="str">
        <f t="shared" si="5"/>
        <v>doc-1104:1</v>
      </c>
      <c r="C337" t="s">
        <v>9548</v>
      </c>
      <c r="D337">
        <v>1</v>
      </c>
      <c r="E337" t="s">
        <v>1830</v>
      </c>
    </row>
    <row r="338" spans="2:5">
      <c r="B338" s="65" t="str">
        <f t="shared" si="5"/>
        <v>doc-1105a:1</v>
      </c>
      <c r="C338" t="s">
        <v>9549</v>
      </c>
      <c r="D338">
        <v>1</v>
      </c>
      <c r="E338" t="s">
        <v>2087</v>
      </c>
    </row>
    <row r="339" spans="2:5">
      <c r="B339" s="65" t="str">
        <f t="shared" si="5"/>
        <v>doc-1105a:2</v>
      </c>
      <c r="C339" t="s">
        <v>9549</v>
      </c>
      <c r="D339">
        <v>2</v>
      </c>
      <c r="E339" t="s">
        <v>2089</v>
      </c>
    </row>
    <row r="340" spans="2:5">
      <c r="B340" s="65" t="str">
        <f t="shared" si="5"/>
        <v>doc-1105a:3</v>
      </c>
      <c r="C340" t="s">
        <v>9549</v>
      </c>
      <c r="D340">
        <v>3</v>
      </c>
      <c r="E340" t="s">
        <v>1833</v>
      </c>
    </row>
    <row r="341" spans="2:5">
      <c r="B341" s="65" t="str">
        <f t="shared" si="5"/>
        <v>doc-1106:1</v>
      </c>
      <c r="C341" t="s">
        <v>9550</v>
      </c>
      <c r="D341">
        <v>1</v>
      </c>
      <c r="E341" t="s">
        <v>73</v>
      </c>
    </row>
    <row r="342" spans="2:5">
      <c r="B342" s="65" t="str">
        <f t="shared" si="5"/>
        <v>doc-1106:2</v>
      </c>
      <c r="C342" t="s">
        <v>9550</v>
      </c>
      <c r="D342">
        <v>2</v>
      </c>
      <c r="E342" t="s">
        <v>87</v>
      </c>
    </row>
    <row r="343" spans="2:5">
      <c r="B343" s="65" t="str">
        <f t="shared" si="5"/>
        <v>doc-1106:3</v>
      </c>
      <c r="C343" t="s">
        <v>9550</v>
      </c>
      <c r="D343">
        <v>3</v>
      </c>
      <c r="E343" t="s">
        <v>1467</v>
      </c>
    </row>
    <row r="344" spans="2:5">
      <c r="B344" s="65" t="str">
        <f t="shared" si="5"/>
        <v>doc-1106:4</v>
      </c>
      <c r="C344" t="s">
        <v>9550</v>
      </c>
      <c r="D344">
        <v>4</v>
      </c>
      <c r="E344" t="s">
        <v>90</v>
      </c>
    </row>
    <row r="345" spans="2:5">
      <c r="B345" s="65" t="str">
        <f t="shared" si="5"/>
        <v>doc-1106:5</v>
      </c>
      <c r="C345" t="s">
        <v>9550</v>
      </c>
      <c r="D345">
        <v>5</v>
      </c>
      <c r="E345" t="s">
        <v>2950</v>
      </c>
    </row>
    <row r="346" spans="2:5">
      <c r="B346" s="65" t="str">
        <f t="shared" si="5"/>
        <v>doc-1106:6</v>
      </c>
      <c r="C346" t="s">
        <v>9550</v>
      </c>
      <c r="D346">
        <v>6</v>
      </c>
      <c r="E346" t="s">
        <v>2967</v>
      </c>
    </row>
    <row r="347" spans="2:5">
      <c r="B347" s="65" t="str">
        <f t="shared" si="5"/>
        <v>doc-1106:7</v>
      </c>
      <c r="C347" t="s">
        <v>9550</v>
      </c>
      <c r="D347">
        <v>7</v>
      </c>
      <c r="E347" t="s">
        <v>1349</v>
      </c>
    </row>
    <row r="348" spans="2:5">
      <c r="B348" s="65" t="str">
        <f t="shared" si="5"/>
        <v>doc-1106:8</v>
      </c>
      <c r="C348" t="s">
        <v>9550</v>
      </c>
      <c r="D348">
        <v>8</v>
      </c>
      <c r="E348" t="s">
        <v>1395</v>
      </c>
    </row>
    <row r="349" spans="2:5">
      <c r="B349" s="65" t="str">
        <f t="shared" si="5"/>
        <v>doc-1106:9</v>
      </c>
      <c r="C349" t="s">
        <v>9550</v>
      </c>
      <c r="D349">
        <v>9</v>
      </c>
      <c r="E349" t="s">
        <v>281</v>
      </c>
    </row>
    <row r="350" spans="2:5">
      <c r="B350" s="65" t="str">
        <f t="shared" si="5"/>
        <v>doc-1106:10</v>
      </c>
      <c r="C350" t="s">
        <v>9550</v>
      </c>
      <c r="D350">
        <v>10</v>
      </c>
      <c r="E350" t="s">
        <v>2310</v>
      </c>
    </row>
    <row r="351" spans="2:5">
      <c r="B351" s="65" t="str">
        <f t="shared" si="5"/>
        <v>doc-1106:11</v>
      </c>
      <c r="C351" t="s">
        <v>9550</v>
      </c>
      <c r="D351">
        <v>11</v>
      </c>
      <c r="E351" t="s">
        <v>1550</v>
      </c>
    </row>
    <row r="352" spans="2:5">
      <c r="B352" s="65" t="str">
        <f t="shared" si="5"/>
        <v>doc-1106:12</v>
      </c>
      <c r="C352" t="s">
        <v>9550</v>
      </c>
      <c r="D352">
        <v>12</v>
      </c>
      <c r="E352" t="s">
        <v>107</v>
      </c>
    </row>
    <row r="353" spans="2:5">
      <c r="B353" s="65" t="str">
        <f t="shared" si="5"/>
        <v>doc-1107:1</v>
      </c>
      <c r="C353" t="s">
        <v>9551</v>
      </c>
      <c r="D353">
        <v>1</v>
      </c>
      <c r="E353" t="s">
        <v>1760</v>
      </c>
    </row>
    <row r="354" spans="2:5">
      <c r="B354" s="65" t="str">
        <f t="shared" si="5"/>
        <v>doc-1107:2</v>
      </c>
      <c r="C354" t="s">
        <v>9551</v>
      </c>
      <c r="D354">
        <v>2</v>
      </c>
      <c r="E354" t="s">
        <v>1737</v>
      </c>
    </row>
    <row r="355" spans="2:5">
      <c r="B355" s="65" t="str">
        <f t="shared" si="5"/>
        <v>doc-1107:3</v>
      </c>
      <c r="C355" t="s">
        <v>9551</v>
      </c>
      <c r="D355">
        <v>3</v>
      </c>
      <c r="E355" t="s">
        <v>1747</v>
      </c>
    </row>
    <row r="356" spans="2:5">
      <c r="B356" s="65" t="str">
        <f t="shared" si="5"/>
        <v>doc-1107:4</v>
      </c>
      <c r="C356" t="s">
        <v>9551</v>
      </c>
      <c r="D356">
        <v>4</v>
      </c>
      <c r="E356" t="s">
        <v>1102</v>
      </c>
    </row>
    <row r="357" spans="2:5">
      <c r="B357" s="65" t="str">
        <f t="shared" si="5"/>
        <v>doc-1107:5</v>
      </c>
      <c r="C357" t="s">
        <v>9551</v>
      </c>
      <c r="D357">
        <v>5</v>
      </c>
      <c r="E357" t="s">
        <v>107</v>
      </c>
    </row>
    <row r="358" spans="2:5">
      <c r="B358" s="65" t="str">
        <f t="shared" si="5"/>
        <v>doc-1107:6</v>
      </c>
      <c r="C358" t="s">
        <v>9551</v>
      </c>
      <c r="D358">
        <v>6</v>
      </c>
      <c r="E358" t="s">
        <v>1133</v>
      </c>
    </row>
    <row r="359" spans="2:5">
      <c r="B359" s="65" t="str">
        <f t="shared" si="5"/>
        <v>doc-1107:7</v>
      </c>
      <c r="C359" t="s">
        <v>9551</v>
      </c>
      <c r="D359">
        <v>7</v>
      </c>
      <c r="E359" t="s">
        <v>1087</v>
      </c>
    </row>
    <row r="360" spans="2:5">
      <c r="B360" s="65" t="str">
        <f t="shared" si="5"/>
        <v>doc-1108a:1</v>
      </c>
      <c r="C360" t="s">
        <v>9552</v>
      </c>
      <c r="D360">
        <v>1</v>
      </c>
      <c r="E360" t="s">
        <v>2467</v>
      </c>
    </row>
    <row r="361" spans="2:5">
      <c r="B361" s="65" t="str">
        <f t="shared" si="5"/>
        <v>doc-1108a:2</v>
      </c>
      <c r="C361" t="s">
        <v>9552</v>
      </c>
      <c r="D361">
        <v>2</v>
      </c>
      <c r="E361" t="s">
        <v>2422</v>
      </c>
    </row>
    <row r="362" spans="2:5">
      <c r="B362" s="65" t="str">
        <f t="shared" si="5"/>
        <v>doc-1108a:3</v>
      </c>
      <c r="C362" t="s">
        <v>9552</v>
      </c>
      <c r="D362">
        <v>3</v>
      </c>
      <c r="E362" t="s">
        <v>1902</v>
      </c>
    </row>
    <row r="363" spans="2:5">
      <c r="B363" s="65" t="str">
        <f t="shared" si="5"/>
        <v>doc-1109:1</v>
      </c>
      <c r="C363" t="s">
        <v>9553</v>
      </c>
      <c r="D363">
        <v>1</v>
      </c>
      <c r="E363" t="s">
        <v>2411</v>
      </c>
    </row>
    <row r="364" spans="2:5">
      <c r="B364" s="65" t="str">
        <f t="shared" si="5"/>
        <v>doc-1109:2</v>
      </c>
      <c r="C364" t="s">
        <v>9553</v>
      </c>
      <c r="D364">
        <v>2</v>
      </c>
      <c r="E364" t="s">
        <v>2414</v>
      </c>
    </row>
    <row r="365" spans="2:5">
      <c r="B365" s="65" t="str">
        <f t="shared" si="5"/>
        <v>doc-1109:3</v>
      </c>
      <c r="C365" t="s">
        <v>9553</v>
      </c>
      <c r="D365">
        <v>3</v>
      </c>
      <c r="E365" t="s">
        <v>2407</v>
      </c>
    </row>
    <row r="366" spans="2:5">
      <c r="B366" s="65" t="str">
        <f t="shared" si="5"/>
        <v>doc-1110a:1</v>
      </c>
      <c r="C366" t="s">
        <v>9554</v>
      </c>
      <c r="D366">
        <v>1</v>
      </c>
      <c r="E366" t="s">
        <v>1905</v>
      </c>
    </row>
    <row r="367" spans="2:5">
      <c r="B367" s="65" t="str">
        <f t="shared" si="5"/>
        <v>doc-1110b:1</v>
      </c>
      <c r="C367" t="s">
        <v>9555</v>
      </c>
      <c r="D367">
        <v>1</v>
      </c>
      <c r="E367" t="s">
        <v>2151</v>
      </c>
    </row>
    <row r="368" spans="2:5">
      <c r="B368" s="65" t="str">
        <f t="shared" si="5"/>
        <v>doc-1110b:2</v>
      </c>
      <c r="C368" t="s">
        <v>9555</v>
      </c>
      <c r="D368">
        <v>2</v>
      </c>
      <c r="E368" t="s">
        <v>1905</v>
      </c>
    </row>
    <row r="369" spans="2:5">
      <c r="B369" s="65" t="str">
        <f t="shared" si="5"/>
        <v>doc-1110b:3</v>
      </c>
      <c r="C369" t="s">
        <v>9555</v>
      </c>
      <c r="D369">
        <v>3</v>
      </c>
      <c r="E369" t="s">
        <v>2112</v>
      </c>
    </row>
    <row r="370" spans="2:5">
      <c r="B370" s="65" t="str">
        <f t="shared" si="5"/>
        <v>doc-1110b:4</v>
      </c>
      <c r="C370" t="s">
        <v>9555</v>
      </c>
      <c r="D370">
        <v>4</v>
      </c>
      <c r="E370" t="s">
        <v>2061</v>
      </c>
    </row>
    <row r="371" spans="2:5">
      <c r="B371" s="65" t="str">
        <f t="shared" si="5"/>
        <v>doc-1110b:5</v>
      </c>
      <c r="C371" t="s">
        <v>9555</v>
      </c>
      <c r="D371">
        <v>5</v>
      </c>
      <c r="E371" t="s">
        <v>2092</v>
      </c>
    </row>
    <row r="372" spans="2:5">
      <c r="B372" s="65" t="str">
        <f t="shared" si="5"/>
        <v>doc-1110b:6</v>
      </c>
      <c r="C372" t="s">
        <v>9555</v>
      </c>
      <c r="D372">
        <v>6</v>
      </c>
      <c r="E372" t="s">
        <v>2269</v>
      </c>
    </row>
    <row r="373" spans="2:5">
      <c r="B373" s="65" t="str">
        <f t="shared" si="5"/>
        <v>doc-1110d:1</v>
      </c>
      <c r="C373" t="s">
        <v>9556</v>
      </c>
      <c r="D373">
        <v>1</v>
      </c>
      <c r="E373" t="s">
        <v>2151</v>
      </c>
    </row>
    <row r="374" spans="2:5">
      <c r="B374" s="65" t="str">
        <f t="shared" si="5"/>
        <v>doc-1110d:2</v>
      </c>
      <c r="C374" t="s">
        <v>9556</v>
      </c>
      <c r="D374">
        <v>2</v>
      </c>
      <c r="E374" t="s">
        <v>1905</v>
      </c>
    </row>
    <row r="375" spans="2:5">
      <c r="B375" s="65" t="str">
        <f t="shared" si="5"/>
        <v>doc-1110d:3</v>
      </c>
      <c r="C375" t="s">
        <v>9556</v>
      </c>
      <c r="D375">
        <v>3</v>
      </c>
      <c r="E375" t="s">
        <v>2112</v>
      </c>
    </row>
    <row r="376" spans="2:5">
      <c r="B376" s="65" t="str">
        <f t="shared" si="5"/>
        <v>doc-1110d:4</v>
      </c>
      <c r="C376" t="s">
        <v>9556</v>
      </c>
      <c r="D376">
        <v>4</v>
      </c>
      <c r="E376" t="s">
        <v>2061</v>
      </c>
    </row>
    <row r="377" spans="2:5">
      <c r="B377" s="65" t="str">
        <f t="shared" si="5"/>
        <v>doc-1110d:5</v>
      </c>
      <c r="C377" t="s">
        <v>9556</v>
      </c>
      <c r="D377">
        <v>5</v>
      </c>
      <c r="E377" t="s">
        <v>2092</v>
      </c>
    </row>
    <row r="378" spans="2:5">
      <c r="B378" s="65" t="str">
        <f t="shared" si="5"/>
        <v>doc-1110d:6</v>
      </c>
      <c r="C378" t="s">
        <v>9556</v>
      </c>
      <c r="D378">
        <v>6</v>
      </c>
      <c r="E378" t="s">
        <v>2269</v>
      </c>
    </row>
    <row r="379" spans="2:5">
      <c r="B379" s="65" t="str">
        <f t="shared" si="5"/>
        <v>doc-1111:1</v>
      </c>
      <c r="C379" t="s">
        <v>9557</v>
      </c>
      <c r="D379">
        <v>1</v>
      </c>
      <c r="E379" t="s">
        <v>2799</v>
      </c>
    </row>
    <row r="380" spans="2:5">
      <c r="B380" s="65" t="str">
        <f t="shared" si="5"/>
        <v>doc-1111:2</v>
      </c>
      <c r="C380" t="s">
        <v>9557</v>
      </c>
      <c r="D380">
        <v>2</v>
      </c>
      <c r="E380" t="s">
        <v>2537</v>
      </c>
    </row>
    <row r="381" spans="2:5">
      <c r="B381" s="65" t="str">
        <f t="shared" si="5"/>
        <v>doc-1112:1</v>
      </c>
      <c r="C381" t="s">
        <v>5579</v>
      </c>
      <c r="D381">
        <v>1</v>
      </c>
      <c r="E381" t="s">
        <v>1841</v>
      </c>
    </row>
    <row r="382" spans="2:5">
      <c r="B382" s="65" t="str">
        <f t="shared" si="5"/>
        <v>doc-1112:2</v>
      </c>
      <c r="C382" t="s">
        <v>5579</v>
      </c>
      <c r="D382">
        <v>2</v>
      </c>
      <c r="E382" t="s">
        <v>2009</v>
      </c>
    </row>
    <row r="383" spans="2:5">
      <c r="B383" s="65" t="str">
        <f t="shared" si="5"/>
        <v>doc-1113:1</v>
      </c>
      <c r="C383" t="s">
        <v>9558</v>
      </c>
      <c r="D383">
        <v>1</v>
      </c>
      <c r="E383" t="s">
        <v>3061</v>
      </c>
    </row>
    <row r="384" spans="2:5">
      <c r="B384" s="65" t="str">
        <f t="shared" si="5"/>
        <v>doc-1113:2</v>
      </c>
      <c r="C384" t="s">
        <v>9558</v>
      </c>
      <c r="D384">
        <v>2</v>
      </c>
      <c r="E384" t="s">
        <v>3063</v>
      </c>
    </row>
    <row r="385" spans="2:5">
      <c r="B385" s="65" t="str">
        <f t="shared" si="5"/>
        <v>doc-1113:3</v>
      </c>
      <c r="C385" t="s">
        <v>9558</v>
      </c>
      <c r="D385">
        <v>3</v>
      </c>
      <c r="E385" t="s">
        <v>79</v>
      </c>
    </row>
    <row r="386" spans="2:5">
      <c r="B386" s="65" t="str">
        <f t="shared" si="5"/>
        <v>doc-1113:4</v>
      </c>
      <c r="C386" t="s">
        <v>9558</v>
      </c>
      <c r="D386">
        <v>4</v>
      </c>
      <c r="E386" t="s">
        <v>1114</v>
      </c>
    </row>
    <row r="387" spans="2:5">
      <c r="B387" s="65" t="str">
        <f t="shared" si="5"/>
        <v>doc-1113:5</v>
      </c>
      <c r="C387" t="s">
        <v>9558</v>
      </c>
      <c r="D387">
        <v>5</v>
      </c>
      <c r="E387" t="s">
        <v>247</v>
      </c>
    </row>
    <row r="388" spans="2:5">
      <c r="B388" s="65" t="str">
        <f t="shared" ref="B388:B451" si="6">$C388&amp;":"&amp;$D388</f>
        <v>doc-1114:1</v>
      </c>
      <c r="C388" t="s">
        <v>9559</v>
      </c>
      <c r="D388">
        <v>1</v>
      </c>
      <c r="E388" t="s">
        <v>3061</v>
      </c>
    </row>
    <row r="389" spans="2:5">
      <c r="B389" s="65" t="str">
        <f t="shared" si="6"/>
        <v>doc-1114:2</v>
      </c>
      <c r="C389" t="s">
        <v>9559</v>
      </c>
      <c r="D389">
        <v>2</v>
      </c>
      <c r="E389" t="s">
        <v>82</v>
      </c>
    </row>
    <row r="390" spans="2:5">
      <c r="B390" s="65" t="str">
        <f t="shared" si="6"/>
        <v>doc-1114:3</v>
      </c>
      <c r="C390" t="s">
        <v>9559</v>
      </c>
      <c r="D390">
        <v>3</v>
      </c>
      <c r="E390" t="s">
        <v>254</v>
      </c>
    </row>
    <row r="391" spans="2:5">
      <c r="B391" s="65" t="str">
        <f t="shared" si="6"/>
        <v>doc-1114:4</v>
      </c>
      <c r="C391" t="s">
        <v>9559</v>
      </c>
      <c r="D391">
        <v>4</v>
      </c>
      <c r="E391" t="s">
        <v>79</v>
      </c>
    </row>
    <row r="392" spans="2:5">
      <c r="B392" s="65" t="str">
        <f t="shared" si="6"/>
        <v>doc-1114:5</v>
      </c>
      <c r="C392" t="s">
        <v>9559</v>
      </c>
      <c r="D392">
        <v>5</v>
      </c>
      <c r="E392" t="s">
        <v>1114</v>
      </c>
    </row>
    <row r="393" spans="2:5">
      <c r="B393" s="65" t="str">
        <f t="shared" si="6"/>
        <v>doc-1114:6</v>
      </c>
      <c r="C393" t="s">
        <v>9559</v>
      </c>
      <c r="D393">
        <v>6</v>
      </c>
      <c r="E393" t="s">
        <v>3058</v>
      </c>
    </row>
    <row r="394" spans="2:5">
      <c r="B394" s="65" t="str">
        <f t="shared" si="6"/>
        <v>doc-1115:1</v>
      </c>
      <c r="C394" t="s">
        <v>9560</v>
      </c>
      <c r="D394">
        <v>1</v>
      </c>
      <c r="E394" t="s">
        <v>2197</v>
      </c>
    </row>
    <row r="395" spans="2:5">
      <c r="B395" s="65" t="str">
        <f t="shared" si="6"/>
        <v>doc-1115:2</v>
      </c>
      <c r="C395" t="s">
        <v>9560</v>
      </c>
      <c r="D395">
        <v>2</v>
      </c>
      <c r="E395" t="s">
        <v>82</v>
      </c>
    </row>
    <row r="396" spans="2:5">
      <c r="B396" s="65" t="str">
        <f t="shared" si="6"/>
        <v>doc-1115:3</v>
      </c>
      <c r="C396" t="s">
        <v>9560</v>
      </c>
      <c r="D396">
        <v>3</v>
      </c>
      <c r="E396" t="s">
        <v>1561</v>
      </c>
    </row>
    <row r="397" spans="2:5">
      <c r="B397" s="65" t="str">
        <f t="shared" si="6"/>
        <v>doc-1115:4</v>
      </c>
      <c r="C397" t="s">
        <v>9560</v>
      </c>
      <c r="D397">
        <v>4</v>
      </c>
      <c r="E397" t="s">
        <v>1547</v>
      </c>
    </row>
    <row r="398" spans="2:5">
      <c r="B398" s="65" t="str">
        <f t="shared" si="6"/>
        <v>doc-1116a:1</v>
      </c>
      <c r="C398" t="s">
        <v>9561</v>
      </c>
      <c r="D398">
        <v>1</v>
      </c>
      <c r="E398" t="s">
        <v>1833</v>
      </c>
    </row>
    <row r="399" spans="2:5">
      <c r="B399" s="65" t="str">
        <f t="shared" si="6"/>
        <v>doc-1119:1</v>
      </c>
      <c r="C399" t="s">
        <v>9562</v>
      </c>
      <c r="D399">
        <v>1</v>
      </c>
      <c r="E399" t="s">
        <v>2967</v>
      </c>
    </row>
    <row r="400" spans="2:5">
      <c r="B400" s="65" t="str">
        <f t="shared" si="6"/>
        <v>doc-1119:2</v>
      </c>
      <c r="C400" t="s">
        <v>9562</v>
      </c>
      <c r="D400">
        <v>2</v>
      </c>
      <c r="E400" t="s">
        <v>299</v>
      </c>
    </row>
    <row r="401" spans="2:5">
      <c r="B401" s="65" t="str">
        <f t="shared" si="6"/>
        <v>doc-1121:1</v>
      </c>
      <c r="C401" t="s">
        <v>5585</v>
      </c>
      <c r="D401">
        <v>1</v>
      </c>
      <c r="E401" t="s">
        <v>1589</v>
      </c>
    </row>
    <row r="402" spans="2:5">
      <c r="B402" s="65" t="str">
        <f t="shared" si="6"/>
        <v>doc-1121:2</v>
      </c>
      <c r="C402" t="s">
        <v>5585</v>
      </c>
      <c r="D402">
        <v>2</v>
      </c>
      <c r="E402" t="s">
        <v>2989</v>
      </c>
    </row>
    <row r="403" spans="2:5">
      <c r="B403" s="65" t="str">
        <f t="shared" si="6"/>
        <v>doc-1121:3</v>
      </c>
      <c r="C403" t="s">
        <v>5585</v>
      </c>
      <c r="D403">
        <v>3</v>
      </c>
      <c r="E403" t="s">
        <v>2996</v>
      </c>
    </row>
    <row r="404" spans="2:5">
      <c r="B404" s="65" t="str">
        <f t="shared" si="6"/>
        <v>doc-1122:1</v>
      </c>
      <c r="C404" t="s">
        <v>9563</v>
      </c>
      <c r="D404">
        <v>1</v>
      </c>
      <c r="E404" t="s">
        <v>2604</v>
      </c>
    </row>
    <row r="405" spans="2:5">
      <c r="B405" s="65" t="str">
        <f t="shared" si="6"/>
        <v>doc-1122:2</v>
      </c>
      <c r="C405" t="s">
        <v>9563</v>
      </c>
      <c r="D405">
        <v>2</v>
      </c>
      <c r="E405" t="s">
        <v>2602</v>
      </c>
    </row>
    <row r="406" spans="2:5">
      <c r="B406" s="65" t="str">
        <f t="shared" si="6"/>
        <v>doc-1122:3</v>
      </c>
      <c r="C406" t="s">
        <v>9563</v>
      </c>
      <c r="D406">
        <v>3</v>
      </c>
      <c r="E406" t="s">
        <v>2729</v>
      </c>
    </row>
    <row r="407" spans="2:5">
      <c r="B407" s="65" t="str">
        <f t="shared" si="6"/>
        <v>doc-1122:4</v>
      </c>
      <c r="C407" t="s">
        <v>9563</v>
      </c>
      <c r="D407">
        <v>4</v>
      </c>
      <c r="E407" t="s">
        <v>2717</v>
      </c>
    </row>
    <row r="408" spans="2:5">
      <c r="B408" s="65" t="str">
        <f t="shared" si="6"/>
        <v>doc-1122:5</v>
      </c>
      <c r="C408" t="s">
        <v>9563</v>
      </c>
      <c r="D408">
        <v>5</v>
      </c>
      <c r="E408" t="s">
        <v>2667</v>
      </c>
    </row>
    <row r="409" spans="2:5">
      <c r="B409" s="65" t="str">
        <f t="shared" si="6"/>
        <v>doc-1123:1</v>
      </c>
      <c r="C409" t="s">
        <v>9564</v>
      </c>
      <c r="D409">
        <v>1</v>
      </c>
      <c r="E409" t="s">
        <v>1589</v>
      </c>
    </row>
    <row r="410" spans="2:5">
      <c r="B410" s="65" t="str">
        <f t="shared" si="6"/>
        <v>doc-1123:2</v>
      </c>
      <c r="C410" t="s">
        <v>9564</v>
      </c>
      <c r="D410">
        <v>2</v>
      </c>
      <c r="E410" t="s">
        <v>3257</v>
      </c>
    </row>
    <row r="411" spans="2:5">
      <c r="B411" s="65" t="str">
        <f t="shared" si="6"/>
        <v>doc-1123:3</v>
      </c>
      <c r="C411" t="s">
        <v>9564</v>
      </c>
      <c r="D411">
        <v>3</v>
      </c>
      <c r="E411" t="s">
        <v>2998</v>
      </c>
    </row>
    <row r="412" spans="2:5">
      <c r="B412" s="65" t="str">
        <f t="shared" si="6"/>
        <v>doc-1123:4</v>
      </c>
      <c r="C412" t="s">
        <v>9564</v>
      </c>
      <c r="D412">
        <v>4</v>
      </c>
      <c r="E412" t="s">
        <v>2996</v>
      </c>
    </row>
    <row r="413" spans="2:5">
      <c r="B413" s="65" t="str">
        <f t="shared" si="6"/>
        <v>doc-1123:5</v>
      </c>
      <c r="C413" t="s">
        <v>9564</v>
      </c>
      <c r="D413">
        <v>5</v>
      </c>
      <c r="E413" t="s">
        <v>3170</v>
      </c>
    </row>
    <row r="414" spans="2:5">
      <c r="B414" s="65" t="str">
        <f t="shared" si="6"/>
        <v>doc-1124:1</v>
      </c>
      <c r="C414" t="s">
        <v>9565</v>
      </c>
      <c r="D414">
        <v>1</v>
      </c>
      <c r="E414" t="s">
        <v>2710</v>
      </c>
    </row>
    <row r="415" spans="2:5">
      <c r="B415" s="65" t="str">
        <f t="shared" si="6"/>
        <v>doc-1124:2</v>
      </c>
      <c r="C415" t="s">
        <v>9565</v>
      </c>
      <c r="D415">
        <v>2</v>
      </c>
      <c r="E415" t="s">
        <v>1880</v>
      </c>
    </row>
    <row r="416" spans="2:5">
      <c r="B416" s="65" t="str">
        <f t="shared" si="6"/>
        <v>doc-1124:3</v>
      </c>
      <c r="C416" t="s">
        <v>9565</v>
      </c>
      <c r="D416">
        <v>3</v>
      </c>
      <c r="E416" t="s">
        <v>2983</v>
      </c>
    </row>
    <row r="417" spans="2:5">
      <c r="B417" s="65" t="str">
        <f t="shared" si="6"/>
        <v>doc-1124:4</v>
      </c>
      <c r="C417" t="s">
        <v>9565</v>
      </c>
      <c r="D417">
        <v>4</v>
      </c>
      <c r="E417" t="s">
        <v>1679</v>
      </c>
    </row>
    <row r="418" spans="2:5">
      <c r="B418" s="65" t="str">
        <f t="shared" si="6"/>
        <v>doc-1124:5</v>
      </c>
      <c r="C418" t="s">
        <v>9565</v>
      </c>
      <c r="D418">
        <v>5</v>
      </c>
      <c r="E418" t="s">
        <v>1911</v>
      </c>
    </row>
    <row r="419" spans="2:5">
      <c r="B419" s="65" t="str">
        <f t="shared" si="6"/>
        <v>doc-1124:6</v>
      </c>
      <c r="C419" t="s">
        <v>9565</v>
      </c>
      <c r="D419">
        <v>6</v>
      </c>
      <c r="E419" t="s">
        <v>2996</v>
      </c>
    </row>
    <row r="420" spans="2:5">
      <c r="B420" s="65" t="str">
        <f t="shared" si="6"/>
        <v>doc-1124:7</v>
      </c>
      <c r="C420" t="s">
        <v>9565</v>
      </c>
      <c r="D420">
        <v>7</v>
      </c>
      <c r="E420" t="s">
        <v>2667</v>
      </c>
    </row>
    <row r="421" spans="2:5">
      <c r="B421" s="65" t="str">
        <f t="shared" si="6"/>
        <v>doc-1125:1</v>
      </c>
      <c r="C421" t="s">
        <v>9566</v>
      </c>
      <c r="D421">
        <v>1</v>
      </c>
      <c r="E421" t="s">
        <v>2717</v>
      </c>
    </row>
    <row r="422" spans="2:5">
      <c r="B422" s="65" t="str">
        <f t="shared" si="6"/>
        <v>doc-1125:2</v>
      </c>
      <c r="C422" t="s">
        <v>9566</v>
      </c>
      <c r="D422">
        <v>2</v>
      </c>
      <c r="E422" t="s">
        <v>2667</v>
      </c>
    </row>
    <row r="423" spans="2:5">
      <c r="B423" s="65" t="str">
        <f t="shared" si="6"/>
        <v>doc-1126a:1</v>
      </c>
      <c r="C423" t="s">
        <v>9567</v>
      </c>
      <c r="D423">
        <v>1</v>
      </c>
      <c r="E423" t="s">
        <v>2173</v>
      </c>
    </row>
    <row r="424" spans="2:5">
      <c r="B424" s="65" t="str">
        <f t="shared" si="6"/>
        <v>doc-1126a:2</v>
      </c>
      <c r="C424" t="s">
        <v>9567</v>
      </c>
      <c r="D424">
        <v>2</v>
      </c>
      <c r="E424" t="s">
        <v>1944</v>
      </c>
    </row>
    <row r="425" spans="2:5">
      <c r="B425" s="65" t="str">
        <f t="shared" si="6"/>
        <v>doc-1126a:3</v>
      </c>
      <c r="C425" t="s">
        <v>9567</v>
      </c>
      <c r="D425">
        <v>3</v>
      </c>
      <c r="E425" t="s">
        <v>1911</v>
      </c>
    </row>
    <row r="426" spans="2:5">
      <c r="B426" s="65" t="str">
        <f t="shared" si="6"/>
        <v>doc-1126a:4</v>
      </c>
      <c r="C426" t="s">
        <v>9567</v>
      </c>
      <c r="D426">
        <v>4</v>
      </c>
      <c r="E426" t="s">
        <v>1856</v>
      </c>
    </row>
    <row r="427" spans="2:5">
      <c r="B427" s="65" t="str">
        <f t="shared" si="6"/>
        <v>doc-1126a:5</v>
      </c>
      <c r="C427" t="s">
        <v>9567</v>
      </c>
      <c r="D427">
        <v>5</v>
      </c>
      <c r="E427" t="s">
        <v>2121</v>
      </c>
    </row>
    <row r="428" spans="2:5">
      <c r="B428" s="65" t="str">
        <f t="shared" si="6"/>
        <v>doc-1127a:1</v>
      </c>
      <c r="C428" t="s">
        <v>9568</v>
      </c>
      <c r="D428">
        <v>1</v>
      </c>
      <c r="E428" t="s">
        <v>1589</v>
      </c>
    </row>
    <row r="429" spans="2:5">
      <c r="B429" s="65" t="str">
        <f t="shared" si="6"/>
        <v>doc-1127a:2</v>
      </c>
      <c r="C429" t="s">
        <v>9568</v>
      </c>
      <c r="D429">
        <v>2</v>
      </c>
      <c r="E429" t="s">
        <v>2970</v>
      </c>
    </row>
    <row r="430" spans="2:5">
      <c r="B430" s="65" t="str">
        <f t="shared" si="6"/>
        <v>doc-1127a:3</v>
      </c>
      <c r="C430" t="s">
        <v>9568</v>
      </c>
      <c r="D430">
        <v>3</v>
      </c>
      <c r="E430" t="s">
        <v>2996</v>
      </c>
    </row>
    <row r="431" spans="2:5">
      <c r="B431" s="65" t="str">
        <f t="shared" si="6"/>
        <v>doc-1128:1</v>
      </c>
      <c r="C431" t="s">
        <v>9569</v>
      </c>
      <c r="D431">
        <v>1</v>
      </c>
      <c r="E431" t="s">
        <v>1804</v>
      </c>
    </row>
    <row r="432" spans="2:5">
      <c r="B432" s="65" t="str">
        <f t="shared" si="6"/>
        <v>doc-1128:2</v>
      </c>
      <c r="C432" t="s">
        <v>9569</v>
      </c>
      <c r="D432">
        <v>2</v>
      </c>
      <c r="E432" t="s">
        <v>2336</v>
      </c>
    </row>
    <row r="433" spans="2:5">
      <c r="B433" s="65" t="str">
        <f t="shared" si="6"/>
        <v>doc-1128:3</v>
      </c>
      <c r="C433" t="s">
        <v>9569</v>
      </c>
      <c r="D433">
        <v>3</v>
      </c>
      <c r="E433" t="s">
        <v>281</v>
      </c>
    </row>
    <row r="434" spans="2:5">
      <c r="B434" s="65" t="str">
        <f t="shared" si="6"/>
        <v>doc-1129a:1</v>
      </c>
      <c r="C434" t="s">
        <v>9570</v>
      </c>
      <c r="D434">
        <v>1</v>
      </c>
      <c r="E434" t="s">
        <v>2930</v>
      </c>
    </row>
    <row r="435" spans="2:5">
      <c r="B435" s="65" t="str">
        <f t="shared" si="6"/>
        <v>doc-1129a:2</v>
      </c>
      <c r="C435" t="s">
        <v>9570</v>
      </c>
      <c r="D435">
        <v>2</v>
      </c>
      <c r="E435" t="s">
        <v>2963</v>
      </c>
    </row>
    <row r="436" spans="2:5">
      <c r="B436" s="65" t="str">
        <f t="shared" si="6"/>
        <v>doc-1129a:3</v>
      </c>
      <c r="C436" t="s">
        <v>9570</v>
      </c>
      <c r="D436">
        <v>3</v>
      </c>
      <c r="E436" t="s">
        <v>73</v>
      </c>
    </row>
    <row r="437" spans="2:5">
      <c r="B437" s="65" t="str">
        <f t="shared" si="6"/>
        <v>doc-1131a:1</v>
      </c>
      <c r="C437" t="s">
        <v>9571</v>
      </c>
      <c r="D437">
        <v>1</v>
      </c>
      <c r="E437" t="s">
        <v>1844</v>
      </c>
    </row>
    <row r="438" spans="2:5">
      <c r="B438" s="65" t="str">
        <f t="shared" si="6"/>
        <v>doc-1131a:2</v>
      </c>
      <c r="C438" t="s">
        <v>9571</v>
      </c>
      <c r="D438">
        <v>2</v>
      </c>
      <c r="E438" t="s">
        <v>1533</v>
      </c>
    </row>
    <row r="439" spans="2:5">
      <c r="B439" s="65" t="str">
        <f t="shared" si="6"/>
        <v>doc-1131a:3</v>
      </c>
      <c r="C439" t="s">
        <v>9571</v>
      </c>
      <c r="D439">
        <v>3</v>
      </c>
      <c r="E439" t="s">
        <v>3075</v>
      </c>
    </row>
    <row r="440" spans="2:5">
      <c r="B440" s="65" t="str">
        <f t="shared" si="6"/>
        <v>doc-1131a:4</v>
      </c>
      <c r="C440" t="s">
        <v>9571</v>
      </c>
      <c r="D440">
        <v>4</v>
      </c>
      <c r="E440" t="s">
        <v>1827</v>
      </c>
    </row>
    <row r="441" spans="2:5">
      <c r="B441" s="65" t="str">
        <f t="shared" si="6"/>
        <v>doc-1131a:5</v>
      </c>
      <c r="C441" t="s">
        <v>9571</v>
      </c>
      <c r="D441">
        <v>5</v>
      </c>
      <c r="E441" t="s">
        <v>3076</v>
      </c>
    </row>
    <row r="442" spans="2:5">
      <c r="B442" s="65" t="str">
        <f t="shared" si="6"/>
        <v>doc-1133:1</v>
      </c>
      <c r="C442" t="s">
        <v>9572</v>
      </c>
      <c r="D442">
        <v>1</v>
      </c>
      <c r="E442" t="s">
        <v>1677</v>
      </c>
    </row>
    <row r="443" spans="2:5">
      <c r="B443" s="65" t="str">
        <f t="shared" si="6"/>
        <v>doc-1133:2</v>
      </c>
      <c r="C443" t="s">
        <v>9572</v>
      </c>
      <c r="D443">
        <v>2</v>
      </c>
      <c r="E443" t="s">
        <v>1682</v>
      </c>
    </row>
    <row r="444" spans="2:5">
      <c r="B444" s="65" t="str">
        <f t="shared" si="6"/>
        <v>doc-1133:3</v>
      </c>
      <c r="C444" t="s">
        <v>9572</v>
      </c>
      <c r="D444">
        <v>3</v>
      </c>
      <c r="E444" t="s">
        <v>1693</v>
      </c>
    </row>
    <row r="445" spans="2:5">
      <c r="B445" s="65" t="str">
        <f t="shared" si="6"/>
        <v>doc-1134a:1</v>
      </c>
      <c r="C445" t="s">
        <v>9573</v>
      </c>
      <c r="D445">
        <v>1</v>
      </c>
      <c r="E445" t="s">
        <v>1941</v>
      </c>
    </row>
    <row r="446" spans="2:5">
      <c r="B446" s="65" t="str">
        <f t="shared" si="6"/>
        <v>doc-1134a:2</v>
      </c>
      <c r="C446" t="s">
        <v>9573</v>
      </c>
      <c r="D446">
        <v>2</v>
      </c>
      <c r="E446" t="s">
        <v>1844</v>
      </c>
    </row>
    <row r="447" spans="2:5">
      <c r="B447" s="65" t="str">
        <f t="shared" si="6"/>
        <v>doc-1134a:3</v>
      </c>
      <c r="C447" t="s">
        <v>9573</v>
      </c>
      <c r="D447">
        <v>3</v>
      </c>
      <c r="E447" t="s">
        <v>2407</v>
      </c>
    </row>
    <row r="448" spans="2:5">
      <c r="B448" s="65" t="str">
        <f t="shared" si="6"/>
        <v>doc-1135:1</v>
      </c>
      <c r="C448" t="s">
        <v>9574</v>
      </c>
      <c r="D448">
        <v>1</v>
      </c>
      <c r="E448" t="s">
        <v>2722</v>
      </c>
    </row>
    <row r="449" spans="2:5">
      <c r="B449" s="65" t="str">
        <f t="shared" si="6"/>
        <v>doc-1135:2</v>
      </c>
      <c r="C449" t="s">
        <v>9574</v>
      </c>
      <c r="D449">
        <v>2</v>
      </c>
      <c r="E449" t="s">
        <v>2749</v>
      </c>
    </row>
    <row r="450" spans="2:5">
      <c r="B450" s="65" t="str">
        <f t="shared" si="6"/>
        <v>doc-1135:3</v>
      </c>
      <c r="C450" t="s">
        <v>9574</v>
      </c>
      <c r="D450">
        <v>3</v>
      </c>
      <c r="E450" t="s">
        <v>2646</v>
      </c>
    </row>
    <row r="451" spans="2:5">
      <c r="B451" s="65" t="str">
        <f t="shared" si="6"/>
        <v>doc-1135:4</v>
      </c>
      <c r="C451" t="s">
        <v>9574</v>
      </c>
      <c r="D451">
        <v>4</v>
      </c>
      <c r="E451" t="s">
        <v>2664</v>
      </c>
    </row>
    <row r="452" spans="2:5">
      <c r="B452" s="65" t="str">
        <f t="shared" ref="B452:B515" si="7">$C452&amp;":"&amp;$D452</f>
        <v>doc-1135:5</v>
      </c>
      <c r="C452" t="s">
        <v>9574</v>
      </c>
      <c r="D452">
        <v>5</v>
      </c>
      <c r="E452" t="s">
        <v>3233</v>
      </c>
    </row>
    <row r="453" spans="2:5">
      <c r="B453" s="65" t="str">
        <f t="shared" si="7"/>
        <v>doc-1136:1</v>
      </c>
      <c r="C453" t="s">
        <v>9575</v>
      </c>
      <c r="D453">
        <v>1</v>
      </c>
      <c r="E453" t="s">
        <v>2411</v>
      </c>
    </row>
    <row r="454" spans="2:5">
      <c r="B454" s="65" t="str">
        <f t="shared" si="7"/>
        <v>doc-1136:2</v>
      </c>
      <c r="C454" t="s">
        <v>9575</v>
      </c>
      <c r="D454">
        <v>2</v>
      </c>
      <c r="E454" t="s">
        <v>1941</v>
      </c>
    </row>
    <row r="455" spans="2:5">
      <c r="B455" s="65" t="str">
        <f t="shared" si="7"/>
        <v>doc-1137:1</v>
      </c>
      <c r="C455" t="s">
        <v>9576</v>
      </c>
      <c r="D455">
        <v>1</v>
      </c>
      <c r="E455" t="s">
        <v>1286</v>
      </c>
    </row>
    <row r="456" spans="2:5">
      <c r="B456" s="65" t="str">
        <f t="shared" si="7"/>
        <v>doc-1137:2</v>
      </c>
      <c r="C456" t="s">
        <v>9576</v>
      </c>
      <c r="D456">
        <v>2</v>
      </c>
      <c r="E456" t="s">
        <v>254</v>
      </c>
    </row>
    <row r="457" spans="2:5">
      <c r="B457" s="65" t="str">
        <f t="shared" si="7"/>
        <v>doc-1137:3</v>
      </c>
      <c r="C457" t="s">
        <v>9576</v>
      </c>
      <c r="D457">
        <v>3</v>
      </c>
      <c r="E457" t="s">
        <v>3145</v>
      </c>
    </row>
    <row r="458" spans="2:5">
      <c r="B458" s="65" t="str">
        <f t="shared" si="7"/>
        <v>doc-1138:1</v>
      </c>
      <c r="C458" t="s">
        <v>9577</v>
      </c>
      <c r="D458">
        <v>1</v>
      </c>
      <c r="E458" t="s">
        <v>2646</v>
      </c>
    </row>
    <row r="459" spans="2:5">
      <c r="B459" s="65" t="str">
        <f t="shared" si="7"/>
        <v>doc-1138:2</v>
      </c>
      <c r="C459" t="s">
        <v>9577</v>
      </c>
      <c r="D459">
        <v>2</v>
      </c>
      <c r="E459" t="s">
        <v>2749</v>
      </c>
    </row>
    <row r="460" spans="2:5">
      <c r="B460" s="65" t="str">
        <f t="shared" si="7"/>
        <v>doc-1138:3</v>
      </c>
      <c r="C460" t="s">
        <v>9577</v>
      </c>
      <c r="D460">
        <v>3</v>
      </c>
      <c r="E460" t="s">
        <v>2722</v>
      </c>
    </row>
    <row r="461" spans="2:5">
      <c r="B461" s="65" t="str">
        <f t="shared" si="7"/>
        <v>doc-1138:4</v>
      </c>
      <c r="C461" t="s">
        <v>9577</v>
      </c>
      <c r="D461">
        <v>4</v>
      </c>
      <c r="E461" t="s">
        <v>3233</v>
      </c>
    </row>
    <row r="462" spans="2:5">
      <c r="B462" s="65" t="str">
        <f t="shared" si="7"/>
        <v>doc-1138:5</v>
      </c>
      <c r="C462" t="s">
        <v>9577</v>
      </c>
      <c r="D462">
        <v>5</v>
      </c>
      <c r="E462" t="s">
        <v>2664</v>
      </c>
    </row>
    <row r="463" spans="2:5">
      <c r="B463" s="65" t="str">
        <f t="shared" si="7"/>
        <v>doc-1139:1</v>
      </c>
      <c r="C463" t="s">
        <v>9578</v>
      </c>
      <c r="D463">
        <v>1</v>
      </c>
      <c r="E463" t="s">
        <v>2023</v>
      </c>
    </row>
    <row r="464" spans="2:5">
      <c r="B464" s="65" t="str">
        <f t="shared" si="7"/>
        <v>doc-1139:2</v>
      </c>
      <c r="C464" t="s">
        <v>9578</v>
      </c>
      <c r="D464">
        <v>2</v>
      </c>
      <c r="E464" t="s">
        <v>1944</v>
      </c>
    </row>
    <row r="465" spans="2:5">
      <c r="B465" s="65" t="str">
        <f t="shared" si="7"/>
        <v>doc-1139:3</v>
      </c>
      <c r="C465" t="s">
        <v>9578</v>
      </c>
      <c r="D465">
        <v>3</v>
      </c>
      <c r="E465" t="s">
        <v>1833</v>
      </c>
    </row>
    <row r="466" spans="2:5">
      <c r="B466" s="65" t="str">
        <f t="shared" si="7"/>
        <v>doc-1141:1</v>
      </c>
      <c r="C466" t="s">
        <v>9579</v>
      </c>
      <c r="D466">
        <v>1</v>
      </c>
      <c r="E466" t="s">
        <v>2179</v>
      </c>
    </row>
    <row r="467" spans="2:5">
      <c r="B467" s="65" t="str">
        <f t="shared" si="7"/>
        <v>doc-1141:2</v>
      </c>
      <c r="C467" t="s">
        <v>9579</v>
      </c>
      <c r="D467">
        <v>2</v>
      </c>
      <c r="E467" t="s">
        <v>2121</v>
      </c>
    </row>
    <row r="468" spans="2:5">
      <c r="B468" s="65" t="str">
        <f t="shared" si="7"/>
        <v>doc-1141:3</v>
      </c>
      <c r="C468" t="s">
        <v>9579</v>
      </c>
      <c r="D468">
        <v>3</v>
      </c>
      <c r="E468" t="s">
        <v>2847</v>
      </c>
    </row>
    <row r="469" spans="2:5">
      <c r="B469" s="65" t="str">
        <f t="shared" si="7"/>
        <v>doc-1141:4</v>
      </c>
      <c r="C469" t="s">
        <v>9579</v>
      </c>
      <c r="D469">
        <v>4</v>
      </c>
      <c r="E469" t="s">
        <v>2849</v>
      </c>
    </row>
    <row r="470" spans="2:5">
      <c r="B470" s="65" t="str">
        <f t="shared" si="7"/>
        <v>doc-1143a:1</v>
      </c>
      <c r="C470" t="s">
        <v>9580</v>
      </c>
      <c r="D470">
        <v>1</v>
      </c>
      <c r="E470" t="s">
        <v>2106</v>
      </c>
    </row>
    <row r="471" spans="2:5">
      <c r="B471" s="65" t="str">
        <f t="shared" si="7"/>
        <v>doc-1143a:2</v>
      </c>
      <c r="C471" t="s">
        <v>9580</v>
      </c>
      <c r="D471">
        <v>2</v>
      </c>
      <c r="E471" t="s">
        <v>1813</v>
      </c>
    </row>
    <row r="472" spans="2:5">
      <c r="B472" s="65" t="str">
        <f t="shared" si="7"/>
        <v>doc-1143a:3</v>
      </c>
      <c r="C472" t="s">
        <v>9580</v>
      </c>
      <c r="D472">
        <v>3</v>
      </c>
      <c r="E472" t="s">
        <v>1944</v>
      </c>
    </row>
    <row r="473" spans="2:5">
      <c r="B473" s="65" t="str">
        <f t="shared" si="7"/>
        <v>doc-1144a:1</v>
      </c>
      <c r="C473" t="s">
        <v>9581</v>
      </c>
      <c r="D473">
        <v>1</v>
      </c>
      <c r="E473" t="s">
        <v>1941</v>
      </c>
    </row>
    <row r="474" spans="2:5">
      <c r="B474" s="65" t="str">
        <f t="shared" si="7"/>
        <v>doc-1144a:2</v>
      </c>
      <c r="C474" t="s">
        <v>9581</v>
      </c>
      <c r="D474">
        <v>2</v>
      </c>
      <c r="E474" t="s">
        <v>1959</v>
      </c>
    </row>
    <row r="475" spans="2:5">
      <c r="B475" s="65" t="str">
        <f t="shared" si="7"/>
        <v>doc-1144a:3</v>
      </c>
      <c r="C475" t="s">
        <v>9581</v>
      </c>
      <c r="D475">
        <v>3</v>
      </c>
      <c r="E475" t="s">
        <v>2407</v>
      </c>
    </row>
    <row r="476" spans="2:5">
      <c r="B476" s="65" t="str">
        <f t="shared" si="7"/>
        <v>doc-1145a:1</v>
      </c>
      <c r="C476" t="s">
        <v>9582</v>
      </c>
      <c r="D476">
        <v>1</v>
      </c>
      <c r="E476" t="s">
        <v>2411</v>
      </c>
    </row>
    <row r="477" spans="2:5">
      <c r="B477" s="65" t="str">
        <f t="shared" si="7"/>
        <v>doc-1145a:2</v>
      </c>
      <c r="C477" t="s">
        <v>9582</v>
      </c>
      <c r="D477">
        <v>2</v>
      </c>
      <c r="E477" t="s">
        <v>2414</v>
      </c>
    </row>
    <row r="478" spans="2:5">
      <c r="B478" s="65" t="str">
        <f t="shared" si="7"/>
        <v>doc-1146:1</v>
      </c>
      <c r="C478" t="s">
        <v>9583</v>
      </c>
      <c r="D478">
        <v>1</v>
      </c>
      <c r="E478" t="s">
        <v>2698</v>
      </c>
    </row>
    <row r="479" spans="2:5">
      <c r="B479" s="65" t="str">
        <f t="shared" si="7"/>
        <v>doc-1146:2</v>
      </c>
      <c r="C479" t="s">
        <v>9583</v>
      </c>
      <c r="D479">
        <v>2</v>
      </c>
      <c r="E479" t="s">
        <v>1392</v>
      </c>
    </row>
    <row r="480" spans="2:5">
      <c r="B480" s="65" t="str">
        <f t="shared" si="7"/>
        <v>doc-1146:3</v>
      </c>
      <c r="C480" t="s">
        <v>9583</v>
      </c>
      <c r="D480">
        <v>3</v>
      </c>
      <c r="E480" t="s">
        <v>1407</v>
      </c>
    </row>
    <row r="481" spans="2:5">
      <c r="B481" s="65" t="str">
        <f t="shared" si="7"/>
        <v>doc-1146:4</v>
      </c>
      <c r="C481" t="s">
        <v>9583</v>
      </c>
      <c r="D481">
        <v>4</v>
      </c>
      <c r="E481" t="s">
        <v>1663</v>
      </c>
    </row>
    <row r="482" spans="2:5">
      <c r="B482" s="65" t="str">
        <f t="shared" si="7"/>
        <v>doc-1146:5</v>
      </c>
      <c r="C482" t="s">
        <v>9583</v>
      </c>
      <c r="D482">
        <v>5</v>
      </c>
      <c r="E482" t="s">
        <v>2664</v>
      </c>
    </row>
    <row r="483" spans="2:5">
      <c r="B483" s="65" t="str">
        <f t="shared" si="7"/>
        <v>doc-1146:6</v>
      </c>
      <c r="C483" t="s">
        <v>9583</v>
      </c>
      <c r="D483">
        <v>6</v>
      </c>
      <c r="E483" t="s">
        <v>1575</v>
      </c>
    </row>
    <row r="484" spans="2:5">
      <c r="B484" s="65" t="str">
        <f t="shared" si="7"/>
        <v>doc-1147a:1</v>
      </c>
      <c r="C484" t="s">
        <v>9584</v>
      </c>
      <c r="D484">
        <v>1</v>
      </c>
      <c r="E484" t="s">
        <v>2310</v>
      </c>
    </row>
    <row r="485" spans="2:5">
      <c r="B485" s="65" t="str">
        <f t="shared" si="7"/>
        <v>doc-1147a:2</v>
      </c>
      <c r="C485" t="s">
        <v>9584</v>
      </c>
      <c r="D485">
        <v>2</v>
      </c>
      <c r="E485" t="s">
        <v>1395</v>
      </c>
    </row>
    <row r="486" spans="2:5">
      <c r="B486" s="65" t="str">
        <f t="shared" si="7"/>
        <v>doc-1147a:3</v>
      </c>
      <c r="C486" t="s">
        <v>9584</v>
      </c>
      <c r="D486">
        <v>3</v>
      </c>
      <c r="E486" t="s">
        <v>1349</v>
      </c>
    </row>
    <row r="487" spans="2:5">
      <c r="B487" s="65" t="str">
        <f t="shared" si="7"/>
        <v>doc-1147a:4</v>
      </c>
      <c r="C487" t="s">
        <v>9584</v>
      </c>
      <c r="D487">
        <v>4</v>
      </c>
      <c r="E487" t="s">
        <v>1425</v>
      </c>
    </row>
    <row r="488" spans="2:5">
      <c r="B488" s="65" t="str">
        <f t="shared" si="7"/>
        <v>doc-1147a:5</v>
      </c>
      <c r="C488" t="s">
        <v>9584</v>
      </c>
      <c r="D488">
        <v>5</v>
      </c>
      <c r="E488" t="s">
        <v>281</v>
      </c>
    </row>
    <row r="489" spans="2:5">
      <c r="B489" s="65" t="str">
        <f t="shared" si="7"/>
        <v>doc-1148:1</v>
      </c>
      <c r="C489" t="s">
        <v>9585</v>
      </c>
      <c r="D489">
        <v>1</v>
      </c>
      <c r="E489" t="s">
        <v>2435</v>
      </c>
    </row>
    <row r="490" spans="2:5">
      <c r="B490" s="65" t="str">
        <f t="shared" si="7"/>
        <v>doc-1148:2</v>
      </c>
      <c r="C490" t="s">
        <v>9585</v>
      </c>
      <c r="D490">
        <v>2</v>
      </c>
      <c r="E490" t="s">
        <v>2501</v>
      </c>
    </row>
    <row r="491" spans="2:5">
      <c r="B491" s="65" t="str">
        <f t="shared" si="7"/>
        <v>doc-1148:3</v>
      </c>
      <c r="C491" t="s">
        <v>9585</v>
      </c>
      <c r="D491">
        <v>3</v>
      </c>
      <c r="E491" t="s">
        <v>2422</v>
      </c>
    </row>
    <row r="492" spans="2:5">
      <c r="B492" s="65" t="str">
        <f t="shared" si="7"/>
        <v>doc-1149:1</v>
      </c>
      <c r="C492" t="s">
        <v>9586</v>
      </c>
      <c r="D492">
        <v>1</v>
      </c>
      <c r="E492" t="s">
        <v>2501</v>
      </c>
    </row>
    <row r="493" spans="2:5">
      <c r="B493" s="65" t="str">
        <f t="shared" si="7"/>
        <v>doc-1149:2</v>
      </c>
      <c r="C493" t="s">
        <v>9586</v>
      </c>
      <c r="D493">
        <v>2</v>
      </c>
      <c r="E493" t="s">
        <v>2435</v>
      </c>
    </row>
    <row r="494" spans="2:5">
      <c r="B494" s="65" t="str">
        <f t="shared" si="7"/>
        <v>doc-1149:3</v>
      </c>
      <c r="C494" t="s">
        <v>9586</v>
      </c>
      <c r="D494">
        <v>3</v>
      </c>
      <c r="E494" t="s">
        <v>2422</v>
      </c>
    </row>
    <row r="495" spans="2:5">
      <c r="B495" s="65" t="str">
        <f t="shared" si="7"/>
        <v>doc-1150a:1</v>
      </c>
      <c r="C495" t="s">
        <v>9587</v>
      </c>
      <c r="D495">
        <v>1</v>
      </c>
      <c r="E495" t="s">
        <v>1388</v>
      </c>
    </row>
    <row r="496" spans="2:5">
      <c r="B496" s="65" t="str">
        <f t="shared" si="7"/>
        <v>doc-1150a:2</v>
      </c>
      <c r="C496" t="s">
        <v>9587</v>
      </c>
      <c r="D496">
        <v>2</v>
      </c>
      <c r="E496" t="s">
        <v>1440</v>
      </c>
    </row>
    <row r="497" spans="2:5">
      <c r="B497" s="65" t="str">
        <f t="shared" si="7"/>
        <v>doc-1150a:3</v>
      </c>
      <c r="C497" t="s">
        <v>9587</v>
      </c>
      <c r="D497">
        <v>3</v>
      </c>
      <c r="E497" t="s">
        <v>2394</v>
      </c>
    </row>
    <row r="498" spans="2:5">
      <c r="B498" s="65" t="str">
        <f t="shared" si="7"/>
        <v>doc-1150a:4</v>
      </c>
      <c r="C498" t="s">
        <v>9587</v>
      </c>
      <c r="D498">
        <v>4</v>
      </c>
      <c r="E498" t="s">
        <v>2409</v>
      </c>
    </row>
    <row r="499" spans="2:5">
      <c r="B499" s="65" t="str">
        <f t="shared" si="7"/>
        <v>doc-1151:1</v>
      </c>
      <c r="C499" t="s">
        <v>9588</v>
      </c>
      <c r="D499">
        <v>1</v>
      </c>
      <c r="E499" t="s">
        <v>2485</v>
      </c>
    </row>
    <row r="500" spans="2:5">
      <c r="B500" s="65" t="str">
        <f t="shared" si="7"/>
        <v>doc-1151:2</v>
      </c>
      <c r="C500" t="s">
        <v>9588</v>
      </c>
      <c r="D500">
        <v>2</v>
      </c>
      <c r="E500" t="s">
        <v>2422</v>
      </c>
    </row>
    <row r="501" spans="2:5">
      <c r="B501" s="65" t="str">
        <f t="shared" si="7"/>
        <v>doc-1152a:1</v>
      </c>
      <c r="C501" t="s">
        <v>9589</v>
      </c>
      <c r="D501">
        <v>1</v>
      </c>
      <c r="E501" t="s">
        <v>2435</v>
      </c>
    </row>
    <row r="502" spans="2:5">
      <c r="B502" s="65" t="str">
        <f t="shared" si="7"/>
        <v>doc-1152a:2</v>
      </c>
      <c r="C502" t="s">
        <v>9589</v>
      </c>
      <c r="D502">
        <v>2</v>
      </c>
      <c r="E502" t="s">
        <v>2461</v>
      </c>
    </row>
    <row r="503" spans="2:5">
      <c r="B503" s="65" t="str">
        <f t="shared" si="7"/>
        <v>doc-1152a:3</v>
      </c>
      <c r="C503" t="s">
        <v>9589</v>
      </c>
      <c r="D503">
        <v>3</v>
      </c>
      <c r="E503" t="s">
        <v>2501</v>
      </c>
    </row>
    <row r="504" spans="2:5">
      <c r="B504" s="65" t="str">
        <f t="shared" si="7"/>
        <v>doc-1152a:4</v>
      </c>
      <c r="C504" t="s">
        <v>9589</v>
      </c>
      <c r="D504">
        <v>4</v>
      </c>
      <c r="E504" t="s">
        <v>2422</v>
      </c>
    </row>
    <row r="505" spans="2:5">
      <c r="B505" s="65" t="str">
        <f t="shared" si="7"/>
        <v>doc-1153:1</v>
      </c>
      <c r="C505" t="s">
        <v>9590</v>
      </c>
      <c r="D505">
        <v>1</v>
      </c>
      <c r="E505" t="s">
        <v>73</v>
      </c>
    </row>
    <row r="506" spans="2:5">
      <c r="B506" s="65" t="str">
        <f t="shared" si="7"/>
        <v>doc-1153:2</v>
      </c>
      <c r="C506" t="s">
        <v>9590</v>
      </c>
      <c r="D506">
        <v>2</v>
      </c>
      <c r="E506" t="s">
        <v>87</v>
      </c>
    </row>
    <row r="507" spans="2:5">
      <c r="B507" s="65" t="str">
        <f t="shared" si="7"/>
        <v>doc-1153:3</v>
      </c>
      <c r="C507" t="s">
        <v>9590</v>
      </c>
      <c r="D507">
        <v>3</v>
      </c>
      <c r="E507" t="s">
        <v>1467</v>
      </c>
    </row>
    <row r="508" spans="2:5">
      <c r="B508" s="65" t="str">
        <f t="shared" si="7"/>
        <v>doc-1153:4</v>
      </c>
      <c r="C508" t="s">
        <v>9590</v>
      </c>
      <c r="D508">
        <v>4</v>
      </c>
      <c r="E508" t="s">
        <v>90</v>
      </c>
    </row>
    <row r="509" spans="2:5">
      <c r="B509" s="65" t="str">
        <f t="shared" si="7"/>
        <v>doc-1153:5</v>
      </c>
      <c r="C509" t="s">
        <v>9590</v>
      </c>
      <c r="D509">
        <v>5</v>
      </c>
      <c r="E509" t="s">
        <v>2950</v>
      </c>
    </row>
    <row r="510" spans="2:5">
      <c r="B510" s="65" t="str">
        <f t="shared" si="7"/>
        <v>doc-1153:6</v>
      </c>
      <c r="C510" t="s">
        <v>9590</v>
      </c>
      <c r="D510">
        <v>6</v>
      </c>
      <c r="E510" t="s">
        <v>2967</v>
      </c>
    </row>
    <row r="511" spans="2:5">
      <c r="B511" s="65" t="str">
        <f t="shared" si="7"/>
        <v>doc-1153:7</v>
      </c>
      <c r="C511" t="s">
        <v>9590</v>
      </c>
      <c r="D511">
        <v>7</v>
      </c>
      <c r="E511" t="s">
        <v>1349</v>
      </c>
    </row>
    <row r="512" spans="2:5">
      <c r="B512" s="65" t="str">
        <f t="shared" si="7"/>
        <v>doc-1153:8</v>
      </c>
      <c r="C512" t="s">
        <v>9590</v>
      </c>
      <c r="D512">
        <v>8</v>
      </c>
      <c r="E512" t="s">
        <v>1395</v>
      </c>
    </row>
    <row r="513" spans="2:5">
      <c r="B513" s="65" t="str">
        <f t="shared" si="7"/>
        <v>doc-1153:9</v>
      </c>
      <c r="C513" t="s">
        <v>9590</v>
      </c>
      <c r="D513">
        <v>9</v>
      </c>
      <c r="E513" t="s">
        <v>281</v>
      </c>
    </row>
    <row r="514" spans="2:5">
      <c r="B514" s="65" t="str">
        <f t="shared" si="7"/>
        <v>doc-1153:10</v>
      </c>
      <c r="C514" t="s">
        <v>9590</v>
      </c>
      <c r="D514">
        <v>10</v>
      </c>
      <c r="E514" t="s">
        <v>2310</v>
      </c>
    </row>
    <row r="515" spans="2:5">
      <c r="B515" s="65" t="str">
        <f t="shared" si="7"/>
        <v>doc-1153:11</v>
      </c>
      <c r="C515" t="s">
        <v>9590</v>
      </c>
      <c r="D515">
        <v>11</v>
      </c>
      <c r="E515" t="s">
        <v>1550</v>
      </c>
    </row>
    <row r="516" spans="2:5">
      <c r="B516" s="65" t="str">
        <f t="shared" ref="B516:B579" si="8">$C516&amp;":"&amp;$D516</f>
        <v>doc-1153:12</v>
      </c>
      <c r="C516" t="s">
        <v>9590</v>
      </c>
      <c r="D516">
        <v>12</v>
      </c>
      <c r="E516" t="s">
        <v>107</v>
      </c>
    </row>
    <row r="517" spans="2:5">
      <c r="B517" s="65" t="str">
        <f t="shared" si="8"/>
        <v>doc-1154:1</v>
      </c>
      <c r="C517" t="s">
        <v>9591</v>
      </c>
      <c r="D517">
        <v>1</v>
      </c>
      <c r="E517" t="s">
        <v>2698</v>
      </c>
    </row>
    <row r="518" spans="2:5">
      <c r="B518" s="65" t="str">
        <f t="shared" si="8"/>
        <v>doc-1154:2</v>
      </c>
      <c r="C518" t="s">
        <v>9591</v>
      </c>
      <c r="D518">
        <v>2</v>
      </c>
      <c r="E518" t="s">
        <v>2664</v>
      </c>
    </row>
    <row r="519" spans="2:5">
      <c r="B519" s="65" t="str">
        <f t="shared" si="8"/>
        <v>doc-1154:3</v>
      </c>
      <c r="C519" t="s">
        <v>9591</v>
      </c>
      <c r="D519">
        <v>3</v>
      </c>
      <c r="E519" t="s">
        <v>1833</v>
      </c>
    </row>
    <row r="520" spans="2:5">
      <c r="B520" s="65" t="str">
        <f t="shared" si="8"/>
        <v>doc-1155:1</v>
      </c>
      <c r="C520" t="s">
        <v>9592</v>
      </c>
      <c r="D520">
        <v>1</v>
      </c>
      <c r="E520" t="s">
        <v>2597</v>
      </c>
    </row>
    <row r="521" spans="2:5">
      <c r="B521" s="65" t="str">
        <f t="shared" si="8"/>
        <v>doc-1155:2</v>
      </c>
      <c r="C521" t="s">
        <v>9592</v>
      </c>
      <c r="D521">
        <v>2</v>
      </c>
      <c r="E521" t="s">
        <v>2738</v>
      </c>
    </row>
    <row r="522" spans="2:5">
      <c r="B522" s="65" t="str">
        <f t="shared" si="8"/>
        <v>doc-1155:3</v>
      </c>
      <c r="C522" t="s">
        <v>9592</v>
      </c>
      <c r="D522">
        <v>3</v>
      </c>
      <c r="E522" t="s">
        <v>2667</v>
      </c>
    </row>
    <row r="523" spans="2:5">
      <c r="B523" s="65" t="str">
        <f t="shared" si="8"/>
        <v>doc-1156:1</v>
      </c>
      <c r="C523" t="s">
        <v>9593</v>
      </c>
      <c r="D523">
        <v>1</v>
      </c>
      <c r="E523" t="s">
        <v>1197</v>
      </c>
    </row>
    <row r="524" spans="2:5">
      <c r="B524" s="65" t="str">
        <f t="shared" si="8"/>
        <v>doc-1156:2</v>
      </c>
      <c r="C524" t="s">
        <v>9593</v>
      </c>
      <c r="D524">
        <v>2</v>
      </c>
      <c r="E524" t="s">
        <v>1213</v>
      </c>
    </row>
    <row r="525" spans="2:5">
      <c r="B525" s="65" t="str">
        <f t="shared" si="8"/>
        <v>doc-1156:3</v>
      </c>
      <c r="C525" t="s">
        <v>9593</v>
      </c>
      <c r="D525">
        <v>3</v>
      </c>
      <c r="E525" t="s">
        <v>2933</v>
      </c>
    </row>
    <row r="526" spans="2:5">
      <c r="B526" s="65" t="str">
        <f t="shared" si="8"/>
        <v>doc-1156:4</v>
      </c>
      <c r="C526" t="s">
        <v>9593</v>
      </c>
      <c r="D526">
        <v>4</v>
      </c>
      <c r="E526" t="s">
        <v>2930</v>
      </c>
    </row>
    <row r="527" spans="2:5">
      <c r="B527" s="65" t="str">
        <f t="shared" si="8"/>
        <v>doc-1156:5</v>
      </c>
      <c r="C527" t="s">
        <v>9593</v>
      </c>
      <c r="D527">
        <v>5</v>
      </c>
      <c r="E527" t="s">
        <v>299</v>
      </c>
    </row>
    <row r="528" spans="2:5">
      <c r="B528" s="65" t="str">
        <f t="shared" si="8"/>
        <v>doc-1156:6</v>
      </c>
      <c r="C528" t="s">
        <v>9593</v>
      </c>
      <c r="D528">
        <v>6</v>
      </c>
      <c r="E528" t="s">
        <v>82</v>
      </c>
    </row>
    <row r="529" spans="2:5">
      <c r="B529" s="65" t="str">
        <f t="shared" si="8"/>
        <v>doc-1157:1</v>
      </c>
      <c r="C529" t="s">
        <v>9594</v>
      </c>
      <c r="D529">
        <v>1</v>
      </c>
      <c r="E529" t="s">
        <v>2884</v>
      </c>
    </row>
    <row r="530" spans="2:5">
      <c r="B530" s="65" t="str">
        <f t="shared" si="8"/>
        <v>doc-1157:2</v>
      </c>
      <c r="C530" t="s">
        <v>9594</v>
      </c>
      <c r="D530">
        <v>2</v>
      </c>
      <c r="E530" t="s">
        <v>3126</v>
      </c>
    </row>
    <row r="531" spans="2:5">
      <c r="B531" s="65" t="str">
        <f t="shared" si="8"/>
        <v>doc-1157:3</v>
      </c>
      <c r="C531" t="s">
        <v>9594</v>
      </c>
      <c r="D531">
        <v>3</v>
      </c>
      <c r="E531" t="s">
        <v>2860</v>
      </c>
    </row>
    <row r="532" spans="2:5">
      <c r="B532" s="65" t="str">
        <f t="shared" si="8"/>
        <v>doc-1157:4</v>
      </c>
      <c r="C532" t="s">
        <v>9594</v>
      </c>
      <c r="D532">
        <v>4</v>
      </c>
      <c r="E532" t="s">
        <v>2849</v>
      </c>
    </row>
    <row r="533" spans="2:5">
      <c r="B533" s="65" t="str">
        <f t="shared" si="8"/>
        <v>doc-1159:1</v>
      </c>
      <c r="C533" t="s">
        <v>9595</v>
      </c>
      <c r="D533">
        <v>1</v>
      </c>
      <c r="E533" t="s">
        <v>2729</v>
      </c>
    </row>
    <row r="534" spans="2:5">
      <c r="B534" s="65" t="str">
        <f t="shared" si="8"/>
        <v>doc-1159:2</v>
      </c>
      <c r="C534" t="s">
        <v>9595</v>
      </c>
      <c r="D534">
        <v>2</v>
      </c>
      <c r="E534" t="s">
        <v>3121</v>
      </c>
    </row>
    <row r="535" spans="2:5">
      <c r="B535" s="65" t="str">
        <f t="shared" si="8"/>
        <v>doc-1159:3</v>
      </c>
      <c r="C535" t="s">
        <v>9595</v>
      </c>
      <c r="D535">
        <v>3</v>
      </c>
      <c r="E535" t="s">
        <v>2667</v>
      </c>
    </row>
    <row r="536" spans="2:5">
      <c r="B536" s="65" t="str">
        <f t="shared" si="8"/>
        <v>doc-1159:4</v>
      </c>
      <c r="C536" t="s">
        <v>9595</v>
      </c>
      <c r="D536">
        <v>4</v>
      </c>
      <c r="E536" t="s">
        <v>3124</v>
      </c>
    </row>
    <row r="537" spans="2:5">
      <c r="B537" s="65" t="str">
        <f t="shared" si="8"/>
        <v>doc-1159:5</v>
      </c>
      <c r="C537" t="s">
        <v>9595</v>
      </c>
      <c r="D537">
        <v>5</v>
      </c>
      <c r="E537" t="s">
        <v>3007</v>
      </c>
    </row>
    <row r="538" spans="2:5">
      <c r="B538" s="65" t="str">
        <f t="shared" si="8"/>
        <v>doc-1159:6</v>
      </c>
      <c r="C538" t="s">
        <v>9595</v>
      </c>
      <c r="D538">
        <v>6</v>
      </c>
      <c r="E538" t="s">
        <v>1911</v>
      </c>
    </row>
    <row r="539" spans="2:5">
      <c r="B539" s="65" t="str">
        <f t="shared" si="8"/>
        <v>doc-1160a:1</v>
      </c>
      <c r="C539" t="s">
        <v>9596</v>
      </c>
      <c r="D539">
        <v>1</v>
      </c>
      <c r="E539" t="s">
        <v>1409</v>
      </c>
    </row>
    <row r="540" spans="2:5">
      <c r="B540" s="65" t="str">
        <f t="shared" si="8"/>
        <v>doc-1160a:2</v>
      </c>
      <c r="C540" t="s">
        <v>9596</v>
      </c>
      <c r="D540">
        <v>2</v>
      </c>
      <c r="E540" t="s">
        <v>2009</v>
      </c>
    </row>
    <row r="541" spans="2:5">
      <c r="B541" s="65" t="str">
        <f t="shared" si="8"/>
        <v>doc-1160a:3</v>
      </c>
      <c r="C541" t="s">
        <v>9596</v>
      </c>
      <c r="D541">
        <v>3</v>
      </c>
      <c r="E541" t="s">
        <v>1883</v>
      </c>
    </row>
    <row r="542" spans="2:5">
      <c r="B542" s="65" t="str">
        <f t="shared" si="8"/>
        <v>doc-1160a:4</v>
      </c>
      <c r="C542" t="s">
        <v>9596</v>
      </c>
      <c r="D542">
        <v>4</v>
      </c>
      <c r="E542" t="s">
        <v>2017</v>
      </c>
    </row>
    <row r="543" spans="2:5">
      <c r="B543" s="65" t="str">
        <f t="shared" si="8"/>
        <v>doc-1160a:5</v>
      </c>
      <c r="C543" t="s">
        <v>9596</v>
      </c>
      <c r="D543">
        <v>5</v>
      </c>
      <c r="E543" t="s">
        <v>2411</v>
      </c>
    </row>
    <row r="544" spans="2:5">
      <c r="B544" s="65" t="str">
        <f t="shared" si="8"/>
        <v>doc-1160a:6</v>
      </c>
      <c r="C544" t="s">
        <v>9596</v>
      </c>
      <c r="D544">
        <v>6</v>
      </c>
      <c r="E544" t="s">
        <v>2414</v>
      </c>
    </row>
    <row r="545" spans="2:5">
      <c r="B545" s="65" t="str">
        <f t="shared" si="8"/>
        <v>doc-1163a:1</v>
      </c>
      <c r="C545" t="s">
        <v>9597</v>
      </c>
      <c r="D545">
        <v>1</v>
      </c>
      <c r="E545" t="s">
        <v>1941</v>
      </c>
    </row>
    <row r="546" spans="2:5">
      <c r="B546" s="65" t="str">
        <f t="shared" si="8"/>
        <v>doc-1163a:2</v>
      </c>
      <c r="C546" t="s">
        <v>9597</v>
      </c>
      <c r="D546">
        <v>2</v>
      </c>
      <c r="E546" t="s">
        <v>2407</v>
      </c>
    </row>
    <row r="547" spans="2:5">
      <c r="B547" s="65" t="str">
        <f t="shared" si="8"/>
        <v>doc-1163a:3</v>
      </c>
      <c r="C547" t="s">
        <v>9597</v>
      </c>
      <c r="D547">
        <v>3</v>
      </c>
      <c r="E547" t="s">
        <v>2394</v>
      </c>
    </row>
    <row r="548" spans="2:5">
      <c r="B548" s="65" t="str">
        <f t="shared" si="8"/>
        <v>doc-1163a:4</v>
      </c>
      <c r="C548" t="s">
        <v>9597</v>
      </c>
      <c r="D548">
        <v>4</v>
      </c>
      <c r="E548" t="s">
        <v>1959</v>
      </c>
    </row>
    <row r="549" spans="2:5">
      <c r="B549" s="65" t="str">
        <f t="shared" si="8"/>
        <v>doc-1164:1</v>
      </c>
      <c r="C549" t="s">
        <v>9598</v>
      </c>
      <c r="D549">
        <v>1</v>
      </c>
      <c r="E549" t="s">
        <v>1941</v>
      </c>
    </row>
    <row r="550" spans="2:5">
      <c r="B550" s="65" t="str">
        <f t="shared" si="8"/>
        <v>doc-1164:2</v>
      </c>
      <c r="C550" t="s">
        <v>9598</v>
      </c>
      <c r="D550">
        <v>2</v>
      </c>
      <c r="E550" t="s">
        <v>1813</v>
      </c>
    </row>
    <row r="551" spans="2:5">
      <c r="B551" s="65" t="str">
        <f t="shared" si="8"/>
        <v>doc-1164:3</v>
      </c>
      <c r="C551" t="s">
        <v>9598</v>
      </c>
      <c r="D551">
        <v>3</v>
      </c>
      <c r="E551" t="s">
        <v>1798</v>
      </c>
    </row>
    <row r="552" spans="2:5">
      <c r="B552" s="65" t="str">
        <f t="shared" si="8"/>
        <v>doc-1164:4</v>
      </c>
      <c r="C552" t="s">
        <v>9598</v>
      </c>
      <c r="D552">
        <v>4</v>
      </c>
      <c r="E552" t="s">
        <v>1705</v>
      </c>
    </row>
    <row r="553" spans="2:5">
      <c r="B553" s="65" t="str">
        <f t="shared" si="8"/>
        <v>doc-1165:1</v>
      </c>
      <c r="C553" t="s">
        <v>9599</v>
      </c>
      <c r="D553">
        <v>1</v>
      </c>
      <c r="E553" t="s">
        <v>2095</v>
      </c>
    </row>
    <row r="554" spans="2:5">
      <c r="B554" s="65" t="str">
        <f t="shared" si="8"/>
        <v>doc-1165:2</v>
      </c>
      <c r="C554" t="s">
        <v>9599</v>
      </c>
      <c r="D554">
        <v>2</v>
      </c>
      <c r="E554" t="s">
        <v>2127</v>
      </c>
    </row>
    <row r="555" spans="2:5">
      <c r="B555" s="65" t="str">
        <f t="shared" si="8"/>
        <v>doc-1166a:1</v>
      </c>
      <c r="C555" t="s">
        <v>9600</v>
      </c>
      <c r="D555">
        <v>1</v>
      </c>
      <c r="E555" t="s">
        <v>2717</v>
      </c>
    </row>
    <row r="556" spans="2:5">
      <c r="B556" s="65" t="str">
        <f t="shared" si="8"/>
        <v>doc-1166a:2</v>
      </c>
      <c r="C556" t="s">
        <v>9600</v>
      </c>
      <c r="D556">
        <v>2</v>
      </c>
      <c r="E556" t="s">
        <v>2630</v>
      </c>
    </row>
    <row r="557" spans="2:5">
      <c r="B557" s="65" t="str">
        <f t="shared" si="8"/>
        <v>doc-1166a:3</v>
      </c>
      <c r="C557" t="s">
        <v>9600</v>
      </c>
      <c r="D557">
        <v>3</v>
      </c>
      <c r="E557" t="s">
        <v>2667</v>
      </c>
    </row>
    <row r="558" spans="2:5">
      <c r="B558" s="65" t="str">
        <f t="shared" si="8"/>
        <v>doc-1167a:1</v>
      </c>
      <c r="C558" t="s">
        <v>9601</v>
      </c>
      <c r="D558">
        <v>1</v>
      </c>
      <c r="E558" t="s">
        <v>2729</v>
      </c>
    </row>
    <row r="559" spans="2:5">
      <c r="B559" s="65" t="str">
        <f t="shared" si="8"/>
        <v>doc-1167a:2</v>
      </c>
      <c r="C559" t="s">
        <v>9601</v>
      </c>
      <c r="D559">
        <v>2</v>
      </c>
      <c r="E559" t="s">
        <v>2717</v>
      </c>
    </row>
    <row r="560" spans="2:5">
      <c r="B560" s="65" t="str">
        <f t="shared" si="8"/>
        <v>doc-1167a:3</v>
      </c>
      <c r="C560" t="s">
        <v>9601</v>
      </c>
      <c r="D560">
        <v>3</v>
      </c>
      <c r="E560" t="s">
        <v>1911</v>
      </c>
    </row>
    <row r="561" spans="2:5">
      <c r="B561" s="65" t="str">
        <f t="shared" si="8"/>
        <v>doc-1167a:4</v>
      </c>
      <c r="C561" t="s">
        <v>9601</v>
      </c>
      <c r="D561">
        <v>4</v>
      </c>
      <c r="E561" t="s">
        <v>2667</v>
      </c>
    </row>
    <row r="562" spans="2:5">
      <c r="B562" s="65" t="str">
        <f t="shared" si="8"/>
        <v>doc-1170:1</v>
      </c>
      <c r="C562" t="s">
        <v>9602</v>
      </c>
      <c r="D562">
        <v>1</v>
      </c>
      <c r="E562" t="s">
        <v>2310</v>
      </c>
    </row>
    <row r="563" spans="2:5">
      <c r="B563" s="65" t="str">
        <f t="shared" si="8"/>
        <v>doc-1170:2</v>
      </c>
      <c r="C563" t="s">
        <v>9602</v>
      </c>
      <c r="D563">
        <v>2</v>
      </c>
      <c r="E563" t="s">
        <v>1395</v>
      </c>
    </row>
    <row r="564" spans="2:5">
      <c r="B564" s="65" t="str">
        <f t="shared" si="8"/>
        <v>doc-1170:3</v>
      </c>
      <c r="C564" t="s">
        <v>9602</v>
      </c>
      <c r="D564">
        <v>3</v>
      </c>
      <c r="E564" t="s">
        <v>2336</v>
      </c>
    </row>
    <row r="565" spans="2:5">
      <c r="B565" s="65" t="str">
        <f t="shared" si="8"/>
        <v>doc-1170:4</v>
      </c>
      <c r="C565" t="s">
        <v>9602</v>
      </c>
      <c r="D565">
        <v>4</v>
      </c>
      <c r="E565" t="s">
        <v>87</v>
      </c>
    </row>
    <row r="566" spans="2:5">
      <c r="B566" s="65" t="str">
        <f t="shared" si="8"/>
        <v>doc-1170:5</v>
      </c>
      <c r="C566" t="s">
        <v>9602</v>
      </c>
      <c r="D566">
        <v>5</v>
      </c>
      <c r="E566" t="s">
        <v>1349</v>
      </c>
    </row>
    <row r="567" spans="2:5">
      <c r="B567" s="65" t="str">
        <f t="shared" si="8"/>
        <v>doc-1170:6</v>
      </c>
      <c r="C567" t="s">
        <v>9602</v>
      </c>
      <c r="D567">
        <v>6</v>
      </c>
      <c r="E567" t="s">
        <v>281</v>
      </c>
    </row>
    <row r="568" spans="2:5">
      <c r="B568" s="65" t="str">
        <f t="shared" si="8"/>
        <v>doc-1170:7</v>
      </c>
      <c r="C568" t="s">
        <v>9602</v>
      </c>
      <c r="D568">
        <v>7</v>
      </c>
      <c r="E568" t="s">
        <v>1804</v>
      </c>
    </row>
    <row r="569" spans="2:5">
      <c r="B569" s="65" t="str">
        <f t="shared" si="8"/>
        <v>doc-1170:8</v>
      </c>
      <c r="C569" t="s">
        <v>9602</v>
      </c>
      <c r="D569">
        <v>8</v>
      </c>
      <c r="E569" t="s">
        <v>73</v>
      </c>
    </row>
    <row r="570" spans="2:5">
      <c r="B570" s="65" t="str">
        <f t="shared" si="8"/>
        <v>doc-1171:1</v>
      </c>
      <c r="C570" t="s">
        <v>5591</v>
      </c>
      <c r="D570">
        <v>1</v>
      </c>
      <c r="E570" t="s">
        <v>2630</v>
      </c>
    </row>
    <row r="571" spans="2:5">
      <c r="B571" s="65" t="str">
        <f t="shared" si="8"/>
        <v>doc-1171:2</v>
      </c>
      <c r="C571" t="s">
        <v>5591</v>
      </c>
      <c r="D571">
        <v>2</v>
      </c>
      <c r="E571" t="s">
        <v>2199</v>
      </c>
    </row>
    <row r="572" spans="2:5">
      <c r="B572" s="65" t="str">
        <f t="shared" si="8"/>
        <v>doc-1171:3</v>
      </c>
      <c r="C572" t="s">
        <v>5591</v>
      </c>
      <c r="D572">
        <v>3</v>
      </c>
      <c r="E572" t="s">
        <v>2222</v>
      </c>
    </row>
    <row r="573" spans="2:5">
      <c r="B573" s="65" t="str">
        <f t="shared" si="8"/>
        <v>doc-1171:4</v>
      </c>
      <c r="C573" t="s">
        <v>5591</v>
      </c>
      <c r="D573">
        <v>4</v>
      </c>
      <c r="E573" t="s">
        <v>2622</v>
      </c>
    </row>
    <row r="574" spans="2:5">
      <c r="B574" s="65" t="str">
        <f t="shared" si="8"/>
        <v>doc-1171:5</v>
      </c>
      <c r="C574" t="s">
        <v>5591</v>
      </c>
      <c r="D574">
        <v>5</v>
      </c>
      <c r="E574" t="s">
        <v>2667</v>
      </c>
    </row>
    <row r="575" spans="2:5">
      <c r="B575" s="65" t="str">
        <f t="shared" si="8"/>
        <v>doc-1172a:1</v>
      </c>
      <c r="C575" t="s">
        <v>9603</v>
      </c>
      <c r="D575">
        <v>1</v>
      </c>
      <c r="E575" t="s">
        <v>2101</v>
      </c>
    </row>
    <row r="576" spans="2:5">
      <c r="B576" s="65" t="str">
        <f t="shared" si="8"/>
        <v>doc-1172a:2</v>
      </c>
      <c r="C576" t="s">
        <v>9603</v>
      </c>
      <c r="D576">
        <v>2</v>
      </c>
      <c r="E576" t="s">
        <v>2121</v>
      </c>
    </row>
    <row r="577" spans="2:5">
      <c r="B577" s="65" t="str">
        <f t="shared" si="8"/>
        <v>doc-1172a:3</v>
      </c>
      <c r="C577" t="s">
        <v>9603</v>
      </c>
      <c r="D577">
        <v>3</v>
      </c>
      <c r="E577" t="s">
        <v>1804</v>
      </c>
    </row>
    <row r="578" spans="2:5">
      <c r="B578" s="65" t="str">
        <f t="shared" si="8"/>
        <v>doc-1172a:4</v>
      </c>
      <c r="C578" t="s">
        <v>9603</v>
      </c>
      <c r="D578">
        <v>4</v>
      </c>
      <c r="E578" t="s">
        <v>281</v>
      </c>
    </row>
    <row r="579" spans="2:5">
      <c r="B579" s="65" t="str">
        <f t="shared" si="8"/>
        <v>doc-1173:1</v>
      </c>
      <c r="C579" t="s">
        <v>9604</v>
      </c>
      <c r="D579">
        <v>1</v>
      </c>
      <c r="E579" t="s">
        <v>1524</v>
      </c>
    </row>
    <row r="580" spans="2:5">
      <c r="B580" s="65" t="str">
        <f t="shared" ref="B580:B643" si="9">$C580&amp;":"&amp;$D580</f>
        <v>doc-1173:2</v>
      </c>
      <c r="C580" t="s">
        <v>9604</v>
      </c>
      <c r="D580">
        <v>2</v>
      </c>
      <c r="E580" t="s">
        <v>2532</v>
      </c>
    </row>
    <row r="581" spans="2:5">
      <c r="B581" s="65" t="str">
        <f t="shared" si="9"/>
        <v>doc-1173:3</v>
      </c>
      <c r="C581" t="s">
        <v>9604</v>
      </c>
      <c r="D581">
        <v>3</v>
      </c>
      <c r="E581" t="s">
        <v>1203</v>
      </c>
    </row>
    <row r="582" spans="2:5">
      <c r="B582" s="65" t="str">
        <f t="shared" si="9"/>
        <v>doc-1173:4</v>
      </c>
      <c r="C582" t="s">
        <v>9604</v>
      </c>
      <c r="D582">
        <v>4</v>
      </c>
      <c r="E582" t="s">
        <v>1227</v>
      </c>
    </row>
    <row r="583" spans="2:5">
      <c r="B583" s="65" t="str">
        <f t="shared" si="9"/>
        <v>doc-1173:5</v>
      </c>
      <c r="C583" t="s">
        <v>9604</v>
      </c>
      <c r="D583">
        <v>5</v>
      </c>
      <c r="E583" t="s">
        <v>1221</v>
      </c>
    </row>
    <row r="584" spans="2:5">
      <c r="B584" s="65" t="str">
        <f t="shared" si="9"/>
        <v>doc-1174:1</v>
      </c>
      <c r="C584" t="s">
        <v>9605</v>
      </c>
      <c r="D584">
        <v>1</v>
      </c>
      <c r="E584" t="s">
        <v>1524</v>
      </c>
    </row>
    <row r="585" spans="2:5">
      <c r="B585" s="65" t="str">
        <f t="shared" si="9"/>
        <v>doc-1174:2</v>
      </c>
      <c r="C585" t="s">
        <v>9605</v>
      </c>
      <c r="D585">
        <v>2</v>
      </c>
      <c r="E585" t="s">
        <v>1059</v>
      </c>
    </row>
    <row r="586" spans="2:5">
      <c r="B586" s="65" t="str">
        <f t="shared" si="9"/>
        <v>doc-1175:1</v>
      </c>
      <c r="C586" t="s">
        <v>9606</v>
      </c>
      <c r="D586">
        <v>1</v>
      </c>
      <c r="E586" t="s">
        <v>1437</v>
      </c>
    </row>
    <row r="587" spans="2:5">
      <c r="B587" s="65" t="str">
        <f t="shared" si="9"/>
        <v>doc-1175:2</v>
      </c>
      <c r="C587" t="s">
        <v>9606</v>
      </c>
      <c r="D587">
        <v>2</v>
      </c>
      <c r="E587" t="s">
        <v>1349</v>
      </c>
    </row>
    <row r="588" spans="2:5">
      <c r="B588" s="65" t="str">
        <f t="shared" si="9"/>
        <v>doc-1175:3</v>
      </c>
      <c r="C588" t="s">
        <v>9606</v>
      </c>
      <c r="D588">
        <v>3</v>
      </c>
      <c r="E588" t="s">
        <v>2302</v>
      </c>
    </row>
    <row r="589" spans="2:5">
      <c r="B589" s="65" t="str">
        <f t="shared" si="9"/>
        <v>doc-1175:4</v>
      </c>
      <c r="C589" t="s">
        <v>9606</v>
      </c>
      <c r="D589">
        <v>4</v>
      </c>
      <c r="E589" t="s">
        <v>2529</v>
      </c>
    </row>
    <row r="590" spans="2:5">
      <c r="B590" s="65" t="str">
        <f t="shared" si="9"/>
        <v>doc-1175:5</v>
      </c>
      <c r="C590" t="s">
        <v>9606</v>
      </c>
      <c r="D590">
        <v>5</v>
      </c>
      <c r="E590" t="s">
        <v>281</v>
      </c>
    </row>
    <row r="591" spans="2:5">
      <c r="B591" s="65" t="str">
        <f t="shared" si="9"/>
        <v>doc-1175:6</v>
      </c>
      <c r="C591" t="s">
        <v>9606</v>
      </c>
      <c r="D591">
        <v>6</v>
      </c>
      <c r="E591" t="s">
        <v>1550</v>
      </c>
    </row>
    <row r="592" spans="2:5">
      <c r="B592" s="65" t="str">
        <f t="shared" si="9"/>
        <v>doc-1175:7</v>
      </c>
      <c r="C592" t="s">
        <v>9606</v>
      </c>
      <c r="D592">
        <v>7</v>
      </c>
      <c r="E592" t="s">
        <v>107</v>
      </c>
    </row>
    <row r="593" spans="2:5">
      <c r="B593" s="65" t="str">
        <f t="shared" si="9"/>
        <v>doc-1176a:1</v>
      </c>
      <c r="C593" t="s">
        <v>9607</v>
      </c>
      <c r="D593">
        <v>1</v>
      </c>
      <c r="E593" t="s">
        <v>87</v>
      </c>
    </row>
    <row r="594" spans="2:5">
      <c r="B594" s="65" t="str">
        <f t="shared" si="9"/>
        <v>doc-1176a:2</v>
      </c>
      <c r="C594" t="s">
        <v>9607</v>
      </c>
      <c r="D594">
        <v>2</v>
      </c>
      <c r="E594" t="s">
        <v>1395</v>
      </c>
    </row>
    <row r="595" spans="2:5">
      <c r="B595" s="65" t="str">
        <f t="shared" si="9"/>
        <v>doc-1176a:3</v>
      </c>
      <c r="C595" t="s">
        <v>9607</v>
      </c>
      <c r="D595">
        <v>3</v>
      </c>
      <c r="E595" t="s">
        <v>2310</v>
      </c>
    </row>
    <row r="596" spans="2:5">
      <c r="B596" s="65" t="str">
        <f t="shared" si="9"/>
        <v>doc-1176a:4</v>
      </c>
      <c r="C596" t="s">
        <v>9607</v>
      </c>
      <c r="D596">
        <v>4</v>
      </c>
      <c r="E596" t="s">
        <v>2963</v>
      </c>
    </row>
    <row r="597" spans="2:5">
      <c r="B597" s="65" t="str">
        <f t="shared" si="9"/>
        <v>doc-1176a:5</v>
      </c>
      <c r="C597" t="s">
        <v>9607</v>
      </c>
      <c r="D597">
        <v>5</v>
      </c>
      <c r="E597" t="s">
        <v>73</v>
      </c>
    </row>
    <row r="598" spans="2:5">
      <c r="B598" s="65" t="str">
        <f t="shared" si="9"/>
        <v>doc-1176a:6</v>
      </c>
      <c r="C598" t="s">
        <v>9607</v>
      </c>
      <c r="D598">
        <v>6</v>
      </c>
      <c r="E598" t="s">
        <v>281</v>
      </c>
    </row>
    <row r="599" spans="2:5">
      <c r="B599" s="65" t="str">
        <f t="shared" si="9"/>
        <v>doc-1176a:6</v>
      </c>
      <c r="C599" t="s">
        <v>9607</v>
      </c>
      <c r="D599">
        <v>6</v>
      </c>
      <c r="E599" t="s">
        <v>1349</v>
      </c>
    </row>
    <row r="600" spans="2:5">
      <c r="B600" s="65" t="str">
        <f t="shared" si="9"/>
        <v>doc-1177:1</v>
      </c>
      <c r="C600" t="s">
        <v>9608</v>
      </c>
      <c r="D600">
        <v>1</v>
      </c>
      <c r="E600" t="s">
        <v>2336</v>
      </c>
    </row>
    <row r="601" spans="2:5">
      <c r="B601" s="65" t="str">
        <f t="shared" si="9"/>
        <v>doc-1177:2</v>
      </c>
      <c r="C601" t="s">
        <v>9608</v>
      </c>
      <c r="D601">
        <v>2</v>
      </c>
      <c r="E601" t="s">
        <v>1804</v>
      </c>
    </row>
    <row r="602" spans="2:5">
      <c r="B602" s="65" t="str">
        <f t="shared" si="9"/>
        <v>doc-1177:3</v>
      </c>
      <c r="C602" t="s">
        <v>9608</v>
      </c>
      <c r="D602">
        <v>3</v>
      </c>
      <c r="E602" t="s">
        <v>281</v>
      </c>
    </row>
    <row r="603" spans="2:5">
      <c r="B603" s="65" t="str">
        <f t="shared" si="9"/>
        <v>doc-1177:4</v>
      </c>
      <c r="C603" t="s">
        <v>9608</v>
      </c>
      <c r="D603">
        <v>4</v>
      </c>
      <c r="E603" t="s">
        <v>2121</v>
      </c>
    </row>
    <row r="604" spans="2:5">
      <c r="B604" s="65" t="str">
        <f t="shared" si="9"/>
        <v>doc-1178:1</v>
      </c>
      <c r="C604" t="s">
        <v>9609</v>
      </c>
      <c r="D604">
        <v>1</v>
      </c>
      <c r="E604" t="s">
        <v>2467</v>
      </c>
    </row>
    <row r="605" spans="2:5">
      <c r="B605" s="65" t="str">
        <f t="shared" si="9"/>
        <v>doc-1178:2</v>
      </c>
      <c r="C605" t="s">
        <v>9609</v>
      </c>
      <c r="D605">
        <v>2</v>
      </c>
      <c r="E605" t="s">
        <v>2422</v>
      </c>
    </row>
    <row r="606" spans="2:5">
      <c r="B606" s="65" t="str">
        <f t="shared" si="9"/>
        <v>doc-1178:3</v>
      </c>
      <c r="C606" t="s">
        <v>9609</v>
      </c>
      <c r="D606">
        <v>3</v>
      </c>
      <c r="E606" t="s">
        <v>1902</v>
      </c>
    </row>
    <row r="607" spans="2:5">
      <c r="B607" s="65" t="str">
        <f t="shared" si="9"/>
        <v>doc-1179:1</v>
      </c>
      <c r="C607" t="s">
        <v>9610</v>
      </c>
      <c r="D607">
        <v>1</v>
      </c>
      <c r="E607" t="s">
        <v>2394</v>
      </c>
    </row>
    <row r="608" spans="2:5">
      <c r="B608" s="65" t="str">
        <f t="shared" si="9"/>
        <v>doc-1179:2</v>
      </c>
      <c r="C608" t="s">
        <v>9610</v>
      </c>
      <c r="D608">
        <v>2</v>
      </c>
      <c r="E608" t="s">
        <v>2409</v>
      </c>
    </row>
    <row r="609" spans="2:5">
      <c r="B609" s="65" t="str">
        <f t="shared" si="9"/>
        <v>doc-1180:1</v>
      </c>
      <c r="C609" t="s">
        <v>9611</v>
      </c>
      <c r="D609">
        <v>1</v>
      </c>
      <c r="E609" t="s">
        <v>2950</v>
      </c>
    </row>
    <row r="610" spans="2:5">
      <c r="B610" s="65" t="str">
        <f t="shared" si="9"/>
        <v>doc-1180:2</v>
      </c>
      <c r="C610" t="s">
        <v>9611</v>
      </c>
      <c r="D610">
        <v>2</v>
      </c>
      <c r="E610" t="s">
        <v>73</v>
      </c>
    </row>
    <row r="611" spans="2:5">
      <c r="B611" s="65" t="str">
        <f t="shared" si="9"/>
        <v>doc-1180:3</v>
      </c>
      <c r="C611" t="s">
        <v>9611</v>
      </c>
      <c r="D611">
        <v>3</v>
      </c>
      <c r="E611" t="s">
        <v>1395</v>
      </c>
    </row>
    <row r="612" spans="2:5">
      <c r="B612" s="65" t="str">
        <f t="shared" si="9"/>
        <v>doc-1180:4</v>
      </c>
      <c r="C612" t="s">
        <v>9611</v>
      </c>
      <c r="D612">
        <v>4</v>
      </c>
      <c r="E612" t="s">
        <v>90</v>
      </c>
    </row>
    <row r="613" spans="2:5">
      <c r="B613" s="65" t="str">
        <f t="shared" si="9"/>
        <v>doc-1180:5</v>
      </c>
      <c r="C613" t="s">
        <v>9611</v>
      </c>
      <c r="D613">
        <v>5</v>
      </c>
      <c r="E613" t="s">
        <v>2967</v>
      </c>
    </row>
    <row r="614" spans="2:5">
      <c r="B614" s="65" t="str">
        <f t="shared" si="9"/>
        <v>doc-1180:6</v>
      </c>
      <c r="C614" t="s">
        <v>9611</v>
      </c>
      <c r="D614">
        <v>6</v>
      </c>
      <c r="E614" t="s">
        <v>1737</v>
      </c>
    </row>
    <row r="615" spans="2:5">
      <c r="B615" s="65" t="str">
        <f t="shared" si="9"/>
        <v>doc-1180:7</v>
      </c>
      <c r="C615" t="s">
        <v>9611</v>
      </c>
      <c r="D615">
        <v>7</v>
      </c>
      <c r="E615" t="s">
        <v>1349</v>
      </c>
    </row>
    <row r="616" spans="2:5">
      <c r="B616" s="65" t="str">
        <f t="shared" si="9"/>
        <v>doc-1180:8</v>
      </c>
      <c r="C616" t="s">
        <v>9611</v>
      </c>
      <c r="D616">
        <v>8</v>
      </c>
      <c r="E616" t="s">
        <v>1467</v>
      </c>
    </row>
    <row r="617" spans="2:5">
      <c r="B617" s="65" t="str">
        <f t="shared" si="9"/>
        <v>doc-1180:9</v>
      </c>
      <c r="C617" t="s">
        <v>9611</v>
      </c>
      <c r="D617">
        <v>9</v>
      </c>
      <c r="E617" t="s">
        <v>281</v>
      </c>
    </row>
    <row r="618" spans="2:5">
      <c r="B618" s="65" t="str">
        <f t="shared" si="9"/>
        <v>doc-1180:10</v>
      </c>
      <c r="C618" t="s">
        <v>9611</v>
      </c>
      <c r="D618">
        <v>10</v>
      </c>
      <c r="E618" t="s">
        <v>87</v>
      </c>
    </row>
    <row r="619" spans="2:5">
      <c r="B619" s="65" t="str">
        <f t="shared" si="9"/>
        <v>doc-1180:11</v>
      </c>
      <c r="C619" t="s">
        <v>9611</v>
      </c>
      <c r="D619">
        <v>11</v>
      </c>
      <c r="E619" t="s">
        <v>2310</v>
      </c>
    </row>
    <row r="620" spans="2:5">
      <c r="B620" s="65" t="str">
        <f t="shared" si="9"/>
        <v>doc-1180:12</v>
      </c>
      <c r="C620" t="s">
        <v>9611</v>
      </c>
      <c r="D620">
        <v>12</v>
      </c>
      <c r="E620" t="s">
        <v>1550</v>
      </c>
    </row>
    <row r="621" spans="2:5">
      <c r="B621" s="65" t="str">
        <f t="shared" si="9"/>
        <v>doc-1180:13</v>
      </c>
      <c r="C621" t="s">
        <v>9611</v>
      </c>
      <c r="D621">
        <v>13</v>
      </c>
      <c r="E621" t="s">
        <v>107</v>
      </c>
    </row>
    <row r="622" spans="2:5">
      <c r="B622" s="65" t="str">
        <f t="shared" si="9"/>
        <v>doc-1181a:1</v>
      </c>
      <c r="C622" t="s">
        <v>9612</v>
      </c>
      <c r="D622">
        <v>1</v>
      </c>
      <c r="E622" t="s">
        <v>1491</v>
      </c>
    </row>
    <row r="623" spans="2:5">
      <c r="B623" s="65" t="str">
        <f t="shared" si="9"/>
        <v>doc-1181a:2</v>
      </c>
      <c r="C623" t="s">
        <v>9612</v>
      </c>
      <c r="D623">
        <v>2</v>
      </c>
      <c r="E623" t="s">
        <v>2983</v>
      </c>
    </row>
    <row r="624" spans="2:5">
      <c r="B624" s="65" t="str">
        <f t="shared" si="9"/>
        <v>doc-1181a:3</v>
      </c>
      <c r="C624" t="s">
        <v>9612</v>
      </c>
      <c r="D624">
        <v>3</v>
      </c>
      <c r="E624" t="s">
        <v>1509</v>
      </c>
    </row>
    <row r="625" spans="2:5">
      <c r="B625" s="65" t="str">
        <f t="shared" si="9"/>
        <v>doc-1182:1</v>
      </c>
      <c r="C625" t="s">
        <v>9613</v>
      </c>
      <c r="D625">
        <v>1</v>
      </c>
      <c r="E625" t="s">
        <v>1171</v>
      </c>
    </row>
    <row r="626" spans="2:5">
      <c r="B626" s="65" t="str">
        <f t="shared" si="9"/>
        <v>doc-1182:2</v>
      </c>
      <c r="C626" t="s">
        <v>9613</v>
      </c>
      <c r="D626">
        <v>2</v>
      </c>
      <c r="E626" t="s">
        <v>2983</v>
      </c>
    </row>
    <row r="627" spans="2:5">
      <c r="B627" s="65" t="str">
        <f t="shared" si="9"/>
        <v>doc-1183:1</v>
      </c>
      <c r="C627" t="s">
        <v>5597</v>
      </c>
      <c r="D627">
        <v>1</v>
      </c>
      <c r="E627" t="s">
        <v>2095</v>
      </c>
    </row>
    <row r="628" spans="2:5">
      <c r="B628" s="65" t="str">
        <f t="shared" si="9"/>
        <v>doc-1183:2</v>
      </c>
      <c r="C628" t="s">
        <v>5597</v>
      </c>
      <c r="D628">
        <v>2</v>
      </c>
      <c r="E628" t="s">
        <v>3254</v>
      </c>
    </row>
    <row r="629" spans="2:5">
      <c r="B629" s="65" t="str">
        <f t="shared" si="9"/>
        <v>doc-1184:1</v>
      </c>
      <c r="C629" t="s">
        <v>9614</v>
      </c>
      <c r="D629">
        <v>1</v>
      </c>
      <c r="E629" t="s">
        <v>2877</v>
      </c>
    </row>
    <row r="630" spans="2:5">
      <c r="B630" s="65" t="str">
        <f t="shared" si="9"/>
        <v>doc-1184:2</v>
      </c>
      <c r="C630" t="s">
        <v>9614</v>
      </c>
      <c r="D630">
        <v>2</v>
      </c>
      <c r="E630" t="s">
        <v>2872</v>
      </c>
    </row>
    <row r="631" spans="2:5">
      <c r="B631" s="65" t="str">
        <f t="shared" si="9"/>
        <v>doc-1184:3</v>
      </c>
      <c r="C631" t="s">
        <v>9614</v>
      </c>
      <c r="D631">
        <v>3</v>
      </c>
      <c r="E631" t="s">
        <v>2849</v>
      </c>
    </row>
    <row r="632" spans="2:5">
      <c r="B632" s="65" t="str">
        <f t="shared" si="9"/>
        <v>doc-1184:4</v>
      </c>
      <c r="C632" t="s">
        <v>9614</v>
      </c>
      <c r="D632">
        <v>4</v>
      </c>
      <c r="E632" t="s">
        <v>2839</v>
      </c>
    </row>
    <row r="633" spans="2:5">
      <c r="B633" s="65" t="str">
        <f t="shared" si="9"/>
        <v>doc-1185a:1</v>
      </c>
      <c r="C633" t="s">
        <v>9615</v>
      </c>
      <c r="D633">
        <v>1</v>
      </c>
      <c r="E633" t="s">
        <v>2179</v>
      </c>
    </row>
    <row r="634" spans="2:5">
      <c r="B634" s="65" t="str">
        <f t="shared" si="9"/>
        <v>doc-1185a:2</v>
      </c>
      <c r="C634" t="s">
        <v>9615</v>
      </c>
      <c r="D634">
        <v>2</v>
      </c>
      <c r="E634" t="s">
        <v>2121</v>
      </c>
    </row>
    <row r="635" spans="2:5">
      <c r="B635" s="65" t="str">
        <f t="shared" si="9"/>
        <v>doc-1186:1</v>
      </c>
      <c r="C635" t="s">
        <v>9616</v>
      </c>
      <c r="D635">
        <v>1</v>
      </c>
      <c r="E635" t="s">
        <v>2095</v>
      </c>
    </row>
    <row r="636" spans="2:5">
      <c r="B636" s="65" t="str">
        <f t="shared" si="9"/>
        <v>doc-1186:2</v>
      </c>
      <c r="C636" t="s">
        <v>9616</v>
      </c>
      <c r="D636">
        <v>2</v>
      </c>
      <c r="E636" t="s">
        <v>3254</v>
      </c>
    </row>
    <row r="637" spans="2:5">
      <c r="B637" s="65" t="str">
        <f t="shared" si="9"/>
        <v>doc-1188a:1</v>
      </c>
      <c r="C637" t="s">
        <v>9617</v>
      </c>
      <c r="D637">
        <v>1</v>
      </c>
      <c r="E637" t="s">
        <v>1941</v>
      </c>
    </row>
    <row r="638" spans="2:5">
      <c r="B638" s="65" t="str">
        <f t="shared" si="9"/>
        <v>doc-1188a:2</v>
      </c>
      <c r="C638" t="s">
        <v>9617</v>
      </c>
      <c r="D638">
        <v>2</v>
      </c>
      <c r="E638" t="s">
        <v>1959</v>
      </c>
    </row>
    <row r="639" spans="2:5">
      <c r="B639" s="65" t="str">
        <f t="shared" si="9"/>
        <v>doc-1188a:3</v>
      </c>
      <c r="C639" t="s">
        <v>9617</v>
      </c>
      <c r="D639">
        <v>3</v>
      </c>
      <c r="E639" t="s">
        <v>2407</v>
      </c>
    </row>
    <row r="640" spans="2:5">
      <c r="B640" s="65" t="str">
        <f t="shared" si="9"/>
        <v>doc-1188a:4</v>
      </c>
      <c r="C640" t="s">
        <v>9617</v>
      </c>
      <c r="D640">
        <v>4</v>
      </c>
      <c r="E640" t="s">
        <v>2411</v>
      </c>
    </row>
    <row r="641" spans="2:5">
      <c r="B641" s="65" t="str">
        <f t="shared" si="9"/>
        <v>doc-1189a:1</v>
      </c>
      <c r="C641" t="s">
        <v>9618</v>
      </c>
      <c r="D641">
        <v>1</v>
      </c>
      <c r="E641" t="s">
        <v>2801</v>
      </c>
    </row>
    <row r="642" spans="2:5">
      <c r="B642" s="65" t="str">
        <f t="shared" si="9"/>
        <v>doc-1189a:2</v>
      </c>
      <c r="C642" t="s">
        <v>9618</v>
      </c>
      <c r="D642">
        <v>2</v>
      </c>
      <c r="E642" t="s">
        <v>2771</v>
      </c>
    </row>
    <row r="643" spans="2:5">
      <c r="B643" s="65" t="str">
        <f t="shared" si="9"/>
        <v>doc-1190a:1</v>
      </c>
      <c r="C643" t="s">
        <v>9619</v>
      </c>
      <c r="D643">
        <v>1</v>
      </c>
      <c r="E643" t="s">
        <v>2023</v>
      </c>
    </row>
    <row r="644" spans="2:5">
      <c r="B644" s="65" t="str">
        <f t="shared" ref="B644:B707" si="10">$C644&amp;":"&amp;$D644</f>
        <v>doc-1190a:2</v>
      </c>
      <c r="C644" t="s">
        <v>9619</v>
      </c>
      <c r="D644">
        <v>2</v>
      </c>
      <c r="E644" t="s">
        <v>1944</v>
      </c>
    </row>
    <row r="645" spans="2:5">
      <c r="B645" s="65" t="str">
        <f t="shared" si="10"/>
        <v>doc-1192a:1</v>
      </c>
      <c r="C645" t="s">
        <v>9620</v>
      </c>
      <c r="D645">
        <v>1</v>
      </c>
      <c r="E645" t="s">
        <v>3186</v>
      </c>
    </row>
    <row r="646" spans="2:5">
      <c r="B646" s="65" t="str">
        <f t="shared" si="10"/>
        <v>doc-1192a:2</v>
      </c>
      <c r="C646" t="s">
        <v>9620</v>
      </c>
      <c r="D646">
        <v>2</v>
      </c>
      <c r="E646" t="s">
        <v>3114</v>
      </c>
    </row>
    <row r="647" spans="2:5">
      <c r="B647" s="65" t="str">
        <f t="shared" si="10"/>
        <v>doc-1192a:3</v>
      </c>
      <c r="C647" t="s">
        <v>9620</v>
      </c>
      <c r="D647">
        <v>3</v>
      </c>
      <c r="E647" t="s">
        <v>3193</v>
      </c>
    </row>
    <row r="648" spans="2:5">
      <c r="B648" s="65" t="str">
        <f t="shared" si="10"/>
        <v>doc-1192a:4</v>
      </c>
      <c r="C648" t="s">
        <v>9620</v>
      </c>
      <c r="D648">
        <v>4</v>
      </c>
      <c r="E648" t="s">
        <v>1417</v>
      </c>
    </row>
    <row r="649" spans="2:5">
      <c r="B649" s="65" t="str">
        <f t="shared" si="10"/>
        <v>doc-1193a:1</v>
      </c>
      <c r="C649" t="s">
        <v>9621</v>
      </c>
      <c r="D649">
        <v>1</v>
      </c>
      <c r="E649" t="s">
        <v>2983</v>
      </c>
    </row>
    <row r="650" spans="2:5">
      <c r="B650" s="65" t="str">
        <f t="shared" si="10"/>
        <v>doc-1193a:2</v>
      </c>
      <c r="C650" t="s">
        <v>9621</v>
      </c>
      <c r="D650">
        <v>2</v>
      </c>
      <c r="E650" t="s">
        <v>2996</v>
      </c>
    </row>
    <row r="651" spans="2:5">
      <c r="B651" s="65" t="str">
        <f t="shared" si="10"/>
        <v>doc-1193a:3</v>
      </c>
      <c r="C651" t="s">
        <v>9621</v>
      </c>
      <c r="D651">
        <v>3</v>
      </c>
      <c r="E651" t="s">
        <v>1911</v>
      </c>
    </row>
    <row r="652" spans="2:5">
      <c r="B652" s="65" t="str">
        <f t="shared" si="10"/>
        <v>doc-1193a:4</v>
      </c>
      <c r="C652" t="s">
        <v>9621</v>
      </c>
      <c r="D652">
        <v>4</v>
      </c>
      <c r="E652" t="s">
        <v>1880</v>
      </c>
    </row>
    <row r="653" spans="2:5">
      <c r="B653" s="65" t="str">
        <f t="shared" si="10"/>
        <v>doc-1194:1</v>
      </c>
      <c r="C653" t="s">
        <v>9622</v>
      </c>
      <c r="D653">
        <v>1</v>
      </c>
      <c r="E653" t="s">
        <v>2722</v>
      </c>
    </row>
    <row r="654" spans="2:5">
      <c r="B654" s="65" t="str">
        <f t="shared" si="10"/>
        <v>doc-1194:2</v>
      </c>
      <c r="C654" t="s">
        <v>9622</v>
      </c>
      <c r="D654">
        <v>2</v>
      </c>
      <c r="E654" t="s">
        <v>2646</v>
      </c>
    </row>
    <row r="655" spans="2:5">
      <c r="B655" s="65" t="str">
        <f t="shared" si="10"/>
        <v>doc-1194:3</v>
      </c>
      <c r="C655" t="s">
        <v>9622</v>
      </c>
      <c r="D655">
        <v>3</v>
      </c>
      <c r="E655" t="s">
        <v>2749</v>
      </c>
    </row>
    <row r="656" spans="2:5">
      <c r="B656" s="65" t="str">
        <f t="shared" si="10"/>
        <v>doc-1194:4</v>
      </c>
      <c r="C656" t="s">
        <v>9622</v>
      </c>
      <c r="D656">
        <v>4</v>
      </c>
      <c r="E656" t="s">
        <v>3233</v>
      </c>
    </row>
    <row r="657" spans="2:5">
      <c r="B657" s="65" t="str">
        <f t="shared" si="10"/>
        <v>doc-1194:5</v>
      </c>
      <c r="C657" t="s">
        <v>9622</v>
      </c>
      <c r="D657">
        <v>5</v>
      </c>
      <c r="E657" t="s">
        <v>2664</v>
      </c>
    </row>
    <row r="658" spans="2:5">
      <c r="B658" s="65" t="str">
        <f t="shared" si="10"/>
        <v>doc-1195a:1</v>
      </c>
      <c r="C658" t="s">
        <v>5604</v>
      </c>
      <c r="D658">
        <v>1</v>
      </c>
      <c r="E658" t="s">
        <v>3023</v>
      </c>
    </row>
    <row r="659" spans="2:5">
      <c r="B659" s="65" t="str">
        <f t="shared" si="10"/>
        <v>doc-1195a:2</v>
      </c>
      <c r="C659" t="s">
        <v>5604</v>
      </c>
      <c r="D659">
        <v>2</v>
      </c>
      <c r="E659" t="s">
        <v>3007</v>
      </c>
    </row>
    <row r="660" spans="2:5">
      <c r="B660" s="65" t="str">
        <f t="shared" si="10"/>
        <v>doc-1195a:3</v>
      </c>
      <c r="C660" t="s">
        <v>5604</v>
      </c>
      <c r="D660">
        <v>3</v>
      </c>
      <c r="E660" t="s">
        <v>3017</v>
      </c>
    </row>
    <row r="661" spans="2:5">
      <c r="B661" s="65" t="str">
        <f t="shared" si="10"/>
        <v>doc-1196a:1</v>
      </c>
      <c r="C661" t="s">
        <v>9623</v>
      </c>
      <c r="D661">
        <v>1</v>
      </c>
      <c r="E661" t="s">
        <v>1171</v>
      </c>
    </row>
    <row r="662" spans="2:5">
      <c r="B662" s="65" t="str">
        <f t="shared" si="10"/>
        <v>doc-1196a:2</v>
      </c>
      <c r="C662" t="s">
        <v>9623</v>
      </c>
      <c r="D662">
        <v>2</v>
      </c>
      <c r="E662" t="s">
        <v>2983</v>
      </c>
    </row>
    <row r="663" spans="2:5">
      <c r="B663" s="65" t="str">
        <f t="shared" si="10"/>
        <v>doc-1197:1</v>
      </c>
      <c r="C663" t="s">
        <v>9624</v>
      </c>
      <c r="D663">
        <v>1</v>
      </c>
      <c r="E663" t="s">
        <v>1589</v>
      </c>
    </row>
    <row r="664" spans="2:5">
      <c r="B664" s="65" t="str">
        <f t="shared" si="10"/>
        <v>doc-1197:2</v>
      </c>
      <c r="C664" t="s">
        <v>9624</v>
      </c>
      <c r="D664">
        <v>2</v>
      </c>
      <c r="E664" t="s">
        <v>2970</v>
      </c>
    </row>
    <row r="665" spans="2:5">
      <c r="B665" s="65" t="str">
        <f t="shared" si="10"/>
        <v>doc-1198:1</v>
      </c>
      <c r="C665" t="s">
        <v>9625</v>
      </c>
      <c r="D665">
        <v>1</v>
      </c>
      <c r="E665" t="s">
        <v>1589</v>
      </c>
    </row>
    <row r="666" spans="2:5">
      <c r="B666" s="65" t="str">
        <f t="shared" si="10"/>
        <v>doc-1198:2</v>
      </c>
      <c r="C666" t="s">
        <v>9625</v>
      </c>
      <c r="D666">
        <v>2</v>
      </c>
      <c r="E666" t="s">
        <v>2996</v>
      </c>
    </row>
    <row r="667" spans="2:5">
      <c r="B667" s="65" t="str">
        <f t="shared" si="10"/>
        <v>doc-1199a:1</v>
      </c>
      <c r="C667" t="s">
        <v>9626</v>
      </c>
      <c r="D667">
        <v>1</v>
      </c>
      <c r="E667" t="s">
        <v>3087</v>
      </c>
    </row>
    <row r="668" spans="2:5">
      <c r="B668" s="65" t="str">
        <f t="shared" si="10"/>
        <v>doc-1199a:2</v>
      </c>
      <c r="C668" t="s">
        <v>9626</v>
      </c>
      <c r="D668">
        <v>2</v>
      </c>
      <c r="E668" t="s">
        <v>1962</v>
      </c>
    </row>
    <row r="669" spans="2:5">
      <c r="B669" s="65" t="str">
        <f t="shared" si="10"/>
        <v>doc-1199a:3</v>
      </c>
      <c r="C669" t="s">
        <v>9626</v>
      </c>
      <c r="D669">
        <v>3</v>
      </c>
      <c r="E669" t="s">
        <v>1959</v>
      </c>
    </row>
    <row r="670" spans="2:5">
      <c r="B670" s="65" t="str">
        <f t="shared" si="10"/>
        <v>doc-1199a:4</v>
      </c>
      <c r="C670" t="s">
        <v>9626</v>
      </c>
      <c r="D670">
        <v>4</v>
      </c>
      <c r="E670" t="s">
        <v>3075</v>
      </c>
    </row>
    <row r="671" spans="2:5">
      <c r="B671" s="65" t="str">
        <f t="shared" si="10"/>
        <v>doc-1201:1</v>
      </c>
      <c r="C671" t="s">
        <v>9627</v>
      </c>
      <c r="D671">
        <v>1</v>
      </c>
      <c r="E671" t="s">
        <v>2059</v>
      </c>
    </row>
    <row r="672" spans="2:5">
      <c r="B672" s="65" t="str">
        <f t="shared" si="10"/>
        <v>doc-1201:2</v>
      </c>
      <c r="C672" t="s">
        <v>9627</v>
      </c>
      <c r="D672">
        <v>2</v>
      </c>
      <c r="E672" t="s">
        <v>2092</v>
      </c>
    </row>
    <row r="673" spans="2:5">
      <c r="B673" s="65" t="str">
        <f t="shared" si="10"/>
        <v>doc-1201:3</v>
      </c>
      <c r="C673" t="s">
        <v>9627</v>
      </c>
      <c r="D673">
        <v>3</v>
      </c>
      <c r="E673" t="s">
        <v>2137</v>
      </c>
    </row>
    <row r="674" spans="2:5">
      <c r="B674" s="65" t="str">
        <f t="shared" si="10"/>
        <v>doc-1201:4</v>
      </c>
      <c r="C674" t="s">
        <v>9627</v>
      </c>
      <c r="D674">
        <v>4</v>
      </c>
      <c r="E674" t="s">
        <v>2167</v>
      </c>
    </row>
    <row r="675" spans="2:5">
      <c r="B675" s="65" t="str">
        <f t="shared" si="10"/>
        <v>doc-1201:5</v>
      </c>
      <c r="C675" t="s">
        <v>9627</v>
      </c>
      <c r="D675">
        <v>5</v>
      </c>
      <c r="E675" t="s">
        <v>1905</v>
      </c>
    </row>
    <row r="676" spans="2:5">
      <c r="B676" s="65" t="str">
        <f t="shared" si="10"/>
        <v>doc-1201:6</v>
      </c>
      <c r="C676" t="s">
        <v>9627</v>
      </c>
      <c r="D676">
        <v>6</v>
      </c>
      <c r="E676" t="s">
        <v>2003</v>
      </c>
    </row>
    <row r="677" spans="2:5">
      <c r="B677" s="65" t="str">
        <f t="shared" si="10"/>
        <v>doc-1202:1</v>
      </c>
      <c r="C677" t="s">
        <v>9628</v>
      </c>
      <c r="D677">
        <v>1</v>
      </c>
      <c r="E677" t="s">
        <v>1902</v>
      </c>
    </row>
    <row r="678" spans="2:5">
      <c r="B678" s="65" t="str">
        <f t="shared" si="10"/>
        <v>doc-1202:2</v>
      </c>
      <c r="C678" t="s">
        <v>9628</v>
      </c>
      <c r="D678">
        <v>2</v>
      </c>
      <c r="E678" t="s">
        <v>2422</v>
      </c>
    </row>
    <row r="679" spans="2:5">
      <c r="B679" s="65" t="str">
        <f t="shared" si="10"/>
        <v>doc-1202:3</v>
      </c>
      <c r="C679" t="s">
        <v>9628</v>
      </c>
      <c r="D679">
        <v>3</v>
      </c>
      <c r="E679" t="s">
        <v>2467</v>
      </c>
    </row>
    <row r="680" spans="2:5">
      <c r="B680" s="65" t="str">
        <f t="shared" si="10"/>
        <v>doc-1203a:1</v>
      </c>
      <c r="C680" t="s">
        <v>9629</v>
      </c>
      <c r="D680">
        <v>1</v>
      </c>
      <c r="E680" t="s">
        <v>3046</v>
      </c>
    </row>
    <row r="681" spans="2:5">
      <c r="B681" s="65" t="str">
        <f t="shared" si="10"/>
        <v>doc-1203a:2</v>
      </c>
      <c r="C681" t="s">
        <v>9629</v>
      </c>
      <c r="D681">
        <v>2</v>
      </c>
      <c r="E681" t="s">
        <v>3056</v>
      </c>
    </row>
    <row r="682" spans="2:5">
      <c r="B682" s="65" t="str">
        <f t="shared" si="10"/>
        <v>doc-1203a:3</v>
      </c>
      <c r="C682" t="s">
        <v>9629</v>
      </c>
      <c r="D682">
        <v>3</v>
      </c>
      <c r="E682" t="s">
        <v>1127</v>
      </c>
    </row>
    <row r="683" spans="2:5">
      <c r="B683" s="65" t="str">
        <f t="shared" si="10"/>
        <v>doc-1205:1</v>
      </c>
      <c r="C683" t="s">
        <v>9630</v>
      </c>
      <c r="D683">
        <v>1</v>
      </c>
      <c r="E683" t="s">
        <v>2087</v>
      </c>
    </row>
    <row r="684" spans="2:5">
      <c r="B684" s="65" t="str">
        <f t="shared" si="10"/>
        <v>doc-1206:1</v>
      </c>
      <c r="C684" t="s">
        <v>9631</v>
      </c>
      <c r="D684">
        <v>1</v>
      </c>
      <c r="E684" t="s">
        <v>1962</v>
      </c>
    </row>
    <row r="685" spans="2:5">
      <c r="B685" s="65" t="str">
        <f t="shared" si="10"/>
        <v>doc-1206:2</v>
      </c>
      <c r="C685" t="s">
        <v>9631</v>
      </c>
      <c r="D685">
        <v>2</v>
      </c>
      <c r="E685" t="s">
        <v>2654</v>
      </c>
    </row>
    <row r="686" spans="2:5">
      <c r="B686" s="65" t="str">
        <f t="shared" si="10"/>
        <v>doc-1206:3</v>
      </c>
      <c r="C686" t="s">
        <v>9631</v>
      </c>
      <c r="D686">
        <v>3</v>
      </c>
      <c r="E686" t="s">
        <v>2667</v>
      </c>
    </row>
    <row r="687" spans="2:5">
      <c r="B687" s="65" t="str">
        <f t="shared" si="10"/>
        <v>doc-1206:4</v>
      </c>
      <c r="C687" t="s">
        <v>9631</v>
      </c>
      <c r="D687">
        <v>4</v>
      </c>
      <c r="E687" t="s">
        <v>3180</v>
      </c>
    </row>
    <row r="688" spans="2:5">
      <c r="B688" s="65" t="str">
        <f t="shared" si="10"/>
        <v>doc-1207:1</v>
      </c>
      <c r="C688" t="s">
        <v>9632</v>
      </c>
      <c r="D688">
        <v>1</v>
      </c>
      <c r="E688" t="s">
        <v>1658</v>
      </c>
    </row>
    <row r="689" spans="2:5">
      <c r="B689" s="65" t="str">
        <f t="shared" si="10"/>
        <v>doc-1207:2</v>
      </c>
      <c r="C689" t="s">
        <v>9632</v>
      </c>
      <c r="D689">
        <v>2</v>
      </c>
      <c r="E689" t="s">
        <v>3021</v>
      </c>
    </row>
    <row r="690" spans="2:5">
      <c r="B690" s="65" t="str">
        <f t="shared" si="10"/>
        <v>doc-1207:3</v>
      </c>
      <c r="C690" t="s">
        <v>9632</v>
      </c>
      <c r="D690">
        <v>3</v>
      </c>
      <c r="E690" t="s">
        <v>2996</v>
      </c>
    </row>
    <row r="691" spans="2:5">
      <c r="B691" s="65" t="str">
        <f t="shared" si="10"/>
        <v>doc-1209:1</v>
      </c>
      <c r="C691" t="s">
        <v>9633</v>
      </c>
      <c r="D691">
        <v>1</v>
      </c>
      <c r="E691" t="s">
        <v>1911</v>
      </c>
    </row>
    <row r="692" spans="2:5">
      <c r="B692" s="65" t="str">
        <f t="shared" si="10"/>
        <v>doc-1209:2</v>
      </c>
      <c r="C692" t="s">
        <v>9633</v>
      </c>
      <c r="D692">
        <v>2</v>
      </c>
      <c r="E692" t="s">
        <v>2027</v>
      </c>
    </row>
    <row r="693" spans="2:5">
      <c r="B693" s="65" t="str">
        <f t="shared" si="10"/>
        <v>doc-1209:3</v>
      </c>
      <c r="C693" t="s">
        <v>9633</v>
      </c>
      <c r="D693">
        <v>3</v>
      </c>
      <c r="E693" t="s">
        <v>1810</v>
      </c>
    </row>
    <row r="694" spans="2:5">
      <c r="B694" s="65" t="str">
        <f t="shared" si="10"/>
        <v>doc-1210:1</v>
      </c>
      <c r="C694" t="s">
        <v>9634</v>
      </c>
      <c r="D694">
        <v>1</v>
      </c>
      <c r="E694" t="s">
        <v>1232</v>
      </c>
    </row>
    <row r="695" spans="2:5">
      <c r="B695" s="65" t="str">
        <f t="shared" si="10"/>
        <v>doc-1210:2</v>
      </c>
      <c r="C695" t="s">
        <v>9634</v>
      </c>
      <c r="D695">
        <v>2</v>
      </c>
      <c r="E695" t="s">
        <v>2975</v>
      </c>
    </row>
    <row r="696" spans="2:5">
      <c r="B696" s="65" t="str">
        <f t="shared" si="10"/>
        <v>doc-1211a:1</v>
      </c>
      <c r="C696" t="s">
        <v>9635</v>
      </c>
      <c r="D696">
        <v>1</v>
      </c>
      <c r="E696" t="s">
        <v>3087</v>
      </c>
    </row>
    <row r="697" spans="2:5">
      <c r="B697" s="65" t="str">
        <f t="shared" si="10"/>
        <v>doc-1211a:2</v>
      </c>
      <c r="C697" t="s">
        <v>9635</v>
      </c>
      <c r="D697">
        <v>2</v>
      </c>
      <c r="E697" t="s">
        <v>1962</v>
      </c>
    </row>
    <row r="698" spans="2:5">
      <c r="B698" s="65" t="str">
        <f t="shared" si="10"/>
        <v>doc-1211a:3</v>
      </c>
      <c r="C698" t="s">
        <v>9635</v>
      </c>
      <c r="D698">
        <v>3</v>
      </c>
      <c r="E698" t="s">
        <v>3075</v>
      </c>
    </row>
    <row r="699" spans="2:5">
      <c r="B699" s="65" t="str">
        <f t="shared" si="10"/>
        <v>doc-1211a:4</v>
      </c>
      <c r="C699" t="s">
        <v>9635</v>
      </c>
      <c r="D699">
        <v>4</v>
      </c>
      <c r="E699" t="s">
        <v>1959</v>
      </c>
    </row>
    <row r="700" spans="2:5">
      <c r="B700" s="65" t="str">
        <f t="shared" si="10"/>
        <v>doc-1212:1</v>
      </c>
      <c r="C700" t="s">
        <v>9636</v>
      </c>
      <c r="D700">
        <v>1</v>
      </c>
      <c r="E700" t="s">
        <v>1491</v>
      </c>
    </row>
    <row r="701" spans="2:5">
      <c r="B701" s="65" t="str">
        <f t="shared" si="10"/>
        <v>doc-1212:2</v>
      </c>
      <c r="C701" t="s">
        <v>9636</v>
      </c>
      <c r="D701">
        <v>2</v>
      </c>
      <c r="E701" t="s">
        <v>1905</v>
      </c>
    </row>
    <row r="702" spans="2:5">
      <c r="B702" s="65" t="str">
        <f t="shared" si="10"/>
        <v>doc-1212:3</v>
      </c>
      <c r="C702" t="s">
        <v>9636</v>
      </c>
      <c r="D702">
        <v>3</v>
      </c>
      <c r="E702" t="s">
        <v>1509</v>
      </c>
    </row>
    <row r="703" spans="2:5">
      <c r="B703" s="65" t="str">
        <f t="shared" si="10"/>
        <v>doc-1213a:1</v>
      </c>
      <c r="C703" t="s">
        <v>9637</v>
      </c>
      <c r="D703">
        <v>1</v>
      </c>
      <c r="E703" t="s">
        <v>3145</v>
      </c>
    </row>
    <row r="704" spans="2:5">
      <c r="B704" s="65" t="str">
        <f t="shared" si="10"/>
        <v>doc-1213a:2</v>
      </c>
      <c r="C704" t="s">
        <v>9637</v>
      </c>
      <c r="D704">
        <v>2</v>
      </c>
      <c r="E704" t="s">
        <v>254</v>
      </c>
    </row>
    <row r="705" spans="2:5">
      <c r="B705" s="65" t="str">
        <f t="shared" si="10"/>
        <v>doc-1215:1</v>
      </c>
      <c r="C705" t="s">
        <v>9638</v>
      </c>
      <c r="D705">
        <v>1</v>
      </c>
      <c r="E705" t="s">
        <v>87</v>
      </c>
    </row>
    <row r="706" spans="2:5">
      <c r="B706" s="65" t="str">
        <f t="shared" si="10"/>
        <v>doc-1215:2</v>
      </c>
      <c r="C706" t="s">
        <v>9638</v>
      </c>
      <c r="D706">
        <v>2</v>
      </c>
      <c r="E706" t="s">
        <v>1395</v>
      </c>
    </row>
    <row r="707" spans="2:5">
      <c r="B707" s="65" t="str">
        <f t="shared" si="10"/>
        <v>doc-1215:3</v>
      </c>
      <c r="C707" t="s">
        <v>9638</v>
      </c>
      <c r="D707">
        <v>3</v>
      </c>
      <c r="E707" t="s">
        <v>2310</v>
      </c>
    </row>
    <row r="708" spans="2:5">
      <c r="B708" s="65" t="str">
        <f t="shared" ref="B708:B771" si="11">$C708&amp;":"&amp;$D708</f>
        <v>doc-1215:4</v>
      </c>
      <c r="C708" t="s">
        <v>9638</v>
      </c>
      <c r="D708">
        <v>4</v>
      </c>
      <c r="E708" t="s">
        <v>2963</v>
      </c>
    </row>
    <row r="709" spans="2:5">
      <c r="B709" s="65" t="str">
        <f t="shared" si="11"/>
        <v>doc-1215:5</v>
      </c>
      <c r="C709" t="s">
        <v>9638</v>
      </c>
      <c r="D709">
        <v>5</v>
      </c>
      <c r="E709" t="s">
        <v>73</v>
      </c>
    </row>
    <row r="710" spans="2:5">
      <c r="B710" s="65" t="str">
        <f t="shared" si="11"/>
        <v>doc-1215:6</v>
      </c>
      <c r="C710" t="s">
        <v>9638</v>
      </c>
      <c r="D710">
        <v>6</v>
      </c>
      <c r="E710" t="s">
        <v>1349</v>
      </c>
    </row>
    <row r="711" spans="2:5">
      <c r="B711" s="65" t="str">
        <f t="shared" si="11"/>
        <v>doc-1215:7</v>
      </c>
      <c r="C711" t="s">
        <v>9638</v>
      </c>
      <c r="D711">
        <v>7</v>
      </c>
      <c r="E711" t="s">
        <v>281</v>
      </c>
    </row>
    <row r="712" spans="2:5">
      <c r="B712" s="65" t="str">
        <f t="shared" si="11"/>
        <v>doc-1216:1</v>
      </c>
      <c r="C712" t="s">
        <v>9639</v>
      </c>
      <c r="D712">
        <v>1</v>
      </c>
      <c r="E712" t="s">
        <v>2710</v>
      </c>
    </row>
    <row r="713" spans="2:5">
      <c r="B713" s="65" t="str">
        <f t="shared" si="11"/>
        <v>doc-1216:2</v>
      </c>
      <c r="C713" t="s">
        <v>9639</v>
      </c>
      <c r="D713">
        <v>2</v>
      </c>
      <c r="E713" t="s">
        <v>2729</v>
      </c>
    </row>
    <row r="714" spans="2:5">
      <c r="B714" s="65" t="str">
        <f t="shared" si="11"/>
        <v>doc-1216:3</v>
      </c>
      <c r="C714" t="s">
        <v>9639</v>
      </c>
      <c r="D714">
        <v>3</v>
      </c>
      <c r="E714" t="s">
        <v>1911</v>
      </c>
    </row>
    <row r="715" spans="2:5">
      <c r="B715" s="65" t="str">
        <f t="shared" si="11"/>
        <v>doc-1216:4</v>
      </c>
      <c r="C715" t="s">
        <v>9639</v>
      </c>
      <c r="D715">
        <v>4</v>
      </c>
      <c r="E715" t="s">
        <v>2667</v>
      </c>
    </row>
    <row r="716" spans="2:5">
      <c r="B716" s="65" t="str">
        <f t="shared" si="11"/>
        <v>doc-1217a:1</v>
      </c>
      <c r="C716" t="s">
        <v>9640</v>
      </c>
      <c r="D716">
        <v>1</v>
      </c>
      <c r="E716" t="s">
        <v>2983</v>
      </c>
    </row>
    <row r="717" spans="2:5">
      <c r="B717" s="65" t="str">
        <f t="shared" si="11"/>
        <v>doc-1217a:2</v>
      </c>
      <c r="C717" t="s">
        <v>9640</v>
      </c>
      <c r="D717">
        <v>2</v>
      </c>
      <c r="E717" t="s">
        <v>2996</v>
      </c>
    </row>
    <row r="718" spans="2:5">
      <c r="B718" s="65" t="str">
        <f t="shared" si="11"/>
        <v>doc-1217a:3</v>
      </c>
      <c r="C718" t="s">
        <v>9640</v>
      </c>
      <c r="D718">
        <v>3</v>
      </c>
      <c r="E718" t="s">
        <v>1911</v>
      </c>
    </row>
    <row r="719" spans="2:5">
      <c r="B719" s="65" t="str">
        <f t="shared" si="11"/>
        <v>doc-1217a:4</v>
      </c>
      <c r="C719" t="s">
        <v>9640</v>
      </c>
      <c r="D719">
        <v>4</v>
      </c>
      <c r="E719" t="s">
        <v>1880</v>
      </c>
    </row>
    <row r="720" spans="2:5">
      <c r="B720" s="65" t="str">
        <f t="shared" si="11"/>
        <v>doc-1218a:1</v>
      </c>
      <c r="C720" t="s">
        <v>9641</v>
      </c>
      <c r="D720">
        <v>1</v>
      </c>
      <c r="E720" t="s">
        <v>1747</v>
      </c>
    </row>
    <row r="721" spans="2:5">
      <c r="B721" s="65" t="str">
        <f t="shared" si="11"/>
        <v>doc-1218a:2</v>
      </c>
      <c r="C721" t="s">
        <v>9641</v>
      </c>
      <c r="D721">
        <v>2</v>
      </c>
      <c r="E721" t="s">
        <v>302</v>
      </c>
    </row>
    <row r="722" spans="2:5">
      <c r="B722" s="65" t="str">
        <f t="shared" si="11"/>
        <v>doc-1218a:3</v>
      </c>
      <c r="C722" t="s">
        <v>9641</v>
      </c>
      <c r="D722">
        <v>3</v>
      </c>
      <c r="E722" t="s">
        <v>1737</v>
      </c>
    </row>
    <row r="723" spans="2:5">
      <c r="B723" s="65" t="str">
        <f t="shared" si="11"/>
        <v>doc-1218a:4</v>
      </c>
      <c r="C723" t="s">
        <v>9641</v>
      </c>
      <c r="D723">
        <v>4</v>
      </c>
      <c r="E723" t="s">
        <v>1732</v>
      </c>
    </row>
    <row r="724" spans="2:5">
      <c r="B724" s="65" t="str">
        <f t="shared" si="11"/>
        <v>doc-1218a:5</v>
      </c>
      <c r="C724" t="s">
        <v>9641</v>
      </c>
      <c r="D724">
        <v>5</v>
      </c>
      <c r="E724" t="s">
        <v>1856</v>
      </c>
    </row>
    <row r="725" spans="2:5">
      <c r="B725" s="65" t="str">
        <f t="shared" si="11"/>
        <v>doc-1218a:6</v>
      </c>
      <c r="C725" t="s">
        <v>9641</v>
      </c>
      <c r="D725">
        <v>6</v>
      </c>
      <c r="E725" t="s">
        <v>2003</v>
      </c>
    </row>
    <row r="726" spans="2:5">
      <c r="B726" s="65" t="str">
        <f t="shared" si="11"/>
        <v>doc-1219a:1</v>
      </c>
      <c r="C726" t="s">
        <v>5610</v>
      </c>
      <c r="D726">
        <v>1</v>
      </c>
      <c r="E726" t="s">
        <v>2336</v>
      </c>
    </row>
    <row r="727" spans="2:5">
      <c r="B727" s="65" t="str">
        <f t="shared" si="11"/>
        <v>doc-1219a:2</v>
      </c>
      <c r="C727" t="s">
        <v>5610</v>
      </c>
      <c r="D727">
        <v>2</v>
      </c>
      <c r="E727" t="s">
        <v>1804</v>
      </c>
    </row>
    <row r="728" spans="2:5">
      <c r="B728" s="65" t="str">
        <f t="shared" si="11"/>
        <v>doc-1219a:3</v>
      </c>
      <c r="C728" t="s">
        <v>5610</v>
      </c>
      <c r="D728">
        <v>3</v>
      </c>
      <c r="E728" t="s">
        <v>281</v>
      </c>
    </row>
    <row r="729" spans="2:5">
      <c r="B729" s="65" t="str">
        <f t="shared" si="11"/>
        <v>doc-1220a:1</v>
      </c>
      <c r="C729" t="s">
        <v>6508</v>
      </c>
      <c r="D729">
        <v>1</v>
      </c>
      <c r="E729" t="s">
        <v>1437</v>
      </c>
    </row>
    <row r="730" spans="2:5">
      <c r="B730" s="65" t="str">
        <f t="shared" si="11"/>
        <v>doc-1220a:2</v>
      </c>
      <c r="C730" t="s">
        <v>6508</v>
      </c>
      <c r="D730">
        <v>2</v>
      </c>
      <c r="E730" t="s">
        <v>1349</v>
      </c>
    </row>
    <row r="731" spans="2:5">
      <c r="B731" s="65" t="str">
        <f t="shared" si="11"/>
        <v>doc-1220a:3</v>
      </c>
      <c r="C731" t="s">
        <v>6508</v>
      </c>
      <c r="D731">
        <v>3</v>
      </c>
      <c r="E731" t="s">
        <v>281</v>
      </c>
    </row>
    <row r="732" spans="2:5">
      <c r="B732" s="65" t="str">
        <f t="shared" si="11"/>
        <v>doc-1221:1</v>
      </c>
      <c r="C732" t="s">
        <v>9642</v>
      </c>
      <c r="D732">
        <v>1</v>
      </c>
      <c r="E732" t="s">
        <v>1395</v>
      </c>
    </row>
    <row r="733" spans="2:5">
      <c r="B733" s="65" t="str">
        <f t="shared" si="11"/>
        <v>doc-1221:2</v>
      </c>
      <c r="C733" t="s">
        <v>9642</v>
      </c>
      <c r="D733">
        <v>2</v>
      </c>
      <c r="E733" t="s">
        <v>2310</v>
      </c>
    </row>
    <row r="734" spans="2:5">
      <c r="B734" s="65" t="str">
        <f t="shared" si="11"/>
        <v>doc-1221:3</v>
      </c>
      <c r="C734" t="s">
        <v>9642</v>
      </c>
      <c r="D734">
        <v>3</v>
      </c>
      <c r="E734" t="s">
        <v>87</v>
      </c>
    </row>
    <row r="735" spans="2:5">
      <c r="B735" s="65" t="str">
        <f t="shared" si="11"/>
        <v>doc-1221:4</v>
      </c>
      <c r="C735" t="s">
        <v>9642</v>
      </c>
      <c r="D735">
        <v>4</v>
      </c>
      <c r="E735" t="s">
        <v>1349</v>
      </c>
    </row>
    <row r="736" spans="2:5">
      <c r="B736" s="65" t="str">
        <f t="shared" si="11"/>
        <v>doc-1221:5</v>
      </c>
      <c r="C736" t="s">
        <v>9642</v>
      </c>
      <c r="D736">
        <v>5</v>
      </c>
      <c r="E736" t="s">
        <v>2963</v>
      </c>
    </row>
    <row r="737" spans="2:5">
      <c r="B737" s="65" t="str">
        <f t="shared" si="11"/>
        <v>doc-1221:6</v>
      </c>
      <c r="C737" t="s">
        <v>9642</v>
      </c>
      <c r="D737">
        <v>6</v>
      </c>
      <c r="E737" t="s">
        <v>281</v>
      </c>
    </row>
    <row r="738" spans="2:5">
      <c r="B738" s="65" t="str">
        <f t="shared" si="11"/>
        <v>doc-1221:7</v>
      </c>
      <c r="C738" t="s">
        <v>9642</v>
      </c>
      <c r="D738">
        <v>7</v>
      </c>
      <c r="E738" t="s">
        <v>73</v>
      </c>
    </row>
    <row r="739" spans="2:5">
      <c r="B739" s="65" t="str">
        <f t="shared" si="11"/>
        <v>doc-1222:1</v>
      </c>
      <c r="C739" t="s">
        <v>9643</v>
      </c>
      <c r="D739">
        <v>1</v>
      </c>
      <c r="E739" t="s">
        <v>2930</v>
      </c>
    </row>
    <row r="740" spans="2:5">
      <c r="B740" s="65" t="str">
        <f t="shared" si="11"/>
        <v>doc-1222:2</v>
      </c>
      <c r="C740" t="s">
        <v>9643</v>
      </c>
      <c r="D740">
        <v>2</v>
      </c>
      <c r="E740" t="s">
        <v>299</v>
      </c>
    </row>
    <row r="741" spans="2:5">
      <c r="B741" s="65" t="str">
        <f t="shared" si="11"/>
        <v>doc-1222:3</v>
      </c>
      <c r="C741" t="s">
        <v>9643</v>
      </c>
      <c r="D741">
        <v>3</v>
      </c>
      <c r="E741" t="s">
        <v>1224</v>
      </c>
    </row>
    <row r="742" spans="2:5">
      <c r="B742" s="65" t="str">
        <f t="shared" si="11"/>
        <v>doc-1222:4</v>
      </c>
      <c r="C742" t="s">
        <v>9643</v>
      </c>
      <c r="D742">
        <v>4</v>
      </c>
      <c r="E742" t="s">
        <v>1757</v>
      </c>
    </row>
    <row r="743" spans="2:5">
      <c r="B743" s="65" t="str">
        <f t="shared" si="11"/>
        <v>doc-1222:5</v>
      </c>
      <c r="C743" t="s">
        <v>9643</v>
      </c>
      <c r="D743">
        <v>5</v>
      </c>
      <c r="E743" t="s">
        <v>1775</v>
      </c>
    </row>
    <row r="744" spans="2:5">
      <c r="B744" s="65" t="str">
        <f t="shared" si="11"/>
        <v>doc-1224a:1</v>
      </c>
      <c r="C744" t="s">
        <v>9644</v>
      </c>
      <c r="D744">
        <v>1</v>
      </c>
      <c r="E744" t="s">
        <v>2867</v>
      </c>
    </row>
    <row r="745" spans="2:5">
      <c r="B745" s="65" t="str">
        <f t="shared" si="11"/>
        <v>doc-1224a:2</v>
      </c>
      <c r="C745" t="s">
        <v>9644</v>
      </c>
      <c r="D745">
        <v>2</v>
      </c>
      <c r="E745" t="s">
        <v>2831</v>
      </c>
    </row>
    <row r="746" spans="2:5">
      <c r="B746" s="65" t="str">
        <f t="shared" si="11"/>
        <v>doc-1224a:3</v>
      </c>
      <c r="C746" t="s">
        <v>9644</v>
      </c>
      <c r="D746">
        <v>3</v>
      </c>
      <c r="E746" t="s">
        <v>2847</v>
      </c>
    </row>
    <row r="747" spans="2:5">
      <c r="B747" s="65" t="str">
        <f t="shared" si="11"/>
        <v>doc-1224a:4</v>
      </c>
      <c r="C747" t="s">
        <v>9644</v>
      </c>
      <c r="D747">
        <v>4</v>
      </c>
      <c r="E747" t="s">
        <v>2849</v>
      </c>
    </row>
    <row r="748" spans="2:5">
      <c r="B748" s="65" t="str">
        <f t="shared" si="11"/>
        <v>doc-1224a:5</v>
      </c>
      <c r="C748" t="s">
        <v>9644</v>
      </c>
      <c r="D748">
        <v>5</v>
      </c>
      <c r="E748" t="s">
        <v>1592</v>
      </c>
    </row>
    <row r="749" spans="2:5">
      <c r="B749" s="65" t="str">
        <f t="shared" si="11"/>
        <v>doc-1224b:1</v>
      </c>
      <c r="C749" t="s">
        <v>9645</v>
      </c>
      <c r="D749">
        <v>1</v>
      </c>
      <c r="E749" t="s">
        <v>2867</v>
      </c>
    </row>
    <row r="750" spans="2:5">
      <c r="B750" s="65" t="str">
        <f t="shared" si="11"/>
        <v>doc-1224b:2</v>
      </c>
      <c r="C750" t="s">
        <v>9645</v>
      </c>
      <c r="D750">
        <v>2</v>
      </c>
      <c r="E750" t="s">
        <v>2831</v>
      </c>
    </row>
    <row r="751" spans="2:5">
      <c r="B751" s="65" t="str">
        <f t="shared" si="11"/>
        <v>doc-1224b:3</v>
      </c>
      <c r="C751" t="s">
        <v>9645</v>
      </c>
      <c r="D751">
        <v>3</v>
      </c>
      <c r="E751" t="s">
        <v>2847</v>
      </c>
    </row>
    <row r="752" spans="2:5">
      <c r="B752" s="65" t="str">
        <f t="shared" si="11"/>
        <v>doc-1224b:4</v>
      </c>
      <c r="C752" t="s">
        <v>9645</v>
      </c>
      <c r="D752">
        <v>4</v>
      </c>
      <c r="E752" t="s">
        <v>2849</v>
      </c>
    </row>
    <row r="753" spans="2:5">
      <c r="B753" s="65" t="str">
        <f t="shared" si="11"/>
        <v>doc-1224b:5</v>
      </c>
      <c r="C753" t="s">
        <v>9645</v>
      </c>
      <c r="D753">
        <v>5</v>
      </c>
      <c r="E753" t="s">
        <v>1592</v>
      </c>
    </row>
    <row r="754" spans="2:5">
      <c r="B754" s="65" t="str">
        <f t="shared" si="11"/>
        <v>doc-1226a:1</v>
      </c>
      <c r="C754" t="s">
        <v>9646</v>
      </c>
      <c r="D754">
        <v>1</v>
      </c>
      <c r="E754" t="s">
        <v>2892</v>
      </c>
    </row>
    <row r="755" spans="2:5">
      <c r="B755" s="65" t="str">
        <f t="shared" si="11"/>
        <v>doc-1227:1</v>
      </c>
      <c r="C755" t="s">
        <v>9647</v>
      </c>
      <c r="D755">
        <v>1</v>
      </c>
      <c r="E755" t="s">
        <v>2435</v>
      </c>
    </row>
    <row r="756" spans="2:5">
      <c r="B756" s="65" t="str">
        <f t="shared" si="11"/>
        <v>doc-1227:2</v>
      </c>
      <c r="C756" t="s">
        <v>9647</v>
      </c>
      <c r="D756">
        <v>2</v>
      </c>
      <c r="E756" t="s">
        <v>2501</v>
      </c>
    </row>
    <row r="757" spans="2:5">
      <c r="B757" s="65" t="str">
        <f t="shared" si="11"/>
        <v>doc-1227:3</v>
      </c>
      <c r="C757" t="s">
        <v>9647</v>
      </c>
      <c r="D757">
        <v>3</v>
      </c>
      <c r="E757" t="s">
        <v>2422</v>
      </c>
    </row>
    <row r="758" spans="2:5">
      <c r="B758" s="65" t="str">
        <f t="shared" si="11"/>
        <v>doc-1228a:1</v>
      </c>
      <c r="C758" t="s">
        <v>9648</v>
      </c>
      <c r="D758">
        <v>1</v>
      </c>
      <c r="E758" t="s">
        <v>3145</v>
      </c>
    </row>
    <row r="759" spans="2:5">
      <c r="B759" s="65" t="str">
        <f t="shared" si="11"/>
        <v>doc-1228a:2</v>
      </c>
      <c r="C759" t="s">
        <v>9648</v>
      </c>
      <c r="D759">
        <v>2</v>
      </c>
      <c r="E759" t="s">
        <v>254</v>
      </c>
    </row>
    <row r="760" spans="2:5">
      <c r="B760" s="65" t="str">
        <f t="shared" si="11"/>
        <v>doc-1229:1</v>
      </c>
      <c r="C760" t="s">
        <v>9649</v>
      </c>
      <c r="D760">
        <v>1</v>
      </c>
      <c r="E760" t="s">
        <v>2176</v>
      </c>
    </row>
    <row r="761" spans="2:5">
      <c r="B761" s="65" t="str">
        <f t="shared" si="11"/>
        <v>doc-1229:2</v>
      </c>
      <c r="C761" t="s">
        <v>9649</v>
      </c>
      <c r="D761">
        <v>2</v>
      </c>
      <c r="E761" t="s">
        <v>2179</v>
      </c>
    </row>
    <row r="762" spans="2:5">
      <c r="B762" s="65" t="str">
        <f t="shared" si="11"/>
        <v>doc-1229:3</v>
      </c>
      <c r="C762" t="s">
        <v>9649</v>
      </c>
      <c r="D762">
        <v>3</v>
      </c>
      <c r="E762" t="s">
        <v>2121</v>
      </c>
    </row>
    <row r="763" spans="2:5">
      <c r="B763" s="65" t="str">
        <f t="shared" si="11"/>
        <v>doc-1230:1</v>
      </c>
      <c r="C763" t="s">
        <v>9650</v>
      </c>
      <c r="D763">
        <v>1</v>
      </c>
      <c r="E763" t="s">
        <v>1229</v>
      </c>
    </row>
    <row r="764" spans="2:5">
      <c r="B764" s="65" t="str">
        <f t="shared" si="11"/>
        <v>doc-1230:2</v>
      </c>
      <c r="C764" t="s">
        <v>9650</v>
      </c>
      <c r="D764">
        <v>2</v>
      </c>
      <c r="E764" t="s">
        <v>1232</v>
      </c>
    </row>
    <row r="765" spans="2:5">
      <c r="B765" s="65" t="str">
        <f t="shared" si="11"/>
        <v>doc-1230:3</v>
      </c>
      <c r="C765" t="s">
        <v>9650</v>
      </c>
      <c r="D765">
        <v>3</v>
      </c>
      <c r="E765" t="s">
        <v>1235</v>
      </c>
    </row>
    <row r="766" spans="2:5">
      <c r="B766" s="65" t="str">
        <f t="shared" si="11"/>
        <v>doc-1230:4</v>
      </c>
      <c r="C766" t="s">
        <v>9650</v>
      </c>
      <c r="D766">
        <v>4</v>
      </c>
      <c r="E766" t="s">
        <v>2975</v>
      </c>
    </row>
    <row r="767" spans="2:5">
      <c r="B767" s="65" t="str">
        <f t="shared" si="11"/>
        <v>doc-1232:1</v>
      </c>
      <c r="C767" t="s">
        <v>9651</v>
      </c>
      <c r="D767">
        <v>1</v>
      </c>
      <c r="E767" t="s">
        <v>1944</v>
      </c>
    </row>
    <row r="768" spans="2:5">
      <c r="B768" s="65" t="str">
        <f t="shared" si="11"/>
        <v>doc-1232:2</v>
      </c>
      <c r="C768" t="s">
        <v>9651</v>
      </c>
      <c r="D768">
        <v>2</v>
      </c>
      <c r="E768" t="s">
        <v>1813</v>
      </c>
    </row>
    <row r="769" spans="2:5">
      <c r="B769" s="65" t="str">
        <f t="shared" si="11"/>
        <v>doc-1232:3</v>
      </c>
      <c r="C769" t="s">
        <v>9651</v>
      </c>
      <c r="D769">
        <v>3</v>
      </c>
      <c r="E769" t="s">
        <v>2106</v>
      </c>
    </row>
    <row r="770" spans="2:5">
      <c r="B770" s="65" t="str">
        <f t="shared" si="11"/>
        <v>doc-1233a:1</v>
      </c>
      <c r="C770" t="s">
        <v>9652</v>
      </c>
      <c r="D770">
        <v>1</v>
      </c>
      <c r="E770" t="s">
        <v>1817</v>
      </c>
    </row>
    <row r="771" spans="2:5">
      <c r="B771" s="65" t="str">
        <f t="shared" si="11"/>
        <v>doc-1233a:2</v>
      </c>
      <c r="C771" t="s">
        <v>9652</v>
      </c>
      <c r="D771">
        <v>2</v>
      </c>
      <c r="E771" t="s">
        <v>1853</v>
      </c>
    </row>
    <row r="772" spans="2:5">
      <c r="B772" s="65" t="str">
        <f t="shared" ref="B772:B835" si="12">$C772&amp;":"&amp;$D772</f>
        <v>doc-1233a:3</v>
      </c>
      <c r="C772" t="s">
        <v>9652</v>
      </c>
      <c r="D772">
        <v>3</v>
      </c>
      <c r="E772" t="s">
        <v>1838</v>
      </c>
    </row>
    <row r="773" spans="2:5">
      <c r="B773" s="65" t="str">
        <f t="shared" si="12"/>
        <v>doc-1233a:4</v>
      </c>
      <c r="C773" t="s">
        <v>9652</v>
      </c>
      <c r="D773">
        <v>4</v>
      </c>
      <c r="E773" t="s">
        <v>1904</v>
      </c>
    </row>
    <row r="774" spans="2:5">
      <c r="B774" s="65" t="str">
        <f t="shared" si="12"/>
        <v>doc-1233a:5</v>
      </c>
      <c r="C774" t="s">
        <v>9652</v>
      </c>
      <c r="D774">
        <v>5</v>
      </c>
      <c r="E774" t="s">
        <v>1905</v>
      </c>
    </row>
    <row r="775" spans="2:5">
      <c r="B775" s="65" t="str">
        <f t="shared" si="12"/>
        <v>doc-1233a:6</v>
      </c>
      <c r="C775" t="s">
        <v>9652</v>
      </c>
      <c r="D775">
        <v>6</v>
      </c>
      <c r="E775" t="s">
        <v>1921</v>
      </c>
    </row>
    <row r="776" spans="2:5">
      <c r="B776" s="65" t="str">
        <f t="shared" si="12"/>
        <v>doc-1233a:7</v>
      </c>
      <c r="C776" t="s">
        <v>9652</v>
      </c>
      <c r="D776">
        <v>7</v>
      </c>
      <c r="E776" t="s">
        <v>2036</v>
      </c>
    </row>
    <row r="777" spans="2:5">
      <c r="B777" s="65" t="str">
        <f t="shared" si="12"/>
        <v>doc-1233a:8</v>
      </c>
      <c r="C777" t="s">
        <v>9652</v>
      </c>
      <c r="D777">
        <v>8</v>
      </c>
      <c r="E777" t="s">
        <v>2003</v>
      </c>
    </row>
    <row r="778" spans="2:5">
      <c r="B778" s="65" t="str">
        <f t="shared" si="12"/>
        <v>doc-1233a:9</v>
      </c>
      <c r="C778" t="s">
        <v>9652</v>
      </c>
      <c r="D778">
        <v>9</v>
      </c>
      <c r="E778" t="s">
        <v>1856</v>
      </c>
    </row>
    <row r="779" spans="2:5">
      <c r="B779" s="65" t="str">
        <f t="shared" si="12"/>
        <v>doc-1233a:10</v>
      </c>
      <c r="C779" t="s">
        <v>9652</v>
      </c>
      <c r="D779">
        <v>10</v>
      </c>
      <c r="E779" t="s">
        <v>2059</v>
      </c>
    </row>
    <row r="780" spans="2:5">
      <c r="B780" s="65" t="str">
        <f t="shared" si="12"/>
        <v>doc-1233a:11</v>
      </c>
      <c r="C780" t="s">
        <v>9652</v>
      </c>
      <c r="D780">
        <v>11</v>
      </c>
      <c r="E780" t="s">
        <v>2092</v>
      </c>
    </row>
    <row r="781" spans="2:5">
      <c r="B781" s="65" t="str">
        <f t="shared" si="12"/>
        <v>doc-1233a:12</v>
      </c>
      <c r="C781" t="s">
        <v>9652</v>
      </c>
      <c r="D781">
        <v>12</v>
      </c>
      <c r="E781" t="s">
        <v>2137</v>
      </c>
    </row>
    <row r="782" spans="2:5">
      <c r="B782" s="65" t="str">
        <f t="shared" si="12"/>
        <v>doc-1235:1</v>
      </c>
      <c r="C782" t="s">
        <v>9653</v>
      </c>
      <c r="D782">
        <v>1</v>
      </c>
      <c r="E782" t="s">
        <v>2501</v>
      </c>
    </row>
    <row r="783" spans="2:5">
      <c r="B783" s="65" t="str">
        <f t="shared" si="12"/>
        <v>doc-1235:2</v>
      </c>
      <c r="C783" t="s">
        <v>9653</v>
      </c>
      <c r="D783">
        <v>2</v>
      </c>
      <c r="E783" t="s">
        <v>2435</v>
      </c>
    </row>
    <row r="784" spans="2:5">
      <c r="B784" s="65" t="str">
        <f t="shared" si="12"/>
        <v>doc-1235:3</v>
      </c>
      <c r="C784" t="s">
        <v>9653</v>
      </c>
      <c r="D784">
        <v>3</v>
      </c>
      <c r="E784" t="s">
        <v>2422</v>
      </c>
    </row>
    <row r="785" spans="2:5">
      <c r="B785" s="65" t="str">
        <f t="shared" si="12"/>
        <v>doc-1237b:1</v>
      </c>
      <c r="C785" t="s">
        <v>9654</v>
      </c>
      <c r="D785">
        <v>1</v>
      </c>
      <c r="E785" t="s">
        <v>2187</v>
      </c>
    </row>
    <row r="786" spans="2:5">
      <c r="B786" s="65" t="str">
        <f t="shared" si="12"/>
        <v>doc-1237b:2</v>
      </c>
      <c r="C786" t="s">
        <v>9654</v>
      </c>
      <c r="D786">
        <v>2</v>
      </c>
      <c r="E786" t="s">
        <v>2137</v>
      </c>
    </row>
    <row r="787" spans="2:5">
      <c r="B787" s="65" t="str">
        <f t="shared" si="12"/>
        <v>doc-1237b:3</v>
      </c>
      <c r="C787" t="s">
        <v>9654</v>
      </c>
      <c r="D787">
        <v>3</v>
      </c>
      <c r="E787" t="s">
        <v>2140</v>
      </c>
    </row>
    <row r="788" spans="2:5">
      <c r="B788" s="65" t="str">
        <f t="shared" si="12"/>
        <v>doc-1238:1</v>
      </c>
      <c r="C788" t="s">
        <v>5617</v>
      </c>
      <c r="D788">
        <v>1</v>
      </c>
      <c r="E788" t="s">
        <v>2799</v>
      </c>
    </row>
    <row r="789" spans="2:5">
      <c r="B789" s="65" t="str">
        <f t="shared" si="12"/>
        <v>doc-1238:2</v>
      </c>
      <c r="C789" t="s">
        <v>5617</v>
      </c>
      <c r="D789">
        <v>2</v>
      </c>
      <c r="E789" t="s">
        <v>1188</v>
      </c>
    </row>
    <row r="790" spans="2:5">
      <c r="B790" s="65" t="str">
        <f t="shared" si="12"/>
        <v>doc-1239:1</v>
      </c>
      <c r="C790" t="s">
        <v>9655</v>
      </c>
      <c r="D790">
        <v>1</v>
      </c>
      <c r="E790" t="s">
        <v>1065</v>
      </c>
    </row>
    <row r="791" spans="2:5">
      <c r="B791" s="65" t="str">
        <f t="shared" si="12"/>
        <v>doc-1239:2</v>
      </c>
      <c r="C791" t="s">
        <v>9655</v>
      </c>
      <c r="D791">
        <v>2</v>
      </c>
      <c r="E791" t="s">
        <v>1059</v>
      </c>
    </row>
    <row r="792" spans="2:5">
      <c r="B792" s="65" t="str">
        <f t="shared" si="12"/>
        <v>doc-1240a:1</v>
      </c>
      <c r="C792" t="s">
        <v>9656</v>
      </c>
      <c r="D792">
        <v>1</v>
      </c>
      <c r="E792" t="s">
        <v>3043</v>
      </c>
    </row>
    <row r="793" spans="2:5">
      <c r="B793" s="65" t="str">
        <f t="shared" si="12"/>
        <v>doc-1240a:2</v>
      </c>
      <c r="C793" t="s">
        <v>9656</v>
      </c>
      <c r="D793">
        <v>2</v>
      </c>
      <c r="E793" t="s">
        <v>3061</v>
      </c>
    </row>
    <row r="794" spans="2:5">
      <c r="B794" s="65" t="str">
        <f t="shared" si="12"/>
        <v>doc-1240a:3</v>
      </c>
      <c r="C794" t="s">
        <v>9656</v>
      </c>
      <c r="D794">
        <v>3</v>
      </c>
      <c r="E794" t="s">
        <v>79</v>
      </c>
    </row>
    <row r="795" spans="2:5">
      <c r="B795" s="65" t="str">
        <f t="shared" si="12"/>
        <v>doc-1240a:4</v>
      </c>
      <c r="C795" t="s">
        <v>9656</v>
      </c>
      <c r="D795">
        <v>4</v>
      </c>
      <c r="E795" t="s">
        <v>3058</v>
      </c>
    </row>
    <row r="796" spans="2:5">
      <c r="B796" s="65" t="str">
        <f t="shared" si="12"/>
        <v>doc-1241b:1</v>
      </c>
      <c r="C796" t="s">
        <v>9657</v>
      </c>
      <c r="D796">
        <v>1</v>
      </c>
      <c r="E796" t="s">
        <v>1059</v>
      </c>
    </row>
    <row r="797" spans="2:5">
      <c r="B797" s="65" t="str">
        <f t="shared" si="12"/>
        <v>doc-1241b:2</v>
      </c>
      <c r="C797" t="s">
        <v>9657</v>
      </c>
      <c r="D797">
        <v>2</v>
      </c>
      <c r="E797" t="s">
        <v>1065</v>
      </c>
    </row>
    <row r="798" spans="2:5">
      <c r="B798" s="65" t="str">
        <f t="shared" si="12"/>
        <v>doc-1241b:3</v>
      </c>
      <c r="C798" t="s">
        <v>9657</v>
      </c>
      <c r="D798">
        <v>3</v>
      </c>
      <c r="E798" t="s">
        <v>3061</v>
      </c>
    </row>
    <row r="799" spans="2:5">
      <c r="B799" s="65" t="str">
        <f t="shared" si="12"/>
        <v>doc-1242:1</v>
      </c>
      <c r="C799" t="s">
        <v>9658</v>
      </c>
      <c r="D799">
        <v>1</v>
      </c>
      <c r="E799" t="s">
        <v>1227</v>
      </c>
    </row>
    <row r="800" spans="2:5">
      <c r="B800" s="65" t="str">
        <f t="shared" si="12"/>
        <v>doc-1242:2</v>
      </c>
      <c r="C800" t="s">
        <v>9658</v>
      </c>
      <c r="D800">
        <v>2</v>
      </c>
      <c r="E800" t="s">
        <v>1221</v>
      </c>
    </row>
    <row r="801" spans="2:5">
      <c r="B801" s="65" t="str">
        <f t="shared" si="12"/>
        <v>doc-1242:3</v>
      </c>
      <c r="C801" t="s">
        <v>9658</v>
      </c>
      <c r="D801">
        <v>3</v>
      </c>
      <c r="E801" t="s">
        <v>1561</v>
      </c>
    </row>
    <row r="802" spans="2:5">
      <c r="B802" s="65" t="str">
        <f t="shared" si="12"/>
        <v>doc-1242:4</v>
      </c>
      <c r="C802" t="s">
        <v>9658</v>
      </c>
      <c r="D802">
        <v>4</v>
      </c>
      <c r="E802" t="s">
        <v>1203</v>
      </c>
    </row>
    <row r="803" spans="2:5">
      <c r="B803" s="65" t="str">
        <f t="shared" si="12"/>
        <v>doc-1242:5</v>
      </c>
      <c r="C803" t="s">
        <v>9658</v>
      </c>
      <c r="D803">
        <v>5</v>
      </c>
      <c r="E803" t="s">
        <v>1078</v>
      </c>
    </row>
    <row r="804" spans="2:5">
      <c r="B804" s="65" t="str">
        <f t="shared" si="12"/>
        <v>doc-1242:6</v>
      </c>
      <c r="C804" t="s">
        <v>9658</v>
      </c>
      <c r="D804">
        <v>6</v>
      </c>
      <c r="E804" t="s">
        <v>2532</v>
      </c>
    </row>
    <row r="805" spans="2:5">
      <c r="B805" s="65" t="str">
        <f t="shared" si="12"/>
        <v>doc-1243a:1</v>
      </c>
      <c r="C805" t="s">
        <v>9659</v>
      </c>
      <c r="D805">
        <v>1</v>
      </c>
      <c r="E805" t="s">
        <v>1409</v>
      </c>
    </row>
    <row r="806" spans="2:5">
      <c r="B806" s="65" t="str">
        <f t="shared" si="12"/>
        <v>doc-1243a:2</v>
      </c>
      <c r="C806" t="s">
        <v>9659</v>
      </c>
      <c r="D806">
        <v>2</v>
      </c>
      <c r="E806" t="s">
        <v>2009</v>
      </c>
    </row>
    <row r="807" spans="2:5">
      <c r="B807" s="65" t="str">
        <f t="shared" si="12"/>
        <v>doc-1243a:3</v>
      </c>
      <c r="C807" t="s">
        <v>9659</v>
      </c>
      <c r="D807">
        <v>3</v>
      </c>
      <c r="E807" t="s">
        <v>1883</v>
      </c>
    </row>
    <row r="808" spans="2:5">
      <c r="B808" s="65" t="str">
        <f t="shared" si="12"/>
        <v>doc-1243a:4</v>
      </c>
      <c r="C808" t="s">
        <v>9659</v>
      </c>
      <c r="D808">
        <v>4</v>
      </c>
      <c r="E808" t="s">
        <v>2017</v>
      </c>
    </row>
    <row r="809" spans="2:5">
      <c r="B809" s="65" t="str">
        <f t="shared" si="12"/>
        <v>doc-1244:1</v>
      </c>
      <c r="C809" t="s">
        <v>9660</v>
      </c>
      <c r="D809">
        <v>1</v>
      </c>
      <c r="E809" t="s">
        <v>1600</v>
      </c>
    </row>
    <row r="810" spans="2:5">
      <c r="B810" s="65" t="str">
        <f t="shared" si="12"/>
        <v>doc-1244:2</v>
      </c>
      <c r="C810" t="s">
        <v>9660</v>
      </c>
      <c r="D810">
        <v>2</v>
      </c>
      <c r="E810" t="s">
        <v>1603</v>
      </c>
    </row>
    <row r="811" spans="2:5">
      <c r="B811" s="65" t="str">
        <f t="shared" si="12"/>
        <v>doc-1244:3</v>
      </c>
      <c r="C811" t="s">
        <v>9660</v>
      </c>
      <c r="D811">
        <v>3</v>
      </c>
      <c r="E811" t="s">
        <v>1318</v>
      </c>
    </row>
    <row r="812" spans="2:5">
      <c r="B812" s="65" t="str">
        <f t="shared" si="12"/>
        <v>doc-1244:4</v>
      </c>
      <c r="C812" t="s">
        <v>9660</v>
      </c>
      <c r="D812">
        <v>4</v>
      </c>
      <c r="E812" t="s">
        <v>1597</v>
      </c>
    </row>
    <row r="813" spans="2:5">
      <c r="B813" s="65" t="str">
        <f t="shared" si="12"/>
        <v>doc-1246a:1</v>
      </c>
      <c r="C813" t="s">
        <v>9661</v>
      </c>
      <c r="D813">
        <v>1</v>
      </c>
      <c r="E813" t="s">
        <v>2952</v>
      </c>
    </row>
    <row r="814" spans="2:5">
      <c r="B814" s="65" t="str">
        <f t="shared" si="12"/>
        <v>doc-1246a:2</v>
      </c>
      <c r="C814" t="s">
        <v>9661</v>
      </c>
      <c r="D814">
        <v>2</v>
      </c>
      <c r="E814" t="s">
        <v>3209</v>
      </c>
    </row>
    <row r="815" spans="2:5">
      <c r="B815" s="65" t="str">
        <f t="shared" si="12"/>
        <v>doc-1246a:3</v>
      </c>
      <c r="C815" t="s">
        <v>9661</v>
      </c>
      <c r="D815">
        <v>3</v>
      </c>
      <c r="E815" t="s">
        <v>2967</v>
      </c>
    </row>
    <row r="816" spans="2:5">
      <c r="B816" s="65" t="str">
        <f t="shared" si="12"/>
        <v>doc-1246a:4</v>
      </c>
      <c r="C816" t="s">
        <v>9661</v>
      </c>
      <c r="D816">
        <v>4</v>
      </c>
      <c r="E816" t="s">
        <v>254</v>
      </c>
    </row>
    <row r="817" spans="2:5">
      <c r="B817" s="65" t="str">
        <f t="shared" si="12"/>
        <v>doc-1247:1</v>
      </c>
      <c r="C817" t="s">
        <v>9662</v>
      </c>
      <c r="D817">
        <v>1</v>
      </c>
      <c r="E817" t="s">
        <v>3145</v>
      </c>
    </row>
    <row r="818" spans="2:5">
      <c r="B818" s="65" t="str">
        <f t="shared" si="12"/>
        <v>doc-1247:2</v>
      </c>
      <c r="C818" t="s">
        <v>9662</v>
      </c>
      <c r="D818">
        <v>2</v>
      </c>
      <c r="E818" t="s">
        <v>254</v>
      </c>
    </row>
    <row r="819" spans="2:5">
      <c r="B819" s="65" t="str">
        <f t="shared" si="12"/>
        <v>doc-1247:3</v>
      </c>
      <c r="C819" t="s">
        <v>9662</v>
      </c>
      <c r="D819">
        <v>3</v>
      </c>
      <c r="E819" t="s">
        <v>1286</v>
      </c>
    </row>
    <row r="820" spans="2:5">
      <c r="B820" s="65" t="str">
        <f t="shared" si="12"/>
        <v>doc-1247:4</v>
      </c>
      <c r="C820" t="s">
        <v>9662</v>
      </c>
      <c r="D820">
        <v>4</v>
      </c>
      <c r="E820" t="s">
        <v>2926</v>
      </c>
    </row>
    <row r="821" spans="2:5">
      <c r="B821" s="65" t="str">
        <f t="shared" si="12"/>
        <v>doc-1249:1</v>
      </c>
      <c r="C821" t="s">
        <v>9663</v>
      </c>
      <c r="D821">
        <v>1</v>
      </c>
      <c r="E821" t="s">
        <v>2106</v>
      </c>
    </row>
    <row r="822" spans="2:5">
      <c r="B822" s="65" t="str">
        <f t="shared" si="12"/>
        <v>doc-1249:2</v>
      </c>
      <c r="C822" t="s">
        <v>9663</v>
      </c>
      <c r="D822">
        <v>2</v>
      </c>
      <c r="E822" t="s">
        <v>1813</v>
      </c>
    </row>
    <row r="823" spans="2:5">
      <c r="B823" s="65" t="str">
        <f t="shared" si="12"/>
        <v>doc-1249:3</v>
      </c>
      <c r="C823" t="s">
        <v>9663</v>
      </c>
      <c r="D823">
        <v>3</v>
      </c>
      <c r="E823" t="s">
        <v>1944</v>
      </c>
    </row>
    <row r="824" spans="2:5">
      <c r="B824" s="65" t="str">
        <f t="shared" si="12"/>
        <v>doc-1249:4</v>
      </c>
      <c r="C824" t="s">
        <v>9663</v>
      </c>
      <c r="D824">
        <v>4</v>
      </c>
      <c r="E824" t="s">
        <v>1833</v>
      </c>
    </row>
    <row r="825" spans="2:5">
      <c r="B825" s="65" t="str">
        <f t="shared" si="12"/>
        <v>doc-1249:5</v>
      </c>
      <c r="C825" t="s">
        <v>9663</v>
      </c>
      <c r="D825">
        <v>5</v>
      </c>
      <c r="E825" t="s">
        <v>2121</v>
      </c>
    </row>
    <row r="826" spans="2:5">
      <c r="B826" s="65" t="str">
        <f t="shared" si="12"/>
        <v>doc-1250:1</v>
      </c>
      <c r="C826" t="s">
        <v>9664</v>
      </c>
      <c r="D826">
        <v>1</v>
      </c>
      <c r="E826" t="s">
        <v>2336</v>
      </c>
    </row>
    <row r="827" spans="2:5">
      <c r="B827" s="65" t="str">
        <f t="shared" si="12"/>
        <v>doc-1250:2</v>
      </c>
      <c r="C827" t="s">
        <v>9664</v>
      </c>
      <c r="D827">
        <v>2</v>
      </c>
      <c r="E827" t="s">
        <v>1804</v>
      </c>
    </row>
    <row r="828" spans="2:5">
      <c r="B828" s="65" t="str">
        <f t="shared" si="12"/>
        <v>doc-1250:3</v>
      </c>
      <c r="C828" t="s">
        <v>9664</v>
      </c>
      <c r="D828">
        <v>3</v>
      </c>
      <c r="E828" t="s">
        <v>281</v>
      </c>
    </row>
    <row r="829" spans="2:5">
      <c r="B829" s="65" t="str">
        <f t="shared" si="12"/>
        <v>doc-1250:4</v>
      </c>
      <c r="C829" t="s">
        <v>9664</v>
      </c>
      <c r="D829">
        <v>4</v>
      </c>
      <c r="E829" t="s">
        <v>2121</v>
      </c>
    </row>
    <row r="830" spans="2:5">
      <c r="B830" s="65" t="str">
        <f t="shared" si="12"/>
        <v>doc-1251a:1</v>
      </c>
      <c r="C830" t="s">
        <v>9665</v>
      </c>
      <c r="D830">
        <v>1</v>
      </c>
      <c r="E830" t="s">
        <v>73</v>
      </c>
    </row>
    <row r="831" spans="2:5">
      <c r="B831" s="65" t="str">
        <f t="shared" si="12"/>
        <v>doc-1251a:2</v>
      </c>
      <c r="C831" t="s">
        <v>9665</v>
      </c>
      <c r="D831">
        <v>2</v>
      </c>
      <c r="E831" t="s">
        <v>2950</v>
      </c>
    </row>
    <row r="832" spans="2:5">
      <c r="B832" s="65" t="str">
        <f t="shared" si="12"/>
        <v>doc-1251a:3</v>
      </c>
      <c r="C832" t="s">
        <v>9665</v>
      </c>
      <c r="D832">
        <v>3</v>
      </c>
      <c r="E832" t="s">
        <v>90</v>
      </c>
    </row>
    <row r="833" spans="2:5">
      <c r="B833" s="65" t="str">
        <f t="shared" si="12"/>
        <v>doc-1251a:4</v>
      </c>
      <c r="C833" t="s">
        <v>9665</v>
      </c>
      <c r="D833">
        <v>4</v>
      </c>
      <c r="E833" t="s">
        <v>2967</v>
      </c>
    </row>
    <row r="834" spans="2:5">
      <c r="B834" s="65" t="str">
        <f t="shared" si="12"/>
        <v>doc-1251a:5</v>
      </c>
      <c r="C834" t="s">
        <v>9665</v>
      </c>
      <c r="D834">
        <v>5</v>
      </c>
      <c r="E834" t="s">
        <v>2936</v>
      </c>
    </row>
    <row r="835" spans="2:5">
      <c r="B835" s="65" t="str">
        <f t="shared" si="12"/>
        <v>doc-1251a:6</v>
      </c>
      <c r="C835" t="s">
        <v>9665</v>
      </c>
      <c r="D835">
        <v>6</v>
      </c>
      <c r="E835" t="s">
        <v>1578</v>
      </c>
    </row>
    <row r="836" spans="2:5">
      <c r="B836" s="65" t="str">
        <f t="shared" ref="B836:B899" si="13">$C836&amp;":"&amp;$D836</f>
        <v>doc-1251a:7</v>
      </c>
      <c r="C836" t="s">
        <v>9665</v>
      </c>
      <c r="D836">
        <v>7</v>
      </c>
      <c r="E836" t="s">
        <v>1550</v>
      </c>
    </row>
    <row r="837" spans="2:5">
      <c r="B837" s="65" t="str">
        <f t="shared" si="13"/>
        <v>doc-1251a:8</v>
      </c>
      <c r="C837" t="s">
        <v>9665</v>
      </c>
      <c r="D837">
        <v>8</v>
      </c>
      <c r="E837" t="s">
        <v>107</v>
      </c>
    </row>
    <row r="838" spans="2:5">
      <c r="B838" s="65" t="str">
        <f t="shared" si="13"/>
        <v>doc-1251a:9</v>
      </c>
      <c r="C838" t="s">
        <v>9665</v>
      </c>
      <c r="D838">
        <v>9</v>
      </c>
      <c r="E838" t="s">
        <v>281</v>
      </c>
    </row>
    <row r="839" spans="2:5">
      <c r="B839" s="65" t="str">
        <f t="shared" si="13"/>
        <v>doc-1252:1</v>
      </c>
      <c r="C839" t="s">
        <v>9666</v>
      </c>
      <c r="D839">
        <v>1</v>
      </c>
      <c r="E839" t="s">
        <v>2027</v>
      </c>
    </row>
    <row r="840" spans="2:5">
      <c r="B840" s="65" t="str">
        <f t="shared" si="13"/>
        <v>doc-1252:2</v>
      </c>
      <c r="C840" t="s">
        <v>9666</v>
      </c>
      <c r="D840">
        <v>2</v>
      </c>
      <c r="E840" t="s">
        <v>1856</v>
      </c>
    </row>
    <row r="841" spans="2:5">
      <c r="B841" s="65" t="str">
        <f t="shared" si="13"/>
        <v>doc-1252:3</v>
      </c>
      <c r="C841" t="s">
        <v>9666</v>
      </c>
      <c r="D841">
        <v>3</v>
      </c>
      <c r="E841" t="s">
        <v>296</v>
      </c>
    </row>
    <row r="842" spans="2:5">
      <c r="B842" s="65" t="str">
        <f t="shared" si="13"/>
        <v>doc-1252:4</v>
      </c>
      <c r="C842" t="s">
        <v>9666</v>
      </c>
      <c r="D842">
        <v>4</v>
      </c>
      <c r="E842" t="s">
        <v>1813</v>
      </c>
    </row>
    <row r="843" spans="2:5">
      <c r="B843" s="65" t="str">
        <f t="shared" si="13"/>
        <v>doc-1253:1</v>
      </c>
      <c r="C843" t="s">
        <v>9667</v>
      </c>
      <c r="D843">
        <v>1</v>
      </c>
      <c r="E843" t="s">
        <v>1792</v>
      </c>
    </row>
    <row r="844" spans="2:5">
      <c r="B844" s="65" t="str">
        <f t="shared" si="13"/>
        <v>doc-1253:2</v>
      </c>
      <c r="C844" t="s">
        <v>9667</v>
      </c>
      <c r="D844">
        <v>2</v>
      </c>
      <c r="E844" t="s">
        <v>2027</v>
      </c>
    </row>
    <row r="845" spans="2:5">
      <c r="B845" s="65" t="str">
        <f t="shared" si="13"/>
        <v>doc-1253:3</v>
      </c>
      <c r="C845" t="s">
        <v>9667</v>
      </c>
      <c r="D845">
        <v>3</v>
      </c>
      <c r="E845" t="s">
        <v>1911</v>
      </c>
    </row>
    <row r="846" spans="2:5">
      <c r="B846" s="65" t="str">
        <f t="shared" si="13"/>
        <v>doc-1253:4</v>
      </c>
      <c r="C846" t="s">
        <v>9667</v>
      </c>
      <c r="D846">
        <v>4</v>
      </c>
      <c r="E846" t="s">
        <v>3007</v>
      </c>
    </row>
    <row r="847" spans="2:5">
      <c r="B847" s="65" t="str">
        <f t="shared" si="13"/>
        <v>doc-1253:5</v>
      </c>
      <c r="C847" t="s">
        <v>9667</v>
      </c>
      <c r="D847">
        <v>5</v>
      </c>
      <c r="E847" t="s">
        <v>1076</v>
      </c>
    </row>
    <row r="848" spans="2:5">
      <c r="B848" s="65" t="str">
        <f t="shared" si="13"/>
        <v>doc-1253:6</v>
      </c>
      <c r="C848" t="s">
        <v>9667</v>
      </c>
      <c r="D848">
        <v>6</v>
      </c>
      <c r="E848" t="s">
        <v>1856</v>
      </c>
    </row>
    <row r="849" spans="2:5">
      <c r="B849" s="65" t="str">
        <f t="shared" si="13"/>
        <v>doc-1255:1</v>
      </c>
      <c r="C849" t="s">
        <v>9668</v>
      </c>
      <c r="D849">
        <v>1</v>
      </c>
      <c r="E849" t="s">
        <v>2087</v>
      </c>
    </row>
    <row r="850" spans="2:5">
      <c r="B850" s="65" t="str">
        <f t="shared" si="13"/>
        <v>doc-1255:2</v>
      </c>
      <c r="C850" t="s">
        <v>9668</v>
      </c>
      <c r="D850">
        <v>2</v>
      </c>
      <c r="E850" t="s">
        <v>1833</v>
      </c>
    </row>
    <row r="851" spans="2:5">
      <c r="B851" s="65" t="str">
        <f t="shared" si="13"/>
        <v>doc-1255:3</v>
      </c>
      <c r="C851" t="s">
        <v>9668</v>
      </c>
      <c r="D851">
        <v>3</v>
      </c>
      <c r="E851" t="s">
        <v>2089</v>
      </c>
    </row>
    <row r="852" spans="2:5">
      <c r="B852" s="65" t="str">
        <f t="shared" si="13"/>
        <v>doc-1256:1</v>
      </c>
      <c r="C852" t="s">
        <v>5624</v>
      </c>
      <c r="D852">
        <v>1</v>
      </c>
      <c r="E852" t="s">
        <v>2798</v>
      </c>
    </row>
    <row r="853" spans="2:5">
      <c r="B853" s="65" t="str">
        <f t="shared" si="13"/>
        <v>doc-1256:2</v>
      </c>
      <c r="C853" t="s">
        <v>5624</v>
      </c>
      <c r="D853">
        <v>2</v>
      </c>
      <c r="E853" t="s">
        <v>1318</v>
      </c>
    </row>
    <row r="854" spans="2:5">
      <c r="B854" s="65" t="str">
        <f t="shared" si="13"/>
        <v>doc-1257:1</v>
      </c>
      <c r="C854" t="s">
        <v>9669</v>
      </c>
      <c r="D854">
        <v>1</v>
      </c>
      <c r="E854" t="s">
        <v>87</v>
      </c>
    </row>
    <row r="855" spans="2:5">
      <c r="B855" s="65" t="str">
        <f t="shared" si="13"/>
        <v>doc-1257:2</v>
      </c>
      <c r="C855" t="s">
        <v>9669</v>
      </c>
      <c r="D855">
        <v>2</v>
      </c>
      <c r="E855" t="s">
        <v>2963</v>
      </c>
    </row>
    <row r="856" spans="2:5">
      <c r="B856" s="65" t="str">
        <f t="shared" si="13"/>
        <v>doc-1257:3</v>
      </c>
      <c r="C856" t="s">
        <v>9669</v>
      </c>
      <c r="D856">
        <v>3</v>
      </c>
      <c r="E856" t="s">
        <v>73</v>
      </c>
    </row>
    <row r="857" spans="2:5">
      <c r="B857" s="65" t="str">
        <f t="shared" si="13"/>
        <v>doc-1259a:1</v>
      </c>
      <c r="C857" t="s">
        <v>9670</v>
      </c>
      <c r="D857">
        <v>1</v>
      </c>
      <c r="E857" t="s">
        <v>2187</v>
      </c>
    </row>
    <row r="858" spans="2:5">
      <c r="B858" s="65" t="str">
        <f t="shared" si="13"/>
        <v>doc-1259a:2</v>
      </c>
      <c r="C858" t="s">
        <v>9670</v>
      </c>
      <c r="D858">
        <v>2</v>
      </c>
      <c r="E858" t="s">
        <v>2137</v>
      </c>
    </row>
    <row r="859" spans="2:5">
      <c r="B859" s="65" t="str">
        <f t="shared" si="13"/>
        <v>doc-1259a:3</v>
      </c>
      <c r="C859" t="s">
        <v>9670</v>
      </c>
      <c r="D859">
        <v>3</v>
      </c>
      <c r="E859" t="s">
        <v>2140</v>
      </c>
    </row>
    <row r="860" spans="2:5">
      <c r="B860" s="65" t="str">
        <f t="shared" si="13"/>
        <v>doc-1260a:1</v>
      </c>
      <c r="C860" t="s">
        <v>9671</v>
      </c>
      <c r="D860">
        <v>1</v>
      </c>
      <c r="E860" t="s">
        <v>2098</v>
      </c>
    </row>
    <row r="861" spans="2:5">
      <c r="B861" s="65" t="str">
        <f t="shared" si="13"/>
        <v>doc-1260a:2</v>
      </c>
      <c r="C861" t="s">
        <v>9671</v>
      </c>
      <c r="D861">
        <v>2</v>
      </c>
      <c r="E861" t="s">
        <v>2140</v>
      </c>
    </row>
    <row r="862" spans="2:5">
      <c r="B862" s="65" t="str">
        <f t="shared" si="13"/>
        <v>doc-1260a:3</v>
      </c>
      <c r="C862" t="s">
        <v>9671</v>
      </c>
      <c r="D862">
        <v>3</v>
      </c>
      <c r="E862" t="s">
        <v>2092</v>
      </c>
    </row>
    <row r="863" spans="2:5">
      <c r="B863" s="65" t="str">
        <f t="shared" si="13"/>
        <v>doc-1260a:4</v>
      </c>
      <c r="C863" t="s">
        <v>9671</v>
      </c>
      <c r="D863">
        <v>4</v>
      </c>
      <c r="E863" t="s">
        <v>2137</v>
      </c>
    </row>
    <row r="864" spans="2:5">
      <c r="B864" s="65" t="str">
        <f t="shared" si="13"/>
        <v>doc-1260a:5</v>
      </c>
      <c r="C864" t="s">
        <v>9671</v>
      </c>
      <c r="D864">
        <v>5</v>
      </c>
      <c r="E864" t="s">
        <v>2003</v>
      </c>
    </row>
    <row r="865" spans="2:5">
      <c r="B865" s="65" t="str">
        <f t="shared" si="13"/>
        <v>doc-1260a:6</v>
      </c>
      <c r="C865" t="s">
        <v>9671</v>
      </c>
      <c r="D865">
        <v>6</v>
      </c>
      <c r="E865" t="s">
        <v>1905</v>
      </c>
    </row>
    <row r="866" spans="2:5">
      <c r="B866" s="65" t="str">
        <f t="shared" si="13"/>
        <v>doc-1262a:1</v>
      </c>
      <c r="C866" t="s">
        <v>9672</v>
      </c>
      <c r="D866">
        <v>1</v>
      </c>
      <c r="E866" t="s">
        <v>1349</v>
      </c>
    </row>
    <row r="867" spans="2:5">
      <c r="B867" s="65" t="str">
        <f t="shared" si="13"/>
        <v>doc-1262a:2</v>
      </c>
      <c r="C867" t="s">
        <v>9672</v>
      </c>
      <c r="D867">
        <v>2</v>
      </c>
      <c r="E867" t="s">
        <v>1425</v>
      </c>
    </row>
    <row r="868" spans="2:5">
      <c r="B868" s="65" t="str">
        <f t="shared" si="13"/>
        <v>doc-1262a:3</v>
      </c>
      <c r="C868" t="s">
        <v>9672</v>
      </c>
      <c r="D868">
        <v>3</v>
      </c>
      <c r="E868" t="s">
        <v>1395</v>
      </c>
    </row>
    <row r="869" spans="2:5">
      <c r="B869" s="65" t="str">
        <f t="shared" si="13"/>
        <v>doc-1262a:4</v>
      </c>
      <c r="C869" t="s">
        <v>9672</v>
      </c>
      <c r="D869">
        <v>4</v>
      </c>
      <c r="E869" t="s">
        <v>1404</v>
      </c>
    </row>
    <row r="870" spans="2:5">
      <c r="B870" s="65" t="str">
        <f t="shared" si="13"/>
        <v>doc-1263:1</v>
      </c>
      <c r="C870" t="s">
        <v>9673</v>
      </c>
      <c r="D870">
        <v>1</v>
      </c>
      <c r="E870" t="s">
        <v>2698</v>
      </c>
    </row>
    <row r="871" spans="2:5">
      <c r="B871" s="65" t="str">
        <f t="shared" si="13"/>
        <v>doc-1263:2</v>
      </c>
      <c r="C871" t="s">
        <v>9673</v>
      </c>
      <c r="D871">
        <v>2</v>
      </c>
      <c r="E871" t="s">
        <v>1833</v>
      </c>
    </row>
    <row r="872" spans="2:5">
      <c r="B872" s="65" t="str">
        <f t="shared" si="13"/>
        <v>doc-1264b:1</v>
      </c>
      <c r="C872" t="s">
        <v>9674</v>
      </c>
      <c r="D872">
        <v>1</v>
      </c>
      <c r="E872" t="s">
        <v>3126</v>
      </c>
    </row>
    <row r="873" spans="2:5">
      <c r="B873" s="65" t="str">
        <f t="shared" si="13"/>
        <v>doc-1264b:2</v>
      </c>
      <c r="C873" t="s">
        <v>9674</v>
      </c>
      <c r="D873">
        <v>2</v>
      </c>
      <c r="E873" t="s">
        <v>2849</v>
      </c>
    </row>
    <row r="874" spans="2:5">
      <c r="B874" s="65" t="str">
        <f t="shared" si="13"/>
        <v>doc-1264b:3</v>
      </c>
      <c r="C874" t="s">
        <v>9674</v>
      </c>
      <c r="D874">
        <v>3</v>
      </c>
      <c r="E874" t="s">
        <v>2860</v>
      </c>
    </row>
    <row r="875" spans="2:5">
      <c r="B875" s="65" t="str">
        <f t="shared" si="13"/>
        <v>doc-1265:1</v>
      </c>
      <c r="C875" t="s">
        <v>9675</v>
      </c>
      <c r="D875">
        <v>1</v>
      </c>
      <c r="E875" t="s">
        <v>2121</v>
      </c>
    </row>
    <row r="876" spans="2:5">
      <c r="B876" s="65" t="str">
        <f t="shared" si="13"/>
        <v>doc-1266a:1</v>
      </c>
      <c r="C876" t="s">
        <v>9676</v>
      </c>
      <c r="D876">
        <v>1</v>
      </c>
      <c r="E876" t="s">
        <v>2717</v>
      </c>
    </row>
    <row r="877" spans="2:5">
      <c r="B877" s="65" t="str">
        <f t="shared" si="13"/>
        <v>doc-1266a:2</v>
      </c>
      <c r="C877" t="s">
        <v>9676</v>
      </c>
      <c r="D877">
        <v>2</v>
      </c>
      <c r="E877" t="s">
        <v>2667</v>
      </c>
    </row>
    <row r="878" spans="2:5">
      <c r="B878" s="65" t="str">
        <f t="shared" si="13"/>
        <v>doc-1266a:3</v>
      </c>
      <c r="C878" t="s">
        <v>9676</v>
      </c>
      <c r="D878">
        <v>3</v>
      </c>
      <c r="E878" t="s">
        <v>1699</v>
      </c>
    </row>
    <row r="879" spans="2:5">
      <c r="B879" s="65" t="str">
        <f t="shared" si="13"/>
        <v>doc-1269a:1</v>
      </c>
      <c r="C879" t="s">
        <v>9677</v>
      </c>
      <c r="D879">
        <v>1</v>
      </c>
      <c r="E879" t="s">
        <v>3145</v>
      </c>
    </row>
    <row r="880" spans="2:5">
      <c r="B880" s="65" t="str">
        <f t="shared" si="13"/>
        <v>doc-1269a:2</v>
      </c>
      <c r="C880" t="s">
        <v>9677</v>
      </c>
      <c r="D880">
        <v>2</v>
      </c>
      <c r="E880" t="s">
        <v>254</v>
      </c>
    </row>
    <row r="881" spans="2:5">
      <c r="B881" s="65" t="str">
        <f t="shared" si="13"/>
        <v>doc-1271a:1</v>
      </c>
      <c r="C881" t="s">
        <v>9678</v>
      </c>
      <c r="D881">
        <v>1</v>
      </c>
      <c r="E881" t="s">
        <v>2407</v>
      </c>
    </row>
    <row r="882" spans="2:5">
      <c r="B882" s="65" t="str">
        <f t="shared" si="13"/>
        <v>doc-1271a:2</v>
      </c>
      <c r="C882" t="s">
        <v>9678</v>
      </c>
      <c r="D882">
        <v>2</v>
      </c>
      <c r="E882" t="s">
        <v>1388</v>
      </c>
    </row>
    <row r="883" spans="2:5">
      <c r="B883" s="65" t="str">
        <f t="shared" si="13"/>
        <v>doc-1271a:3</v>
      </c>
      <c r="C883" t="s">
        <v>9678</v>
      </c>
      <c r="D883">
        <v>3</v>
      </c>
      <c r="E883" t="s">
        <v>1440</v>
      </c>
    </row>
    <row r="884" spans="2:5">
      <c r="B884" s="65" t="str">
        <f t="shared" si="13"/>
        <v>doc-1271a:4</v>
      </c>
      <c r="C884" t="s">
        <v>9678</v>
      </c>
      <c r="D884">
        <v>4</v>
      </c>
      <c r="E884" t="s">
        <v>2394</v>
      </c>
    </row>
    <row r="885" spans="2:5">
      <c r="B885" s="65" t="str">
        <f t="shared" si="13"/>
        <v>doc-1273a:1</v>
      </c>
      <c r="C885" t="s">
        <v>9679</v>
      </c>
      <c r="D885">
        <v>1</v>
      </c>
      <c r="E885" t="s">
        <v>2411</v>
      </c>
    </row>
    <row r="886" spans="2:5">
      <c r="B886" s="65" t="str">
        <f t="shared" si="13"/>
        <v>doc-1273a:2</v>
      </c>
      <c r="C886" t="s">
        <v>9679</v>
      </c>
      <c r="D886">
        <v>2</v>
      </c>
      <c r="E886" t="s">
        <v>2414</v>
      </c>
    </row>
    <row r="887" spans="2:5">
      <c r="B887" s="65" t="str">
        <f t="shared" si="13"/>
        <v>doc-1274a:1</v>
      </c>
      <c r="C887" t="s">
        <v>9680</v>
      </c>
      <c r="D887">
        <v>1</v>
      </c>
      <c r="E887" t="s">
        <v>2952</v>
      </c>
    </row>
    <row r="888" spans="2:5">
      <c r="B888" s="65" t="str">
        <f t="shared" si="13"/>
        <v>doc-1274a:2</v>
      </c>
      <c r="C888" t="s">
        <v>9680</v>
      </c>
      <c r="D888">
        <v>2</v>
      </c>
      <c r="E888" t="s">
        <v>2967</v>
      </c>
    </row>
    <row r="889" spans="2:5">
      <c r="B889" s="65" t="str">
        <f t="shared" si="13"/>
        <v>doc-1274a:3</v>
      </c>
      <c r="C889" t="s">
        <v>9680</v>
      </c>
      <c r="D889">
        <v>3</v>
      </c>
      <c r="E889" t="s">
        <v>2045</v>
      </c>
    </row>
    <row r="890" spans="2:5">
      <c r="B890" s="65" t="str">
        <f t="shared" si="13"/>
        <v>doc-1274a:4</v>
      </c>
      <c r="C890" t="s">
        <v>9680</v>
      </c>
      <c r="D890">
        <v>4</v>
      </c>
      <c r="E890" t="s">
        <v>299</v>
      </c>
    </row>
    <row r="891" spans="2:5">
      <c r="B891" s="65" t="str">
        <f t="shared" si="13"/>
        <v>doc-1275b:1</v>
      </c>
      <c r="C891" t="s">
        <v>9681</v>
      </c>
      <c r="D891">
        <v>1</v>
      </c>
      <c r="E891" t="s">
        <v>2187</v>
      </c>
    </row>
    <row r="892" spans="2:5">
      <c r="B892" s="65" t="str">
        <f t="shared" si="13"/>
        <v>doc-1275b:2</v>
      </c>
      <c r="C892" t="s">
        <v>9681</v>
      </c>
      <c r="D892">
        <v>2</v>
      </c>
      <c r="E892" t="s">
        <v>2137</v>
      </c>
    </row>
    <row r="893" spans="2:5">
      <c r="B893" s="65" t="str">
        <f t="shared" si="13"/>
        <v>doc-1275b:3</v>
      </c>
      <c r="C893" t="s">
        <v>9681</v>
      </c>
      <c r="D893">
        <v>3</v>
      </c>
      <c r="E893" t="s">
        <v>2140</v>
      </c>
    </row>
    <row r="894" spans="2:5">
      <c r="B894" s="65" t="str">
        <f t="shared" si="13"/>
        <v>doc-1276:1</v>
      </c>
      <c r="C894" t="s">
        <v>9682</v>
      </c>
      <c r="D894">
        <v>1</v>
      </c>
      <c r="E894" t="s">
        <v>2059</v>
      </c>
    </row>
    <row r="895" spans="2:5">
      <c r="B895" s="65" t="str">
        <f t="shared" si="13"/>
        <v>doc-1276:2</v>
      </c>
      <c r="C895" t="s">
        <v>9682</v>
      </c>
      <c r="D895">
        <v>2</v>
      </c>
      <c r="E895" t="s">
        <v>2092</v>
      </c>
    </row>
    <row r="896" spans="2:5">
      <c r="B896" s="65" t="str">
        <f t="shared" si="13"/>
        <v>doc-1276:3</v>
      </c>
      <c r="C896" t="s">
        <v>9682</v>
      </c>
      <c r="D896">
        <v>3</v>
      </c>
      <c r="E896" t="s">
        <v>2140</v>
      </c>
    </row>
    <row r="897" spans="2:5">
      <c r="B897" s="65" t="str">
        <f t="shared" si="13"/>
        <v>doc-1276:4</v>
      </c>
      <c r="C897" t="s">
        <v>9682</v>
      </c>
      <c r="D897">
        <v>4</v>
      </c>
      <c r="E897" t="s">
        <v>2167</v>
      </c>
    </row>
    <row r="898" spans="2:5">
      <c r="B898" s="65" t="str">
        <f t="shared" si="13"/>
        <v>doc-1276:5</v>
      </c>
      <c r="C898" t="s">
        <v>9682</v>
      </c>
      <c r="D898">
        <v>5</v>
      </c>
      <c r="E898" t="s">
        <v>2119</v>
      </c>
    </row>
    <row r="899" spans="2:5">
      <c r="B899" s="65" t="str">
        <f t="shared" si="13"/>
        <v>doc-1276:6</v>
      </c>
      <c r="C899" t="s">
        <v>9682</v>
      </c>
      <c r="D899">
        <v>6</v>
      </c>
      <c r="E899" t="s">
        <v>2137</v>
      </c>
    </row>
    <row r="900" spans="2:5">
      <c r="B900" s="65" t="str">
        <f t="shared" ref="B900:B963" si="14">$C900&amp;":"&amp;$D900</f>
        <v>doc-1276:7</v>
      </c>
      <c r="C900" t="s">
        <v>9682</v>
      </c>
      <c r="D900">
        <v>7</v>
      </c>
      <c r="E900" t="s">
        <v>3028</v>
      </c>
    </row>
    <row r="901" spans="2:5">
      <c r="B901" s="65" t="str">
        <f t="shared" si="14"/>
        <v>doc-1276:8</v>
      </c>
      <c r="C901" t="s">
        <v>9682</v>
      </c>
      <c r="D901">
        <v>8</v>
      </c>
      <c r="E901" t="s">
        <v>3030</v>
      </c>
    </row>
    <row r="902" spans="2:5">
      <c r="B902" s="65" t="str">
        <f t="shared" si="14"/>
        <v>doc-1276:9</v>
      </c>
      <c r="C902" t="s">
        <v>9682</v>
      </c>
      <c r="D902">
        <v>9</v>
      </c>
      <c r="E902" t="s">
        <v>3025</v>
      </c>
    </row>
    <row r="903" spans="2:5">
      <c r="B903" s="65" t="str">
        <f t="shared" si="14"/>
        <v>doc-1277a:1</v>
      </c>
      <c r="C903" t="s">
        <v>9683</v>
      </c>
      <c r="D903">
        <v>1</v>
      </c>
      <c r="E903" t="s">
        <v>1197</v>
      </c>
    </row>
    <row r="904" spans="2:5">
      <c r="B904" s="65" t="str">
        <f t="shared" si="14"/>
        <v>doc-1277a:2</v>
      </c>
      <c r="C904" t="s">
        <v>9683</v>
      </c>
      <c r="D904">
        <v>2</v>
      </c>
      <c r="E904" t="s">
        <v>1213</v>
      </c>
    </row>
    <row r="905" spans="2:5">
      <c r="B905" s="65" t="str">
        <f t="shared" si="14"/>
        <v>doc-1277a:3</v>
      </c>
      <c r="C905" t="s">
        <v>9683</v>
      </c>
      <c r="D905">
        <v>3</v>
      </c>
      <c r="E905" t="s">
        <v>3061</v>
      </c>
    </row>
    <row r="906" spans="2:5">
      <c r="B906" s="65" t="str">
        <f t="shared" si="14"/>
        <v>doc-1277a:4</v>
      </c>
      <c r="C906" t="s">
        <v>9683</v>
      </c>
      <c r="D906">
        <v>4</v>
      </c>
      <c r="E906" t="s">
        <v>3058</v>
      </c>
    </row>
    <row r="907" spans="2:5">
      <c r="B907" s="65" t="str">
        <f t="shared" si="14"/>
        <v>doc-1278a:1</v>
      </c>
      <c r="C907" t="s">
        <v>9684</v>
      </c>
      <c r="D907">
        <v>1</v>
      </c>
      <c r="E907" t="s">
        <v>2717</v>
      </c>
    </row>
    <row r="908" spans="2:5">
      <c r="B908" s="65" t="str">
        <f t="shared" si="14"/>
        <v>doc-1278a:2</v>
      </c>
      <c r="C908" t="s">
        <v>9684</v>
      </c>
      <c r="D908">
        <v>2</v>
      </c>
      <c r="E908" t="s">
        <v>2667</v>
      </c>
    </row>
    <row r="909" spans="2:5">
      <c r="B909" s="65" t="str">
        <f t="shared" si="14"/>
        <v>doc-1278a:3</v>
      </c>
      <c r="C909" t="s">
        <v>9684</v>
      </c>
      <c r="D909">
        <v>3</v>
      </c>
      <c r="E909" t="s">
        <v>2689</v>
      </c>
    </row>
    <row r="910" spans="2:5">
      <c r="B910" s="65" t="str">
        <f t="shared" si="14"/>
        <v>doc-1278a:4</v>
      </c>
      <c r="C910" t="s">
        <v>9684</v>
      </c>
      <c r="D910">
        <v>4</v>
      </c>
      <c r="E910" t="s">
        <v>2594</v>
      </c>
    </row>
    <row r="911" spans="2:5">
      <c r="B911" s="65" t="str">
        <f t="shared" si="14"/>
        <v>doc-1278a:5</v>
      </c>
      <c r="C911" t="s">
        <v>9684</v>
      </c>
      <c r="D911">
        <v>5</v>
      </c>
      <c r="E911" t="s">
        <v>1207</v>
      </c>
    </row>
    <row r="912" spans="2:5">
      <c r="B912" s="65" t="str">
        <f t="shared" si="14"/>
        <v>doc-1278a:6</v>
      </c>
      <c r="C912" t="s">
        <v>9684</v>
      </c>
      <c r="D912">
        <v>6</v>
      </c>
      <c r="E912" t="s">
        <v>1210</v>
      </c>
    </row>
    <row r="913" spans="2:5">
      <c r="B913" s="65" t="str">
        <f t="shared" si="14"/>
        <v>doc-1279a:1</v>
      </c>
      <c r="C913" t="s">
        <v>9685</v>
      </c>
      <c r="D913">
        <v>1</v>
      </c>
      <c r="E913" t="s">
        <v>2831</v>
      </c>
    </row>
    <row r="914" spans="2:5">
      <c r="B914" s="65" t="str">
        <f t="shared" si="14"/>
        <v>doc-1279a:2</v>
      </c>
      <c r="C914" t="s">
        <v>9685</v>
      </c>
      <c r="D914">
        <v>2</v>
      </c>
      <c r="E914" t="s">
        <v>1606</v>
      </c>
    </row>
    <row r="915" spans="2:5">
      <c r="B915" s="65" t="str">
        <f t="shared" si="14"/>
        <v>doc-1279a:3</v>
      </c>
      <c r="C915" t="s">
        <v>9685</v>
      </c>
      <c r="D915">
        <v>3</v>
      </c>
      <c r="E915" t="s">
        <v>2849</v>
      </c>
    </row>
    <row r="916" spans="2:5">
      <c r="B916" s="65" t="str">
        <f t="shared" si="14"/>
        <v>doc-1279c:1</v>
      </c>
      <c r="C916" t="s">
        <v>9686</v>
      </c>
      <c r="D916">
        <v>1</v>
      </c>
      <c r="E916" t="s">
        <v>2831</v>
      </c>
    </row>
    <row r="917" spans="2:5">
      <c r="B917" s="65" t="str">
        <f t="shared" si="14"/>
        <v>doc-1279c:2</v>
      </c>
      <c r="C917" t="s">
        <v>9686</v>
      </c>
      <c r="D917">
        <v>2</v>
      </c>
      <c r="E917" t="s">
        <v>1606</v>
      </c>
    </row>
    <row r="918" spans="2:5">
      <c r="B918" s="65" t="str">
        <f t="shared" si="14"/>
        <v>doc-1279c:3</v>
      </c>
      <c r="C918" t="s">
        <v>9686</v>
      </c>
      <c r="D918">
        <v>3</v>
      </c>
      <c r="E918" t="s">
        <v>2849</v>
      </c>
    </row>
    <row r="919" spans="2:5">
      <c r="B919" s="65" t="str">
        <f t="shared" si="14"/>
        <v>doc-1280:1</v>
      </c>
      <c r="C919" t="s">
        <v>9687</v>
      </c>
      <c r="D919">
        <v>1</v>
      </c>
      <c r="E919" t="s">
        <v>2996</v>
      </c>
    </row>
    <row r="920" spans="2:5">
      <c r="B920" s="65" t="str">
        <f t="shared" si="14"/>
        <v>doc-1282:1</v>
      </c>
      <c r="C920" t="s">
        <v>5631</v>
      </c>
      <c r="D920">
        <v>1</v>
      </c>
      <c r="E920" t="s">
        <v>3046</v>
      </c>
    </row>
    <row r="921" spans="2:5">
      <c r="B921" s="65" t="str">
        <f t="shared" si="14"/>
        <v>doc-1282:2</v>
      </c>
      <c r="C921" t="s">
        <v>5631</v>
      </c>
      <c r="D921">
        <v>2</v>
      </c>
      <c r="E921" t="s">
        <v>3056</v>
      </c>
    </row>
    <row r="922" spans="2:5">
      <c r="B922" s="65" t="str">
        <f t="shared" si="14"/>
        <v>doc-1283a:1</v>
      </c>
      <c r="C922" t="s">
        <v>9688</v>
      </c>
      <c r="D922">
        <v>1</v>
      </c>
      <c r="E922" t="s">
        <v>2901</v>
      </c>
    </row>
    <row r="923" spans="2:5">
      <c r="B923" s="65" t="str">
        <f t="shared" si="14"/>
        <v>doc-1283a:2</v>
      </c>
      <c r="C923" t="s">
        <v>9688</v>
      </c>
      <c r="D923">
        <v>2</v>
      </c>
      <c r="E923" t="s">
        <v>2860</v>
      </c>
    </row>
    <row r="924" spans="2:5">
      <c r="B924" s="65" t="str">
        <f t="shared" si="14"/>
        <v>doc-1283a:3</v>
      </c>
      <c r="C924" t="s">
        <v>9688</v>
      </c>
      <c r="D924">
        <v>3</v>
      </c>
      <c r="E924" t="s">
        <v>2839</v>
      </c>
    </row>
    <row r="925" spans="2:5">
      <c r="B925" s="65" t="str">
        <f t="shared" si="14"/>
        <v>doc-1283a:4</v>
      </c>
      <c r="C925" t="s">
        <v>9688</v>
      </c>
      <c r="D925">
        <v>4</v>
      </c>
      <c r="E925" t="s">
        <v>2849</v>
      </c>
    </row>
    <row r="926" spans="2:5">
      <c r="B926" s="65" t="str">
        <f t="shared" si="14"/>
        <v>doc-1283a:5</v>
      </c>
      <c r="C926" t="s">
        <v>9688</v>
      </c>
      <c r="D926">
        <v>5</v>
      </c>
      <c r="E926" t="s">
        <v>2563</v>
      </c>
    </row>
    <row r="927" spans="2:5">
      <c r="B927" s="65" t="str">
        <f t="shared" si="14"/>
        <v>doc-1286:1</v>
      </c>
      <c r="C927" t="s">
        <v>9689</v>
      </c>
      <c r="D927">
        <v>1</v>
      </c>
      <c r="E927" t="s">
        <v>2527</v>
      </c>
    </row>
    <row r="928" spans="2:5">
      <c r="B928" s="65" t="str">
        <f t="shared" si="14"/>
        <v>doc-1288:1</v>
      </c>
      <c r="C928" t="s">
        <v>9690</v>
      </c>
      <c r="D928">
        <v>1</v>
      </c>
      <c r="E928" t="s">
        <v>1902</v>
      </c>
    </row>
    <row r="929" spans="2:5">
      <c r="B929" s="65" t="str">
        <f t="shared" si="14"/>
        <v>doc-1288:2</v>
      </c>
      <c r="C929" t="s">
        <v>9690</v>
      </c>
      <c r="D929">
        <v>2</v>
      </c>
      <c r="E929" t="s">
        <v>2475</v>
      </c>
    </row>
    <row r="930" spans="2:5">
      <c r="B930" s="65" t="str">
        <f t="shared" si="14"/>
        <v>doc-1288:3</v>
      </c>
      <c r="C930" t="s">
        <v>9690</v>
      </c>
      <c r="D930">
        <v>3</v>
      </c>
      <c r="E930" t="s">
        <v>2422</v>
      </c>
    </row>
    <row r="931" spans="2:5">
      <c r="B931" s="65" t="str">
        <f t="shared" si="14"/>
        <v>doc-1289:1</v>
      </c>
      <c r="C931" t="s">
        <v>9691</v>
      </c>
      <c r="D931">
        <v>1</v>
      </c>
      <c r="E931" t="s">
        <v>3023</v>
      </c>
    </row>
    <row r="932" spans="2:5">
      <c r="B932" s="65" t="str">
        <f t="shared" si="14"/>
        <v>doc-1289:2</v>
      </c>
      <c r="C932" t="s">
        <v>9691</v>
      </c>
      <c r="D932">
        <v>2</v>
      </c>
      <c r="E932" t="s">
        <v>3007</v>
      </c>
    </row>
    <row r="933" spans="2:5">
      <c r="B933" s="65" t="str">
        <f t="shared" si="14"/>
        <v>doc-1289:3</v>
      </c>
      <c r="C933" t="s">
        <v>9691</v>
      </c>
      <c r="D933">
        <v>3</v>
      </c>
      <c r="E933" t="s">
        <v>3017</v>
      </c>
    </row>
    <row r="934" spans="2:5">
      <c r="B934" s="65" t="str">
        <f t="shared" si="14"/>
        <v>doc-1290:1</v>
      </c>
      <c r="C934" t="s">
        <v>9692</v>
      </c>
      <c r="D934">
        <v>1</v>
      </c>
      <c r="E934" t="s">
        <v>3007</v>
      </c>
    </row>
    <row r="935" spans="2:5">
      <c r="B935" s="65" t="str">
        <f t="shared" si="14"/>
        <v>doc-1290:2</v>
      </c>
      <c r="C935" t="s">
        <v>9692</v>
      </c>
      <c r="D935">
        <v>2</v>
      </c>
      <c r="E935" t="s">
        <v>3160</v>
      </c>
    </row>
    <row r="936" spans="2:5">
      <c r="B936" s="65" t="str">
        <f t="shared" si="14"/>
        <v>doc-1290:3</v>
      </c>
      <c r="C936" t="s">
        <v>9692</v>
      </c>
      <c r="D936">
        <v>3</v>
      </c>
      <c r="E936" t="s">
        <v>3165</v>
      </c>
    </row>
    <row r="937" spans="2:5">
      <c r="B937" s="65" t="str">
        <f t="shared" si="14"/>
        <v>doc-1290:4</v>
      </c>
      <c r="C937" t="s">
        <v>9692</v>
      </c>
      <c r="D937">
        <v>4</v>
      </c>
      <c r="E937" t="s">
        <v>3163</v>
      </c>
    </row>
    <row r="938" spans="2:5">
      <c r="B938" s="65" t="str">
        <f t="shared" si="14"/>
        <v>doc-1292:1</v>
      </c>
      <c r="C938" t="s">
        <v>9693</v>
      </c>
      <c r="D938">
        <v>1</v>
      </c>
      <c r="E938" t="s">
        <v>2633</v>
      </c>
    </row>
    <row r="939" spans="2:5">
      <c r="B939" s="65" t="str">
        <f t="shared" si="14"/>
        <v>doc-1292:2</v>
      </c>
      <c r="C939" t="s">
        <v>9693</v>
      </c>
      <c r="D939">
        <v>2</v>
      </c>
      <c r="E939" t="s">
        <v>2322</v>
      </c>
    </row>
    <row r="940" spans="2:5">
      <c r="B940" s="65" t="str">
        <f t="shared" si="14"/>
        <v>doc-1292:3</v>
      </c>
      <c r="C940" t="s">
        <v>9693</v>
      </c>
      <c r="D940">
        <v>3</v>
      </c>
      <c r="E940" t="s">
        <v>281</v>
      </c>
    </row>
    <row r="941" spans="2:5">
      <c r="B941" s="65" t="str">
        <f t="shared" si="14"/>
        <v>doc-1295a:1</v>
      </c>
      <c r="C941" t="s">
        <v>9694</v>
      </c>
      <c r="D941">
        <v>1</v>
      </c>
      <c r="E941" t="s">
        <v>2654</v>
      </c>
    </row>
    <row r="942" spans="2:5">
      <c r="B942" s="65" t="str">
        <f t="shared" si="14"/>
        <v>doc-1295a:2</v>
      </c>
      <c r="C942" t="s">
        <v>9694</v>
      </c>
      <c r="D942">
        <v>2</v>
      </c>
      <c r="E942" t="s">
        <v>2012</v>
      </c>
    </row>
    <row r="943" spans="2:5">
      <c r="B943" s="65" t="str">
        <f t="shared" si="14"/>
        <v>doc-1295a:3</v>
      </c>
      <c r="C943" t="s">
        <v>9694</v>
      </c>
      <c r="D943">
        <v>3</v>
      </c>
      <c r="E943" t="s">
        <v>2696</v>
      </c>
    </row>
    <row r="944" spans="2:5">
      <c r="B944" s="65" t="str">
        <f t="shared" si="14"/>
        <v>doc-1295a:4</v>
      </c>
      <c r="C944" t="s">
        <v>9694</v>
      </c>
      <c r="D944">
        <v>4</v>
      </c>
      <c r="E944" t="s">
        <v>2729</v>
      </c>
    </row>
    <row r="945" spans="2:5">
      <c r="B945" s="65" t="str">
        <f t="shared" si="14"/>
        <v>doc-1295a:5</v>
      </c>
      <c r="C945" t="s">
        <v>9694</v>
      </c>
      <c r="D945">
        <v>5</v>
      </c>
      <c r="E945" t="s">
        <v>2667</v>
      </c>
    </row>
    <row r="946" spans="2:5">
      <c r="B946" s="65" t="str">
        <f t="shared" si="14"/>
        <v>doc-1296a:1</v>
      </c>
      <c r="C946" t="s">
        <v>9695</v>
      </c>
      <c r="D946">
        <v>1</v>
      </c>
      <c r="E946" t="s">
        <v>2630</v>
      </c>
    </row>
    <row r="947" spans="2:5">
      <c r="B947" s="65" t="str">
        <f t="shared" si="14"/>
        <v>doc-1296a:2</v>
      </c>
      <c r="C947" t="s">
        <v>9695</v>
      </c>
      <c r="D947">
        <v>2</v>
      </c>
      <c r="E947" t="s">
        <v>2622</v>
      </c>
    </row>
    <row r="948" spans="2:5">
      <c r="B948" s="65" t="str">
        <f t="shared" si="14"/>
        <v>doc-1296a:3</v>
      </c>
      <c r="C948" t="s">
        <v>9695</v>
      </c>
      <c r="D948">
        <v>3</v>
      </c>
      <c r="E948" t="s">
        <v>3095</v>
      </c>
    </row>
    <row r="949" spans="2:5">
      <c r="B949" s="65" t="str">
        <f t="shared" si="14"/>
        <v>doc-1296a:4</v>
      </c>
      <c r="C949" t="s">
        <v>9695</v>
      </c>
      <c r="D949">
        <v>4</v>
      </c>
      <c r="E949" t="s">
        <v>3118</v>
      </c>
    </row>
    <row r="950" spans="2:5">
      <c r="B950" s="65" t="str">
        <f t="shared" si="14"/>
        <v>doc-1296a:5</v>
      </c>
      <c r="C950" t="s">
        <v>9695</v>
      </c>
      <c r="D950">
        <v>5</v>
      </c>
      <c r="E950" t="s">
        <v>2667</v>
      </c>
    </row>
    <row r="951" spans="2:5">
      <c r="B951" s="65" t="str">
        <f t="shared" si="14"/>
        <v>doc-1298a:1</v>
      </c>
      <c r="C951" t="s">
        <v>9696</v>
      </c>
      <c r="D951">
        <v>1</v>
      </c>
      <c r="E951" t="s">
        <v>2411</v>
      </c>
    </row>
    <row r="952" spans="2:5">
      <c r="B952" s="65" t="str">
        <f t="shared" si="14"/>
        <v>doc-1298a:2</v>
      </c>
      <c r="C952" t="s">
        <v>9696</v>
      </c>
      <c r="D952">
        <v>2</v>
      </c>
      <c r="E952" t="s">
        <v>2414</v>
      </c>
    </row>
    <row r="953" spans="2:5">
      <c r="B953" s="65" t="str">
        <f t="shared" si="14"/>
        <v>doc-1299:1</v>
      </c>
      <c r="C953" t="s">
        <v>9697</v>
      </c>
      <c r="D953">
        <v>1</v>
      </c>
      <c r="E953" t="s">
        <v>2960</v>
      </c>
    </row>
    <row r="954" spans="2:5">
      <c r="B954" s="65" t="str">
        <f t="shared" si="14"/>
        <v>doc-1299:2</v>
      </c>
      <c r="C954" t="s">
        <v>9697</v>
      </c>
      <c r="D954">
        <v>2</v>
      </c>
      <c r="E954" t="s">
        <v>299</v>
      </c>
    </row>
    <row r="955" spans="2:5">
      <c r="B955" s="65" t="str">
        <f t="shared" si="14"/>
        <v>doc-1299:3</v>
      </c>
      <c r="C955" t="s">
        <v>9697</v>
      </c>
      <c r="D955">
        <v>3</v>
      </c>
      <c r="E955" t="s">
        <v>73</v>
      </c>
    </row>
    <row r="956" spans="2:5">
      <c r="B956" s="65" t="str">
        <f t="shared" si="14"/>
        <v>doc-1300:1</v>
      </c>
      <c r="C956" t="s">
        <v>9698</v>
      </c>
      <c r="D956">
        <v>1</v>
      </c>
      <c r="E956" t="s">
        <v>3061</v>
      </c>
    </row>
    <row r="957" spans="2:5">
      <c r="B957" s="65" t="str">
        <f t="shared" si="14"/>
        <v>doc-1300:2</v>
      </c>
      <c r="C957" t="s">
        <v>9698</v>
      </c>
      <c r="D957">
        <v>2</v>
      </c>
      <c r="E957" t="s">
        <v>3058</v>
      </c>
    </row>
    <row r="958" spans="2:5">
      <c r="B958" s="65" t="str">
        <f t="shared" si="14"/>
        <v>doc-1302:1</v>
      </c>
      <c r="C958" t="s">
        <v>9699</v>
      </c>
      <c r="D958">
        <v>1</v>
      </c>
      <c r="E958" t="s">
        <v>1224</v>
      </c>
    </row>
    <row r="959" spans="2:5">
      <c r="B959" s="65" t="str">
        <f t="shared" si="14"/>
        <v>doc-1302:2</v>
      </c>
      <c r="C959" t="s">
        <v>9699</v>
      </c>
      <c r="D959">
        <v>2</v>
      </c>
      <c r="E959" t="s">
        <v>1216</v>
      </c>
    </row>
    <row r="960" spans="2:5">
      <c r="B960" s="65" t="str">
        <f t="shared" si="14"/>
        <v>doc-1302:3</v>
      </c>
      <c r="C960" t="s">
        <v>9699</v>
      </c>
      <c r="D960">
        <v>3</v>
      </c>
      <c r="E960" t="s">
        <v>2230</v>
      </c>
    </row>
    <row r="961" spans="2:5">
      <c r="B961" s="65" t="str">
        <f t="shared" si="14"/>
        <v>doc-1305:1</v>
      </c>
      <c r="C961" t="s">
        <v>9700</v>
      </c>
      <c r="D961">
        <v>1</v>
      </c>
      <c r="E961" t="s">
        <v>3145</v>
      </c>
    </row>
    <row r="962" spans="2:5">
      <c r="B962" s="65" t="str">
        <f t="shared" si="14"/>
        <v>doc-1305:2</v>
      </c>
      <c r="C962" t="s">
        <v>9700</v>
      </c>
      <c r="D962">
        <v>2</v>
      </c>
      <c r="E962" t="s">
        <v>254</v>
      </c>
    </row>
    <row r="963" spans="2:5">
      <c r="B963" s="65" t="str">
        <f t="shared" si="14"/>
        <v>doc-1306a:1</v>
      </c>
      <c r="C963" t="s">
        <v>9701</v>
      </c>
      <c r="D963">
        <v>1</v>
      </c>
      <c r="E963" t="s">
        <v>1324</v>
      </c>
    </row>
    <row r="964" spans="2:5">
      <c r="B964" s="65" t="str">
        <f t="shared" ref="B964:B1027" si="15">$C964&amp;":"&amp;$D964</f>
        <v>doc-1306a:2</v>
      </c>
      <c r="C964" t="s">
        <v>9701</v>
      </c>
      <c r="D964">
        <v>2</v>
      </c>
      <c r="E964" t="s">
        <v>1329</v>
      </c>
    </row>
    <row r="965" spans="2:5">
      <c r="B965" s="65" t="str">
        <f t="shared" si="15"/>
        <v>doc-1306a:3</v>
      </c>
      <c r="C965" t="s">
        <v>9701</v>
      </c>
      <c r="D965">
        <v>3</v>
      </c>
      <c r="E965" t="s">
        <v>1327</v>
      </c>
    </row>
    <row r="966" spans="2:5">
      <c r="B966" s="65" t="str">
        <f t="shared" si="15"/>
        <v>doc-1306a:4</v>
      </c>
      <c r="C966" t="s">
        <v>9701</v>
      </c>
      <c r="D966">
        <v>4</v>
      </c>
      <c r="E966" t="s">
        <v>3013</v>
      </c>
    </row>
    <row r="967" spans="2:5">
      <c r="B967" s="65" t="str">
        <f t="shared" si="15"/>
        <v>doc-1306a:5</v>
      </c>
      <c r="C967" t="s">
        <v>9701</v>
      </c>
      <c r="D967">
        <v>5</v>
      </c>
      <c r="E967" t="s">
        <v>3007</v>
      </c>
    </row>
    <row r="968" spans="2:5">
      <c r="B968" s="65" t="str">
        <f t="shared" si="15"/>
        <v>doc-1312:1</v>
      </c>
      <c r="C968" t="s">
        <v>9702</v>
      </c>
      <c r="D968">
        <v>1</v>
      </c>
      <c r="E968" t="s">
        <v>1911</v>
      </c>
    </row>
    <row r="969" spans="2:5">
      <c r="B969" s="65" t="str">
        <f t="shared" si="15"/>
        <v>doc-1314:1</v>
      </c>
      <c r="C969" t="s">
        <v>9703</v>
      </c>
      <c r="D969">
        <v>1</v>
      </c>
      <c r="E969" t="s">
        <v>1844</v>
      </c>
    </row>
    <row r="970" spans="2:5">
      <c r="B970" s="65" t="str">
        <f t="shared" si="15"/>
        <v>doc-1314:2</v>
      </c>
      <c r="C970" t="s">
        <v>9703</v>
      </c>
      <c r="D970">
        <v>2</v>
      </c>
      <c r="E970" t="s">
        <v>2003</v>
      </c>
    </row>
    <row r="971" spans="2:5">
      <c r="B971" s="65" t="str">
        <f t="shared" si="15"/>
        <v>doc-1314:3</v>
      </c>
      <c r="C971" t="s">
        <v>9703</v>
      </c>
      <c r="D971">
        <v>3</v>
      </c>
      <c r="E971" t="s">
        <v>1911</v>
      </c>
    </row>
    <row r="972" spans="2:5">
      <c r="B972" s="65" t="str">
        <f t="shared" si="15"/>
        <v>doc-1314:4</v>
      </c>
      <c r="C972" t="s">
        <v>9703</v>
      </c>
      <c r="D972">
        <v>4</v>
      </c>
      <c r="E972" t="s">
        <v>1905</v>
      </c>
    </row>
    <row r="973" spans="2:5">
      <c r="B973" s="65" t="str">
        <f t="shared" si="15"/>
        <v>doc-1316:1</v>
      </c>
      <c r="C973" t="s">
        <v>9704</v>
      </c>
      <c r="D973">
        <v>1</v>
      </c>
      <c r="E973" t="s">
        <v>1833</v>
      </c>
    </row>
    <row r="974" spans="2:5">
      <c r="B974" s="65" t="str">
        <f t="shared" si="15"/>
        <v>doc-1317a:1</v>
      </c>
      <c r="C974" t="s">
        <v>9705</v>
      </c>
      <c r="D974">
        <v>1</v>
      </c>
      <c r="E974" t="s">
        <v>3121</v>
      </c>
    </row>
    <row r="975" spans="2:5">
      <c r="B975" s="65" t="str">
        <f t="shared" si="15"/>
        <v>doc-1317a:2</v>
      </c>
      <c r="C975" t="s">
        <v>9705</v>
      </c>
      <c r="D975">
        <v>2</v>
      </c>
      <c r="E975" t="s">
        <v>2643</v>
      </c>
    </row>
    <row r="976" spans="2:5">
      <c r="B976" s="65" t="str">
        <f t="shared" si="15"/>
        <v>doc-1317a:3</v>
      </c>
      <c r="C976" t="s">
        <v>9705</v>
      </c>
      <c r="D976">
        <v>3</v>
      </c>
      <c r="E976" t="s">
        <v>2729</v>
      </c>
    </row>
    <row r="977" spans="2:5">
      <c r="B977" s="65" t="str">
        <f t="shared" si="15"/>
        <v>doc-1317a:4</v>
      </c>
      <c r="C977" t="s">
        <v>9705</v>
      </c>
      <c r="D977">
        <v>4</v>
      </c>
      <c r="E977" t="s">
        <v>2667</v>
      </c>
    </row>
    <row r="978" spans="2:5">
      <c r="B978" s="65" t="str">
        <f t="shared" si="15"/>
        <v>doc-1317a:5</v>
      </c>
      <c r="C978" t="s">
        <v>9705</v>
      </c>
      <c r="D978">
        <v>5</v>
      </c>
      <c r="E978" t="s">
        <v>3124</v>
      </c>
    </row>
    <row r="979" spans="2:5">
      <c r="B979" s="65" t="str">
        <f t="shared" si="15"/>
        <v>doc-1317a:6</v>
      </c>
      <c r="C979" t="s">
        <v>9705</v>
      </c>
      <c r="D979">
        <v>6</v>
      </c>
      <c r="E979" t="s">
        <v>3116</v>
      </c>
    </row>
    <row r="980" spans="2:5">
      <c r="B980" s="65" t="str">
        <f t="shared" si="15"/>
        <v>doc-1318:1</v>
      </c>
      <c r="C980" t="s">
        <v>9706</v>
      </c>
      <c r="D980">
        <v>1</v>
      </c>
      <c r="E980" t="s">
        <v>2464</v>
      </c>
    </row>
    <row r="981" spans="2:5">
      <c r="B981" s="65" t="str">
        <f t="shared" si="15"/>
        <v>doc-1318:2</v>
      </c>
      <c r="C981" t="s">
        <v>9706</v>
      </c>
      <c r="D981">
        <v>2</v>
      </c>
      <c r="E981" t="s">
        <v>1902</v>
      </c>
    </row>
    <row r="982" spans="2:5">
      <c r="B982" s="65" t="str">
        <f t="shared" si="15"/>
        <v>doc-1318:3</v>
      </c>
      <c r="C982" t="s">
        <v>9706</v>
      </c>
      <c r="D982">
        <v>3</v>
      </c>
      <c r="E982" t="s">
        <v>2475</v>
      </c>
    </row>
    <row r="983" spans="2:5">
      <c r="B983" s="65" t="str">
        <f t="shared" si="15"/>
        <v>doc-1318:4</v>
      </c>
      <c r="C983" t="s">
        <v>9706</v>
      </c>
      <c r="D983">
        <v>4</v>
      </c>
      <c r="E983" t="s">
        <v>2422</v>
      </c>
    </row>
    <row r="984" spans="2:5">
      <c r="B984" s="65" t="str">
        <f t="shared" si="15"/>
        <v>doc-1319:1</v>
      </c>
      <c r="C984" t="s">
        <v>9707</v>
      </c>
      <c r="D984">
        <v>1</v>
      </c>
      <c r="E984" t="s">
        <v>2712</v>
      </c>
    </row>
    <row r="985" spans="2:5">
      <c r="B985" s="65" t="str">
        <f t="shared" si="15"/>
        <v>doc-1319:2</v>
      </c>
      <c r="C985" t="s">
        <v>9707</v>
      </c>
      <c r="D985">
        <v>2</v>
      </c>
      <c r="E985" t="s">
        <v>2729</v>
      </c>
    </row>
    <row r="986" spans="2:5">
      <c r="B986" s="65" t="str">
        <f t="shared" si="15"/>
        <v>doc-1319:3</v>
      </c>
      <c r="C986" t="s">
        <v>9707</v>
      </c>
      <c r="D986">
        <v>3</v>
      </c>
      <c r="E986" t="s">
        <v>2585</v>
      </c>
    </row>
    <row r="987" spans="2:5">
      <c r="B987" s="65" t="str">
        <f t="shared" si="15"/>
        <v>doc-1319:4</v>
      </c>
      <c r="C987" t="s">
        <v>9707</v>
      </c>
      <c r="D987">
        <v>4</v>
      </c>
      <c r="E987" t="s">
        <v>2607</v>
      </c>
    </row>
    <row r="988" spans="2:5">
      <c r="B988" s="65" t="str">
        <f t="shared" si="15"/>
        <v>doc-1319:5</v>
      </c>
      <c r="C988" t="s">
        <v>9707</v>
      </c>
      <c r="D988">
        <v>5</v>
      </c>
      <c r="E988" t="s">
        <v>2667</v>
      </c>
    </row>
    <row r="989" spans="2:5">
      <c r="B989" s="65" t="str">
        <f t="shared" si="15"/>
        <v>doc-1323:1</v>
      </c>
      <c r="C989" t="s">
        <v>9708</v>
      </c>
      <c r="D989">
        <v>1</v>
      </c>
      <c r="E989" t="s">
        <v>1289</v>
      </c>
    </row>
    <row r="990" spans="2:5">
      <c r="B990" s="65" t="str">
        <f t="shared" si="15"/>
        <v>doc-1323:2</v>
      </c>
      <c r="C990" t="s">
        <v>9708</v>
      </c>
      <c r="D990">
        <v>2</v>
      </c>
      <c r="E990" t="s">
        <v>1307</v>
      </c>
    </row>
    <row r="991" spans="2:5">
      <c r="B991" s="65" t="str">
        <f t="shared" si="15"/>
        <v>doc-1323:3</v>
      </c>
      <c r="C991" t="s">
        <v>9708</v>
      </c>
      <c r="D991">
        <v>3</v>
      </c>
      <c r="E991" t="s">
        <v>1301</v>
      </c>
    </row>
    <row r="992" spans="2:5">
      <c r="B992" s="65" t="str">
        <f t="shared" si="15"/>
        <v>doc-1323:4</v>
      </c>
      <c r="C992" t="s">
        <v>9708</v>
      </c>
      <c r="D992">
        <v>4</v>
      </c>
      <c r="E992" t="s">
        <v>1291</v>
      </c>
    </row>
    <row r="993" spans="2:5">
      <c r="B993" s="65" t="str">
        <f t="shared" si="15"/>
        <v>doc-1323:5</v>
      </c>
      <c r="C993" t="s">
        <v>9708</v>
      </c>
      <c r="D993">
        <v>5</v>
      </c>
      <c r="E993" t="s">
        <v>1269</v>
      </c>
    </row>
    <row r="994" spans="2:5">
      <c r="B994" s="65" t="str">
        <f t="shared" si="15"/>
        <v>doc-1323:6</v>
      </c>
      <c r="C994" t="s">
        <v>9708</v>
      </c>
      <c r="D994">
        <v>6</v>
      </c>
      <c r="E994" t="s">
        <v>1254</v>
      </c>
    </row>
    <row r="995" spans="2:5">
      <c r="B995" s="65" t="str">
        <f t="shared" si="15"/>
        <v>doc-1324:1</v>
      </c>
      <c r="C995" t="s">
        <v>9709</v>
      </c>
      <c r="D995">
        <v>1</v>
      </c>
      <c r="E995" t="s">
        <v>2960</v>
      </c>
    </row>
    <row r="996" spans="2:5">
      <c r="B996" s="65" t="str">
        <f t="shared" si="15"/>
        <v>doc-1324:2</v>
      </c>
      <c r="C996" t="s">
        <v>9709</v>
      </c>
      <c r="D996">
        <v>2</v>
      </c>
      <c r="E996" t="s">
        <v>299</v>
      </c>
    </row>
    <row r="997" spans="2:5">
      <c r="B997" s="65" t="str">
        <f t="shared" si="15"/>
        <v>doc-1324:3</v>
      </c>
      <c r="C997" t="s">
        <v>9709</v>
      </c>
      <c r="D997">
        <v>3</v>
      </c>
      <c r="E997" t="s">
        <v>73</v>
      </c>
    </row>
    <row r="998" spans="2:5">
      <c r="B998" s="65" t="str">
        <f t="shared" si="15"/>
        <v>doc-1325:1</v>
      </c>
      <c r="C998" t="s">
        <v>5750</v>
      </c>
      <c r="D998">
        <v>1</v>
      </c>
      <c r="E998" t="s">
        <v>3211</v>
      </c>
    </row>
    <row r="999" spans="2:5">
      <c r="B999" s="65" t="str">
        <f t="shared" si="15"/>
        <v>doc-1325:2</v>
      </c>
      <c r="C999" t="s">
        <v>5750</v>
      </c>
      <c r="D999">
        <v>2</v>
      </c>
      <c r="E999" t="s">
        <v>2422</v>
      </c>
    </row>
    <row r="1000" spans="2:5">
      <c r="B1000" s="65" t="str">
        <f t="shared" si="15"/>
        <v>doc-1326a:1</v>
      </c>
      <c r="C1000" t="s">
        <v>9710</v>
      </c>
      <c r="D1000">
        <v>1</v>
      </c>
      <c r="E1000" t="s">
        <v>3180</v>
      </c>
    </row>
    <row r="1001" spans="2:5">
      <c r="B1001" s="65" t="str">
        <f t="shared" si="15"/>
        <v>doc-1326a:2</v>
      </c>
      <c r="C1001" t="s">
        <v>9710</v>
      </c>
      <c r="D1001">
        <v>2</v>
      </c>
      <c r="E1001" t="s">
        <v>2597</v>
      </c>
    </row>
    <row r="1002" spans="2:5">
      <c r="B1002" s="65" t="str">
        <f t="shared" si="15"/>
        <v>doc-1326a:3</v>
      </c>
      <c r="C1002" t="s">
        <v>9710</v>
      </c>
      <c r="D1002">
        <v>3</v>
      </c>
      <c r="E1002" t="s">
        <v>2667</v>
      </c>
    </row>
    <row r="1003" spans="2:5">
      <c r="B1003" s="65" t="str">
        <f t="shared" si="15"/>
        <v>doc-1326a:4</v>
      </c>
      <c r="C1003" t="s">
        <v>9710</v>
      </c>
      <c r="D1003">
        <v>4</v>
      </c>
      <c r="E1003" t="s">
        <v>2184</v>
      </c>
    </row>
    <row r="1004" spans="2:5">
      <c r="B1004" s="65" t="str">
        <f t="shared" si="15"/>
        <v>doc-1326a:5</v>
      </c>
      <c r="C1004" t="s">
        <v>9710</v>
      </c>
      <c r="D1004">
        <v>5</v>
      </c>
      <c r="E1004" t="s">
        <v>2182</v>
      </c>
    </row>
    <row r="1005" spans="2:5">
      <c r="B1005" s="65" t="str">
        <f t="shared" si="15"/>
        <v>doc-1327:1</v>
      </c>
      <c r="C1005" t="s">
        <v>9711</v>
      </c>
      <c r="D1005">
        <v>1</v>
      </c>
      <c r="E1005" t="s">
        <v>3180</v>
      </c>
    </row>
    <row r="1006" spans="2:5">
      <c r="B1006" s="65" t="str">
        <f t="shared" si="15"/>
        <v>doc-1327:2</v>
      </c>
      <c r="C1006" t="s">
        <v>9711</v>
      </c>
      <c r="D1006">
        <v>2</v>
      </c>
      <c r="E1006" t="s">
        <v>2597</v>
      </c>
    </row>
    <row r="1007" spans="2:5">
      <c r="B1007" s="65" t="str">
        <f t="shared" si="15"/>
        <v>doc-1327:3</v>
      </c>
      <c r="C1007" t="s">
        <v>9711</v>
      </c>
      <c r="D1007">
        <v>3</v>
      </c>
      <c r="E1007" t="s">
        <v>2667</v>
      </c>
    </row>
    <row r="1008" spans="2:5">
      <c r="B1008" s="65" t="str">
        <f t="shared" si="15"/>
        <v>doc-1327:4</v>
      </c>
      <c r="C1008" t="s">
        <v>9711</v>
      </c>
      <c r="D1008">
        <v>4</v>
      </c>
      <c r="E1008" t="s">
        <v>2184</v>
      </c>
    </row>
    <row r="1009" spans="2:5">
      <c r="B1009" s="65" t="str">
        <f t="shared" si="15"/>
        <v>doc-1327:5</v>
      </c>
      <c r="C1009" t="s">
        <v>9711</v>
      </c>
      <c r="D1009">
        <v>5</v>
      </c>
      <c r="E1009" t="s">
        <v>2182</v>
      </c>
    </row>
    <row r="1010" spans="2:5">
      <c r="B1010" s="65" t="str">
        <f t="shared" si="15"/>
        <v>doc-1328:1</v>
      </c>
      <c r="C1010" t="s">
        <v>9712</v>
      </c>
      <c r="D1010">
        <v>1</v>
      </c>
      <c r="E1010" t="s">
        <v>2960</v>
      </c>
    </row>
    <row r="1011" spans="2:5">
      <c r="B1011" s="65" t="str">
        <f t="shared" si="15"/>
        <v>doc-1328:2</v>
      </c>
      <c r="C1011" t="s">
        <v>9712</v>
      </c>
      <c r="D1011">
        <v>2</v>
      </c>
      <c r="E1011" t="s">
        <v>73</v>
      </c>
    </row>
    <row r="1012" spans="2:5">
      <c r="B1012" s="65" t="str">
        <f t="shared" si="15"/>
        <v>doc-1328:3</v>
      </c>
      <c r="C1012" t="s">
        <v>9712</v>
      </c>
      <c r="D1012">
        <v>3</v>
      </c>
      <c r="E1012" t="s">
        <v>299</v>
      </c>
    </row>
    <row r="1013" spans="2:5">
      <c r="B1013" s="65" t="str">
        <f t="shared" si="15"/>
        <v>doc-1330:1</v>
      </c>
      <c r="C1013" t="s">
        <v>5639</v>
      </c>
      <c r="D1013">
        <v>1</v>
      </c>
      <c r="E1013" t="s">
        <v>73</v>
      </c>
    </row>
    <row r="1014" spans="2:5">
      <c r="B1014" s="65" t="str">
        <f t="shared" si="15"/>
        <v>doc-1330:2</v>
      </c>
      <c r="C1014" t="s">
        <v>5639</v>
      </c>
      <c r="D1014">
        <v>2</v>
      </c>
      <c r="E1014" t="s">
        <v>2963</v>
      </c>
    </row>
    <row r="1015" spans="2:5">
      <c r="B1015" s="65" t="str">
        <f t="shared" si="15"/>
        <v>doc-1330:3</v>
      </c>
      <c r="C1015" t="s">
        <v>5639</v>
      </c>
      <c r="D1015">
        <v>3</v>
      </c>
      <c r="E1015" t="s">
        <v>2928</v>
      </c>
    </row>
    <row r="1016" spans="2:5">
      <c r="B1016" s="65" t="str">
        <f t="shared" si="15"/>
        <v>doc-1331:1</v>
      </c>
      <c r="C1016" t="s">
        <v>9713</v>
      </c>
      <c r="D1016">
        <v>1</v>
      </c>
      <c r="E1016" t="s">
        <v>2727</v>
      </c>
    </row>
    <row r="1017" spans="2:5">
      <c r="B1017" s="65" t="str">
        <f t="shared" si="15"/>
        <v>doc-1331:2</v>
      </c>
      <c r="C1017" t="s">
        <v>9713</v>
      </c>
      <c r="D1017">
        <v>2</v>
      </c>
      <c r="E1017" t="s">
        <v>1699</v>
      </c>
    </row>
    <row r="1018" spans="2:5">
      <c r="B1018" s="65" t="str">
        <f t="shared" si="15"/>
        <v>doc-1331:3</v>
      </c>
      <c r="C1018" t="s">
        <v>9713</v>
      </c>
      <c r="D1018">
        <v>3</v>
      </c>
      <c r="E1018" t="s">
        <v>2667</v>
      </c>
    </row>
    <row r="1019" spans="2:5">
      <c r="B1019" s="65" t="str">
        <f t="shared" si="15"/>
        <v>doc-1332:1</v>
      </c>
      <c r="C1019" t="s">
        <v>9714</v>
      </c>
      <c r="D1019">
        <v>1</v>
      </c>
      <c r="E1019" t="s">
        <v>1281</v>
      </c>
    </row>
    <row r="1020" spans="2:5">
      <c r="B1020" s="65" t="str">
        <f t="shared" si="15"/>
        <v>doc-1332:2</v>
      </c>
      <c r="C1020" t="s">
        <v>9714</v>
      </c>
      <c r="D1020">
        <v>2</v>
      </c>
      <c r="E1020" t="s">
        <v>1251</v>
      </c>
    </row>
    <row r="1021" spans="2:5">
      <c r="B1021" s="65" t="str">
        <f t="shared" si="15"/>
        <v>doc-1332:3</v>
      </c>
      <c r="C1021" t="s">
        <v>9714</v>
      </c>
      <c r="D1021">
        <v>3</v>
      </c>
      <c r="E1021" t="s">
        <v>1269</v>
      </c>
    </row>
    <row r="1022" spans="2:5">
      <c r="B1022" s="65" t="str">
        <f t="shared" si="15"/>
        <v>doc-1333:1</v>
      </c>
      <c r="C1022" t="s">
        <v>9715</v>
      </c>
      <c r="D1022">
        <v>1</v>
      </c>
      <c r="E1022" t="s">
        <v>1307</v>
      </c>
    </row>
    <row r="1023" spans="2:5">
      <c r="B1023" s="65" t="str">
        <f t="shared" si="15"/>
        <v>doc-1333:2</v>
      </c>
      <c r="C1023" t="s">
        <v>9715</v>
      </c>
      <c r="D1023">
        <v>2</v>
      </c>
      <c r="E1023" t="s">
        <v>1289</v>
      </c>
    </row>
    <row r="1024" spans="2:5">
      <c r="B1024" s="65" t="str">
        <f t="shared" si="15"/>
        <v>doc-1333:3</v>
      </c>
      <c r="C1024" t="s">
        <v>9715</v>
      </c>
      <c r="D1024">
        <v>3</v>
      </c>
      <c r="E1024" t="s">
        <v>1269</v>
      </c>
    </row>
    <row r="1025" spans="2:5">
      <c r="B1025" s="65" t="str">
        <f t="shared" si="15"/>
        <v>doc-1333:4</v>
      </c>
      <c r="C1025" t="s">
        <v>9715</v>
      </c>
      <c r="D1025">
        <v>4</v>
      </c>
      <c r="E1025" t="s">
        <v>1254</v>
      </c>
    </row>
    <row r="1026" spans="2:5">
      <c r="B1026" s="65" t="str">
        <f t="shared" si="15"/>
        <v>doc-1333:5</v>
      </c>
      <c r="C1026" t="s">
        <v>9715</v>
      </c>
      <c r="D1026">
        <v>5</v>
      </c>
      <c r="E1026" t="s">
        <v>1144</v>
      </c>
    </row>
    <row r="1027" spans="2:5">
      <c r="B1027" s="65" t="str">
        <f t="shared" si="15"/>
        <v>doc-1334a:1</v>
      </c>
      <c r="C1027" t="s">
        <v>9716</v>
      </c>
      <c r="D1027">
        <v>1</v>
      </c>
      <c r="E1027" t="s">
        <v>1833</v>
      </c>
    </row>
    <row r="1028" spans="2:5">
      <c r="B1028" s="65" t="str">
        <f t="shared" ref="B1028:B1091" si="16">$C1028&amp;":"&amp;$D1028</f>
        <v>doc-1334b:1</v>
      </c>
      <c r="C1028" t="s">
        <v>9717</v>
      </c>
      <c r="D1028">
        <v>1</v>
      </c>
      <c r="E1028" t="s">
        <v>1833</v>
      </c>
    </row>
    <row r="1029" spans="2:5">
      <c r="B1029" s="65" t="str">
        <f t="shared" si="16"/>
        <v>doc-1334d:1</v>
      </c>
      <c r="C1029" t="s">
        <v>9718</v>
      </c>
      <c r="D1029">
        <v>1</v>
      </c>
      <c r="E1029" t="s">
        <v>1833</v>
      </c>
    </row>
    <row r="1030" spans="2:5">
      <c r="B1030" s="65" t="str">
        <f t="shared" si="16"/>
        <v>doc-1335:1</v>
      </c>
      <c r="C1030" t="s">
        <v>9719</v>
      </c>
      <c r="D1030">
        <v>1</v>
      </c>
      <c r="E1030" t="s">
        <v>2628</v>
      </c>
    </row>
    <row r="1031" spans="2:5">
      <c r="B1031" s="65" t="str">
        <f t="shared" si="16"/>
        <v>doc-1335:2</v>
      </c>
      <c r="C1031" t="s">
        <v>9719</v>
      </c>
      <c r="D1031">
        <v>2</v>
      </c>
      <c r="E1031" t="s">
        <v>2658</v>
      </c>
    </row>
    <row r="1032" spans="2:5">
      <c r="B1032" s="65" t="str">
        <f t="shared" si="16"/>
        <v>doc-1335:3</v>
      </c>
      <c r="C1032" t="s">
        <v>9719</v>
      </c>
      <c r="D1032">
        <v>3</v>
      </c>
      <c r="E1032" t="s">
        <v>2724</v>
      </c>
    </row>
    <row r="1033" spans="2:5">
      <c r="B1033" s="65" t="str">
        <f t="shared" si="16"/>
        <v>doc-1335:4</v>
      </c>
      <c r="C1033" t="s">
        <v>9719</v>
      </c>
      <c r="D1033">
        <v>4</v>
      </c>
      <c r="E1033" t="s">
        <v>2597</v>
      </c>
    </row>
    <row r="1034" spans="2:5">
      <c r="B1034" s="65" t="str">
        <f t="shared" si="16"/>
        <v>doc-1335:5</v>
      </c>
      <c r="C1034" t="s">
        <v>9719</v>
      </c>
      <c r="D1034">
        <v>5</v>
      </c>
      <c r="E1034" t="s">
        <v>2667</v>
      </c>
    </row>
    <row r="1035" spans="2:5">
      <c r="B1035" s="65" t="str">
        <f t="shared" si="16"/>
        <v>doc-1336:1</v>
      </c>
      <c r="C1035" t="s">
        <v>9720</v>
      </c>
      <c r="D1035">
        <v>1</v>
      </c>
      <c r="E1035" t="s">
        <v>2862</v>
      </c>
    </row>
    <row r="1036" spans="2:5">
      <c r="B1036" s="65" t="str">
        <f t="shared" si="16"/>
        <v>doc-1336:2</v>
      </c>
      <c r="C1036" t="s">
        <v>9720</v>
      </c>
      <c r="D1036">
        <v>2</v>
      </c>
      <c r="E1036" t="s">
        <v>2847</v>
      </c>
    </row>
    <row r="1037" spans="2:5">
      <c r="B1037" s="65" t="str">
        <f t="shared" si="16"/>
        <v>doc-1336:3</v>
      </c>
      <c r="C1037" t="s">
        <v>9720</v>
      </c>
      <c r="D1037">
        <v>3</v>
      </c>
      <c r="E1037" t="s">
        <v>2849</v>
      </c>
    </row>
    <row r="1038" spans="2:5">
      <c r="B1038" s="65" t="str">
        <f t="shared" si="16"/>
        <v>doc-1337:1</v>
      </c>
      <c r="C1038" t="s">
        <v>9721</v>
      </c>
      <c r="D1038">
        <v>1</v>
      </c>
      <c r="E1038" t="s">
        <v>2960</v>
      </c>
    </row>
    <row r="1039" spans="2:5">
      <c r="B1039" s="65" t="str">
        <f t="shared" si="16"/>
        <v>doc-1337:2</v>
      </c>
      <c r="C1039" t="s">
        <v>9721</v>
      </c>
      <c r="D1039">
        <v>2</v>
      </c>
      <c r="E1039" t="s">
        <v>73</v>
      </c>
    </row>
    <row r="1040" spans="2:5">
      <c r="B1040" s="65" t="str">
        <f t="shared" si="16"/>
        <v>doc-1337:3</v>
      </c>
      <c r="C1040" t="s">
        <v>9721</v>
      </c>
      <c r="D1040">
        <v>3</v>
      </c>
      <c r="E1040" t="s">
        <v>299</v>
      </c>
    </row>
    <row r="1041" spans="2:5">
      <c r="B1041" s="65" t="str">
        <f t="shared" si="16"/>
        <v>doc-1338a:1</v>
      </c>
      <c r="C1041" t="s">
        <v>9722</v>
      </c>
      <c r="D1041">
        <v>1</v>
      </c>
      <c r="E1041" t="s">
        <v>2729</v>
      </c>
    </row>
    <row r="1042" spans="2:5">
      <c r="B1042" s="65" t="str">
        <f t="shared" si="16"/>
        <v>doc-1338a:2</v>
      </c>
      <c r="C1042" t="s">
        <v>9722</v>
      </c>
      <c r="D1042">
        <v>2</v>
      </c>
      <c r="E1042" t="s">
        <v>1699</v>
      </c>
    </row>
    <row r="1043" spans="2:5">
      <c r="B1043" s="65" t="str">
        <f t="shared" si="16"/>
        <v>doc-1338a:3</v>
      </c>
      <c r="C1043" t="s">
        <v>9722</v>
      </c>
      <c r="D1043">
        <v>3</v>
      </c>
      <c r="E1043" t="s">
        <v>2649</v>
      </c>
    </row>
    <row r="1044" spans="2:5">
      <c r="B1044" s="65" t="str">
        <f t="shared" si="16"/>
        <v>doc-1338a:4</v>
      </c>
      <c r="C1044" t="s">
        <v>9722</v>
      </c>
      <c r="D1044">
        <v>4</v>
      </c>
      <c r="E1044" t="s">
        <v>2622</v>
      </c>
    </row>
    <row r="1045" spans="2:5">
      <c r="B1045" s="65" t="str">
        <f t="shared" si="16"/>
        <v>doc-1338a:5</v>
      </c>
      <c r="C1045" t="s">
        <v>9722</v>
      </c>
      <c r="D1045">
        <v>5</v>
      </c>
      <c r="E1045" t="s">
        <v>2667</v>
      </c>
    </row>
    <row r="1046" spans="2:5">
      <c r="B1046" s="65" t="str">
        <f t="shared" si="16"/>
        <v>doc-1339:1</v>
      </c>
      <c r="C1046" t="s">
        <v>9723</v>
      </c>
      <c r="D1046">
        <v>1</v>
      </c>
      <c r="E1046" t="s">
        <v>1197</v>
      </c>
    </row>
    <row r="1047" spans="2:5">
      <c r="B1047" s="65" t="str">
        <f t="shared" si="16"/>
        <v>doc-1339:2</v>
      </c>
      <c r="C1047" t="s">
        <v>9723</v>
      </c>
      <c r="D1047">
        <v>2</v>
      </c>
      <c r="E1047" t="s">
        <v>1205</v>
      </c>
    </row>
    <row r="1048" spans="2:5">
      <c r="B1048" s="65" t="str">
        <f t="shared" si="16"/>
        <v>doc-1339:3</v>
      </c>
      <c r="C1048" t="s">
        <v>9723</v>
      </c>
      <c r="D1048">
        <v>3</v>
      </c>
      <c r="E1048" t="s">
        <v>1213</v>
      </c>
    </row>
    <row r="1049" spans="2:5">
      <c r="B1049" s="65" t="str">
        <f t="shared" si="16"/>
        <v>doc-1339:4</v>
      </c>
      <c r="C1049" t="s">
        <v>9723</v>
      </c>
      <c r="D1049">
        <v>4</v>
      </c>
      <c r="E1049" t="s">
        <v>1200</v>
      </c>
    </row>
    <row r="1050" spans="2:5">
      <c r="B1050" s="65" t="str">
        <f t="shared" si="16"/>
        <v>doc-1341:1</v>
      </c>
      <c r="C1050" t="s">
        <v>5645</v>
      </c>
      <c r="D1050">
        <v>1</v>
      </c>
      <c r="E1050" t="s">
        <v>2073</v>
      </c>
    </row>
    <row r="1051" spans="2:5">
      <c r="B1051" s="65" t="str">
        <f t="shared" si="16"/>
        <v>doc-1341:2</v>
      </c>
      <c r="C1051" t="s">
        <v>5645</v>
      </c>
      <c r="D1051">
        <v>2</v>
      </c>
      <c r="E1051" t="s">
        <v>2179</v>
      </c>
    </row>
    <row r="1052" spans="2:5">
      <c r="B1052" s="65" t="str">
        <f t="shared" si="16"/>
        <v>doc-1341:3</v>
      </c>
      <c r="C1052" t="s">
        <v>5645</v>
      </c>
      <c r="D1052">
        <v>3</v>
      </c>
      <c r="E1052" t="s">
        <v>2121</v>
      </c>
    </row>
    <row r="1053" spans="2:5">
      <c r="B1053" s="65" t="str">
        <f t="shared" si="16"/>
        <v>doc-1341:4</v>
      </c>
      <c r="C1053" t="s">
        <v>5645</v>
      </c>
      <c r="D1053">
        <v>4</v>
      </c>
      <c r="E1053" t="s">
        <v>2847</v>
      </c>
    </row>
    <row r="1054" spans="2:5">
      <c r="B1054" s="65" t="str">
        <f t="shared" si="16"/>
        <v>doc-1342:1</v>
      </c>
      <c r="C1054" t="s">
        <v>5652</v>
      </c>
      <c r="D1054">
        <v>1</v>
      </c>
      <c r="E1054" t="s">
        <v>2179</v>
      </c>
    </row>
    <row r="1055" spans="2:5">
      <c r="B1055" s="65" t="str">
        <f t="shared" si="16"/>
        <v>doc-1342:2</v>
      </c>
      <c r="C1055" t="s">
        <v>5652</v>
      </c>
      <c r="D1055">
        <v>2</v>
      </c>
      <c r="E1055" t="s">
        <v>1614</v>
      </c>
    </row>
    <row r="1056" spans="2:5">
      <c r="B1056" s="65" t="str">
        <f t="shared" si="16"/>
        <v>doc-1342:3</v>
      </c>
      <c r="C1056" t="s">
        <v>5652</v>
      </c>
      <c r="D1056">
        <v>3</v>
      </c>
      <c r="E1056" t="s">
        <v>1617</v>
      </c>
    </row>
    <row r="1057" spans="2:5">
      <c r="B1057" s="65" t="str">
        <f t="shared" si="16"/>
        <v>doc-1342:4</v>
      </c>
      <c r="C1057" t="s">
        <v>5652</v>
      </c>
      <c r="D1057">
        <v>4</v>
      </c>
      <c r="E1057" t="s">
        <v>2121</v>
      </c>
    </row>
    <row r="1058" spans="2:5">
      <c r="B1058" s="65" t="str">
        <f t="shared" si="16"/>
        <v>doc-1343:1</v>
      </c>
      <c r="C1058" t="s">
        <v>5658</v>
      </c>
      <c r="D1058">
        <v>1</v>
      </c>
      <c r="E1058" t="s">
        <v>2179</v>
      </c>
    </row>
    <row r="1059" spans="2:5">
      <c r="B1059" s="65" t="str">
        <f t="shared" si="16"/>
        <v>doc-1343:2</v>
      </c>
      <c r="C1059" t="s">
        <v>5658</v>
      </c>
      <c r="D1059">
        <v>2</v>
      </c>
      <c r="E1059" t="s">
        <v>2121</v>
      </c>
    </row>
    <row r="1060" spans="2:5">
      <c r="B1060" s="65" t="str">
        <f t="shared" si="16"/>
        <v>doc-1344:1</v>
      </c>
      <c r="C1060" t="s">
        <v>5664</v>
      </c>
      <c r="D1060">
        <v>1</v>
      </c>
      <c r="E1060" t="s">
        <v>2179</v>
      </c>
    </row>
    <row r="1061" spans="2:5">
      <c r="B1061" s="65" t="str">
        <f t="shared" si="16"/>
        <v>doc-1344:2</v>
      </c>
      <c r="C1061" t="s">
        <v>5664</v>
      </c>
      <c r="D1061">
        <v>2</v>
      </c>
      <c r="E1061" t="s">
        <v>2121</v>
      </c>
    </row>
    <row r="1062" spans="2:5">
      <c r="B1062" s="65" t="str">
        <f t="shared" si="16"/>
        <v>doc-1344:3</v>
      </c>
      <c r="C1062" t="s">
        <v>5664</v>
      </c>
      <c r="D1062">
        <v>3</v>
      </c>
      <c r="E1062" t="s">
        <v>2847</v>
      </c>
    </row>
    <row r="1063" spans="2:5">
      <c r="B1063" s="65" t="str">
        <f t="shared" si="16"/>
        <v>doc-1344:4</v>
      </c>
      <c r="C1063" t="s">
        <v>5664</v>
      </c>
      <c r="D1063">
        <v>4</v>
      </c>
      <c r="E1063" t="s">
        <v>2849</v>
      </c>
    </row>
    <row r="1064" spans="2:5">
      <c r="B1064" s="65" t="str">
        <f t="shared" si="16"/>
        <v>doc-1346:1</v>
      </c>
      <c r="C1064" t="s">
        <v>5669</v>
      </c>
      <c r="D1064">
        <v>1</v>
      </c>
      <c r="E1064" t="s">
        <v>1343</v>
      </c>
    </row>
    <row r="1065" spans="2:5">
      <c r="B1065" s="65" t="str">
        <f t="shared" si="16"/>
        <v>doc-1347:1</v>
      </c>
      <c r="C1065" t="s">
        <v>5675</v>
      </c>
      <c r="D1065">
        <v>1</v>
      </c>
      <c r="E1065" t="s">
        <v>1343</v>
      </c>
    </row>
    <row r="1066" spans="2:5">
      <c r="B1066" s="65" t="str">
        <f t="shared" si="16"/>
        <v>doc-1347:2</v>
      </c>
      <c r="C1066" t="s">
        <v>5675</v>
      </c>
      <c r="D1066">
        <v>2</v>
      </c>
      <c r="E1066" t="s">
        <v>2194</v>
      </c>
    </row>
    <row r="1067" spans="2:5">
      <c r="B1067" s="65" t="str">
        <f t="shared" si="16"/>
        <v>doc-1348:1</v>
      </c>
      <c r="C1067" t="s">
        <v>5681</v>
      </c>
      <c r="D1067">
        <v>1</v>
      </c>
      <c r="E1067" t="s">
        <v>2194</v>
      </c>
    </row>
    <row r="1068" spans="2:5">
      <c r="B1068" s="65" t="str">
        <f t="shared" si="16"/>
        <v>doc-1348:2</v>
      </c>
      <c r="C1068" t="s">
        <v>5681</v>
      </c>
      <c r="D1068">
        <v>2</v>
      </c>
      <c r="E1068" t="s">
        <v>1343</v>
      </c>
    </row>
    <row r="1069" spans="2:5">
      <c r="B1069" s="65" t="str">
        <f t="shared" si="16"/>
        <v>doc-1348:3</v>
      </c>
      <c r="C1069" t="s">
        <v>5681</v>
      </c>
      <c r="D1069">
        <v>3</v>
      </c>
      <c r="E1069" t="s">
        <v>2361</v>
      </c>
    </row>
    <row r="1070" spans="2:5">
      <c r="B1070" s="65" t="str">
        <f t="shared" si="16"/>
        <v>doc-1349:1</v>
      </c>
      <c r="C1070" t="s">
        <v>9724</v>
      </c>
      <c r="D1070">
        <v>1</v>
      </c>
      <c r="E1070" t="s">
        <v>3085</v>
      </c>
    </row>
    <row r="1071" spans="2:5">
      <c r="B1071" s="65" t="str">
        <f t="shared" si="16"/>
        <v>doc-1349:2</v>
      </c>
      <c r="C1071" t="s">
        <v>9724</v>
      </c>
      <c r="D1071">
        <v>2</v>
      </c>
      <c r="E1071" t="s">
        <v>3075</v>
      </c>
    </row>
    <row r="1072" spans="2:5">
      <c r="B1072" s="65" t="str">
        <f t="shared" si="16"/>
        <v>doc-1349:3</v>
      </c>
      <c r="C1072" t="s">
        <v>9724</v>
      </c>
      <c r="D1072">
        <v>3</v>
      </c>
      <c r="E1072" t="s">
        <v>3072</v>
      </c>
    </row>
    <row r="1073" spans="2:5">
      <c r="B1073" s="65" t="str">
        <f t="shared" si="16"/>
        <v>doc-1350:1</v>
      </c>
      <c r="C1073" t="s">
        <v>5687</v>
      </c>
      <c r="D1073">
        <v>1</v>
      </c>
      <c r="E1073" t="s">
        <v>2435</v>
      </c>
    </row>
    <row r="1074" spans="2:5">
      <c r="B1074" s="65" t="str">
        <f t="shared" si="16"/>
        <v>doc-1350:2</v>
      </c>
      <c r="C1074" t="s">
        <v>5687</v>
      </c>
      <c r="D1074">
        <v>2</v>
      </c>
      <c r="E1074" t="s">
        <v>2501</v>
      </c>
    </row>
    <row r="1075" spans="2:5">
      <c r="B1075" s="65" t="str">
        <f t="shared" si="16"/>
        <v>doc-1350:3</v>
      </c>
      <c r="C1075" t="s">
        <v>5687</v>
      </c>
      <c r="D1075">
        <v>3</v>
      </c>
      <c r="E1075" t="s">
        <v>2422</v>
      </c>
    </row>
    <row r="1076" spans="2:5">
      <c r="B1076" s="65" t="str">
        <f t="shared" si="16"/>
        <v>doc-1354:1</v>
      </c>
      <c r="C1076" t="s">
        <v>5694</v>
      </c>
      <c r="D1076">
        <v>1</v>
      </c>
      <c r="E1076" t="s">
        <v>2676</v>
      </c>
    </row>
    <row r="1077" spans="2:5">
      <c r="B1077" s="65" t="str">
        <f t="shared" si="16"/>
        <v>doc-1354:2</v>
      </c>
      <c r="C1077" t="s">
        <v>5694</v>
      </c>
      <c r="D1077">
        <v>2</v>
      </c>
      <c r="E1077" t="s">
        <v>2027</v>
      </c>
    </row>
    <row r="1078" spans="2:5">
      <c r="B1078" s="65" t="str">
        <f t="shared" si="16"/>
        <v>doc-1354:3</v>
      </c>
      <c r="C1078" t="s">
        <v>5694</v>
      </c>
      <c r="D1078">
        <v>3</v>
      </c>
      <c r="E1078" t="s">
        <v>2660</v>
      </c>
    </row>
    <row r="1079" spans="2:5">
      <c r="B1079" s="65" t="str">
        <f t="shared" si="16"/>
        <v>doc-1355:1</v>
      </c>
      <c r="C1079" t="s">
        <v>5701</v>
      </c>
      <c r="D1079">
        <v>1</v>
      </c>
      <c r="E1079" t="s">
        <v>2954</v>
      </c>
    </row>
    <row r="1080" spans="2:5">
      <c r="B1080" s="65" t="str">
        <f t="shared" si="16"/>
        <v>doc-1355:2</v>
      </c>
      <c r="C1080" t="s">
        <v>5701</v>
      </c>
      <c r="D1080">
        <v>2</v>
      </c>
      <c r="E1080" t="s">
        <v>2965</v>
      </c>
    </row>
    <row r="1081" spans="2:5">
      <c r="B1081" s="65" t="str">
        <f t="shared" si="16"/>
        <v>doc-1355:3</v>
      </c>
      <c r="C1081" t="s">
        <v>5701</v>
      </c>
      <c r="D1081">
        <v>3</v>
      </c>
      <c r="E1081" t="s">
        <v>2967</v>
      </c>
    </row>
    <row r="1082" spans="2:5">
      <c r="B1082" s="65" t="str">
        <f t="shared" si="16"/>
        <v>doc-1355:4</v>
      </c>
      <c r="C1082" t="s">
        <v>5701</v>
      </c>
      <c r="D1082">
        <v>4</v>
      </c>
      <c r="E1082" t="s">
        <v>299</v>
      </c>
    </row>
    <row r="1083" spans="2:5">
      <c r="B1083" s="65" t="str">
        <f t="shared" si="16"/>
        <v>doc-1355:5</v>
      </c>
      <c r="C1083" t="s">
        <v>5701</v>
      </c>
      <c r="D1083">
        <v>5</v>
      </c>
      <c r="E1083" t="s">
        <v>73</v>
      </c>
    </row>
    <row r="1084" spans="2:5">
      <c r="B1084" s="65" t="str">
        <f t="shared" si="16"/>
        <v>doc-1357:1</v>
      </c>
      <c r="C1084" t="s">
        <v>5707</v>
      </c>
      <c r="D1084">
        <v>1</v>
      </c>
      <c r="E1084" t="s">
        <v>1059</v>
      </c>
    </row>
    <row r="1085" spans="2:5">
      <c r="B1085" s="65" t="str">
        <f t="shared" si="16"/>
        <v>doc-1357:2</v>
      </c>
      <c r="C1085" t="s">
        <v>5707</v>
      </c>
      <c r="D1085">
        <v>2</v>
      </c>
      <c r="E1085" t="s">
        <v>1065</v>
      </c>
    </row>
    <row r="1086" spans="2:5">
      <c r="B1086" s="65" t="str">
        <f t="shared" si="16"/>
        <v>doc-1357:3</v>
      </c>
      <c r="C1086" t="s">
        <v>5707</v>
      </c>
      <c r="D1086">
        <v>3</v>
      </c>
      <c r="E1086" t="s">
        <v>3061</v>
      </c>
    </row>
    <row r="1087" spans="2:5">
      <c r="B1087" s="65" t="str">
        <f t="shared" si="16"/>
        <v>doc-1358:1</v>
      </c>
      <c r="C1087" t="s">
        <v>5713</v>
      </c>
      <c r="D1087">
        <v>1</v>
      </c>
      <c r="E1087" t="s">
        <v>2862</v>
      </c>
    </row>
    <row r="1088" spans="2:5">
      <c r="B1088" s="65" t="str">
        <f t="shared" si="16"/>
        <v>doc-1358:2</v>
      </c>
      <c r="C1088" t="s">
        <v>5713</v>
      </c>
      <c r="D1088">
        <v>2</v>
      </c>
      <c r="E1088" t="s">
        <v>2847</v>
      </c>
    </row>
    <row r="1089" spans="2:5">
      <c r="B1089" s="65" t="str">
        <f t="shared" si="16"/>
        <v>doc-1358:3</v>
      </c>
      <c r="C1089" t="s">
        <v>5713</v>
      </c>
      <c r="D1089">
        <v>3</v>
      </c>
      <c r="E1089" t="s">
        <v>2849</v>
      </c>
    </row>
    <row r="1090" spans="2:5">
      <c r="B1090" s="65" t="str">
        <f t="shared" si="16"/>
        <v>doc-1359:1</v>
      </c>
      <c r="C1090" t="s">
        <v>5719</v>
      </c>
      <c r="D1090">
        <v>1</v>
      </c>
      <c r="E1090" t="s">
        <v>2847</v>
      </c>
    </row>
    <row r="1091" spans="2:5">
      <c r="B1091" s="65" t="str">
        <f t="shared" si="16"/>
        <v>doc-1359:2</v>
      </c>
      <c r="C1091" t="s">
        <v>5719</v>
      </c>
      <c r="D1091">
        <v>2</v>
      </c>
      <c r="E1091" t="s">
        <v>2831</v>
      </c>
    </row>
    <row r="1092" spans="2:5">
      <c r="B1092" s="65" t="str">
        <f t="shared" ref="B1092:B1155" si="17">$C1092&amp;":"&amp;$D1092</f>
        <v>doc-1359:3</v>
      </c>
      <c r="C1092" t="s">
        <v>5719</v>
      </c>
      <c r="D1092">
        <v>3</v>
      </c>
      <c r="E1092" t="s">
        <v>2849</v>
      </c>
    </row>
    <row r="1093" spans="2:5">
      <c r="B1093" s="65" t="str">
        <f t="shared" si="17"/>
        <v>doc-1359:4</v>
      </c>
      <c r="C1093" t="s">
        <v>5719</v>
      </c>
      <c r="D1093">
        <v>4</v>
      </c>
      <c r="E1093" t="s">
        <v>2867</v>
      </c>
    </row>
    <row r="1094" spans="2:5">
      <c r="B1094" s="65" t="str">
        <f t="shared" si="17"/>
        <v>doc-1359:5</v>
      </c>
      <c r="C1094" t="s">
        <v>5719</v>
      </c>
      <c r="D1094">
        <v>5</v>
      </c>
      <c r="E1094" t="s">
        <v>1592</v>
      </c>
    </row>
    <row r="1095" spans="2:5">
      <c r="B1095" s="65" t="str">
        <f t="shared" si="17"/>
        <v>doc-1361a:1</v>
      </c>
      <c r="C1095" t="s">
        <v>5724</v>
      </c>
      <c r="D1095">
        <v>1</v>
      </c>
      <c r="E1095" t="s">
        <v>2095</v>
      </c>
    </row>
    <row r="1096" spans="2:5">
      <c r="B1096" s="65" t="str">
        <f t="shared" si="17"/>
        <v>doc-1361a:2</v>
      </c>
      <c r="C1096" t="s">
        <v>5724</v>
      </c>
      <c r="D1096">
        <v>2</v>
      </c>
      <c r="E1096" t="s">
        <v>2324</v>
      </c>
    </row>
    <row r="1097" spans="2:5">
      <c r="B1097" s="65" t="str">
        <f t="shared" si="17"/>
        <v>doc-1361a:3</v>
      </c>
      <c r="C1097" t="s">
        <v>5724</v>
      </c>
      <c r="D1097">
        <v>3</v>
      </c>
      <c r="E1097" t="s">
        <v>2422</v>
      </c>
    </row>
    <row r="1098" spans="2:5">
      <c r="B1098" s="65" t="str">
        <f t="shared" si="17"/>
        <v>doc-1361a:4</v>
      </c>
      <c r="C1098" t="s">
        <v>5724</v>
      </c>
      <c r="D1098">
        <v>4</v>
      </c>
      <c r="E1098" t="s">
        <v>2428</v>
      </c>
    </row>
    <row r="1099" spans="2:5">
      <c r="B1099" s="65" t="str">
        <f t="shared" si="17"/>
        <v>doc-1361c:1</v>
      </c>
      <c r="C1099" t="s">
        <v>5731</v>
      </c>
      <c r="D1099">
        <v>1</v>
      </c>
      <c r="E1099" t="s">
        <v>2095</v>
      </c>
    </row>
    <row r="1100" spans="2:5">
      <c r="B1100" s="65" t="str">
        <f t="shared" si="17"/>
        <v>doc-1361c:2</v>
      </c>
      <c r="C1100" t="s">
        <v>5731</v>
      </c>
      <c r="D1100">
        <v>2</v>
      </c>
      <c r="E1100" t="s">
        <v>2324</v>
      </c>
    </row>
    <row r="1101" spans="2:5">
      <c r="B1101" s="65" t="str">
        <f t="shared" si="17"/>
        <v>doc-1361c:3</v>
      </c>
      <c r="C1101" t="s">
        <v>5731</v>
      </c>
      <c r="D1101">
        <v>3</v>
      </c>
      <c r="E1101" t="s">
        <v>2422</v>
      </c>
    </row>
    <row r="1102" spans="2:5">
      <c r="B1102" s="65" t="str">
        <f t="shared" si="17"/>
        <v>doc-1361c:4</v>
      </c>
      <c r="C1102" t="s">
        <v>5731</v>
      </c>
      <c r="D1102">
        <v>4</v>
      </c>
      <c r="E1102" t="s">
        <v>2475</v>
      </c>
    </row>
    <row r="1103" spans="2:5">
      <c r="B1103" s="65" t="str">
        <f t="shared" si="17"/>
        <v>doc-1361c:5</v>
      </c>
      <c r="C1103" t="s">
        <v>5731</v>
      </c>
      <c r="D1103">
        <v>5</v>
      </c>
      <c r="E1103" t="s">
        <v>2428</v>
      </c>
    </row>
    <row r="1104" spans="2:5">
      <c r="B1104" s="65" t="str">
        <f t="shared" si="17"/>
        <v>doc-1362:1</v>
      </c>
      <c r="C1104" t="s">
        <v>5732</v>
      </c>
      <c r="D1104">
        <v>1</v>
      </c>
      <c r="E1104" t="s">
        <v>2717</v>
      </c>
    </row>
    <row r="1105" spans="2:5">
      <c r="B1105" s="65" t="str">
        <f t="shared" si="17"/>
        <v>doc-1362:2</v>
      </c>
      <c r="C1105" t="s">
        <v>5732</v>
      </c>
      <c r="D1105">
        <v>2</v>
      </c>
      <c r="E1105" t="s">
        <v>2630</v>
      </c>
    </row>
    <row r="1106" spans="2:5">
      <c r="B1106" s="65" t="str">
        <f t="shared" si="17"/>
        <v>doc-1362:3</v>
      </c>
      <c r="C1106" t="s">
        <v>5732</v>
      </c>
      <c r="D1106">
        <v>3</v>
      </c>
      <c r="E1106" t="s">
        <v>2667</v>
      </c>
    </row>
    <row r="1107" spans="2:5">
      <c r="B1107" s="65" t="str">
        <f t="shared" si="17"/>
        <v>doc-1363:1</v>
      </c>
      <c r="C1107" t="s">
        <v>5738</v>
      </c>
      <c r="D1107">
        <v>1</v>
      </c>
      <c r="E1107" t="s">
        <v>2722</v>
      </c>
    </row>
    <row r="1108" spans="2:5">
      <c r="B1108" s="65" t="str">
        <f t="shared" si="17"/>
        <v>doc-1363:2</v>
      </c>
      <c r="C1108" t="s">
        <v>5738</v>
      </c>
      <c r="D1108">
        <v>2</v>
      </c>
      <c r="E1108" t="s">
        <v>2749</v>
      </c>
    </row>
    <row r="1109" spans="2:5">
      <c r="B1109" s="65" t="str">
        <f t="shared" si="17"/>
        <v>doc-1363:3</v>
      </c>
      <c r="C1109" t="s">
        <v>5738</v>
      </c>
      <c r="D1109">
        <v>3</v>
      </c>
      <c r="E1109" t="s">
        <v>2694</v>
      </c>
    </row>
    <row r="1110" spans="2:5">
      <c r="B1110" s="65" t="str">
        <f t="shared" si="17"/>
        <v>doc-1363:4</v>
      </c>
      <c r="C1110" t="s">
        <v>5738</v>
      </c>
      <c r="D1110">
        <v>4</v>
      </c>
      <c r="E1110" t="s">
        <v>2664</v>
      </c>
    </row>
    <row r="1111" spans="2:5">
      <c r="B1111" s="65" t="str">
        <f t="shared" si="17"/>
        <v>doc-1364a:1</v>
      </c>
      <c r="C1111" t="s">
        <v>5744</v>
      </c>
      <c r="D1111">
        <v>1</v>
      </c>
      <c r="E1111" t="s">
        <v>3211</v>
      </c>
    </row>
    <row r="1112" spans="2:5">
      <c r="B1112" s="65" t="str">
        <f t="shared" si="17"/>
        <v>doc-1364a:2</v>
      </c>
      <c r="C1112" t="s">
        <v>5744</v>
      </c>
      <c r="D1112">
        <v>2</v>
      </c>
      <c r="E1112" t="s">
        <v>2422</v>
      </c>
    </row>
    <row r="1113" spans="2:5">
      <c r="B1113" s="65" t="str">
        <f t="shared" si="17"/>
        <v>doc-1365:1</v>
      </c>
      <c r="C1113" t="s">
        <v>5751</v>
      </c>
      <c r="D1113">
        <v>1</v>
      </c>
      <c r="E1113" t="s">
        <v>1856</v>
      </c>
    </row>
    <row r="1114" spans="2:5">
      <c r="B1114" s="65" t="str">
        <f t="shared" si="17"/>
        <v>doc-1365:2</v>
      </c>
      <c r="C1114" t="s">
        <v>5751</v>
      </c>
      <c r="D1114">
        <v>2</v>
      </c>
      <c r="E1114" t="s">
        <v>1813</v>
      </c>
    </row>
    <row r="1115" spans="2:5">
      <c r="B1115" s="65" t="str">
        <f t="shared" si="17"/>
        <v>doc-1365:3</v>
      </c>
      <c r="C1115" t="s">
        <v>5751</v>
      </c>
      <c r="D1115">
        <v>3</v>
      </c>
      <c r="E1115" t="s">
        <v>1968</v>
      </c>
    </row>
    <row r="1116" spans="2:5">
      <c r="B1116" s="65" t="str">
        <f t="shared" si="17"/>
        <v>doc-1365:4</v>
      </c>
      <c r="C1116" t="s">
        <v>5751</v>
      </c>
      <c r="D1116">
        <v>4</v>
      </c>
      <c r="E1116" t="s">
        <v>1911</v>
      </c>
    </row>
    <row r="1117" spans="2:5">
      <c r="B1117" s="65" t="str">
        <f t="shared" si="17"/>
        <v>doc-1365:5</v>
      </c>
      <c r="C1117" t="s">
        <v>5751</v>
      </c>
      <c r="D1117">
        <v>5</v>
      </c>
      <c r="E1117" t="s">
        <v>2023</v>
      </c>
    </row>
    <row r="1118" spans="2:5">
      <c r="B1118" s="65" t="str">
        <f t="shared" si="17"/>
        <v>doc-1365:6</v>
      </c>
      <c r="C1118" t="s">
        <v>5751</v>
      </c>
      <c r="D1118">
        <v>6</v>
      </c>
      <c r="E1118" t="s">
        <v>1768</v>
      </c>
    </row>
    <row r="1119" spans="2:5">
      <c r="B1119" s="65" t="str">
        <f t="shared" si="17"/>
        <v>doc-1365:7</v>
      </c>
      <c r="C1119" t="s">
        <v>5751</v>
      </c>
      <c r="D1119">
        <v>7</v>
      </c>
      <c r="E1119" t="s">
        <v>1765</v>
      </c>
    </row>
    <row r="1120" spans="2:5">
      <c r="B1120" s="65" t="str">
        <f t="shared" si="17"/>
        <v>doc-1365:8</v>
      </c>
      <c r="C1120" t="s">
        <v>5751</v>
      </c>
      <c r="D1120">
        <v>8</v>
      </c>
      <c r="E1120" t="s">
        <v>296</v>
      </c>
    </row>
    <row r="1121" spans="2:5">
      <c r="B1121" s="65" t="str">
        <f t="shared" si="17"/>
        <v>doc-1365:9</v>
      </c>
      <c r="C1121" t="s">
        <v>5751</v>
      </c>
      <c r="D1121">
        <v>9</v>
      </c>
      <c r="E1121" t="s">
        <v>2143</v>
      </c>
    </row>
    <row r="1122" spans="2:5">
      <c r="B1122" s="65" t="str">
        <f t="shared" si="17"/>
        <v>doc-1367:1</v>
      </c>
      <c r="C1122" t="s">
        <v>5757</v>
      </c>
      <c r="D1122">
        <v>1</v>
      </c>
      <c r="E1122" t="s">
        <v>254</v>
      </c>
    </row>
    <row r="1123" spans="2:5">
      <c r="B1123" s="65" t="str">
        <f t="shared" si="17"/>
        <v>doc-1367:2</v>
      </c>
      <c r="C1123" t="s">
        <v>5757</v>
      </c>
      <c r="D1123">
        <v>2</v>
      </c>
      <c r="E1123" t="s">
        <v>299</v>
      </c>
    </row>
    <row r="1124" spans="2:5">
      <c r="B1124" s="65" t="str">
        <f t="shared" si="17"/>
        <v>doc-1367:3</v>
      </c>
      <c r="C1124" t="s">
        <v>5757</v>
      </c>
      <c r="D1124">
        <v>3</v>
      </c>
      <c r="E1124" t="s">
        <v>1286</v>
      </c>
    </row>
    <row r="1125" spans="2:5">
      <c r="B1125" s="65" t="str">
        <f t="shared" si="17"/>
        <v>doc-1367:4</v>
      </c>
      <c r="C1125" t="s">
        <v>5757</v>
      </c>
      <c r="D1125">
        <v>4</v>
      </c>
      <c r="E1125" t="s">
        <v>2952</v>
      </c>
    </row>
    <row r="1126" spans="2:5">
      <c r="B1126" s="65" t="str">
        <f t="shared" si="17"/>
        <v>doc-1367:5</v>
      </c>
      <c r="C1126" t="s">
        <v>5757</v>
      </c>
      <c r="D1126">
        <v>5</v>
      </c>
      <c r="E1126" t="s">
        <v>2926</v>
      </c>
    </row>
    <row r="1127" spans="2:5">
      <c r="B1127" s="65" t="str">
        <f t="shared" si="17"/>
        <v>doc-1367:6</v>
      </c>
      <c r="C1127" t="s">
        <v>5757</v>
      </c>
      <c r="D1127">
        <v>6</v>
      </c>
      <c r="E1127" t="s">
        <v>2930</v>
      </c>
    </row>
    <row r="1128" spans="2:5">
      <c r="B1128" s="65" t="str">
        <f t="shared" si="17"/>
        <v>doc-1367:7</v>
      </c>
      <c r="C1128" t="s">
        <v>5757</v>
      </c>
      <c r="D1128">
        <v>7</v>
      </c>
      <c r="E1128" t="s">
        <v>2947</v>
      </c>
    </row>
    <row r="1129" spans="2:5">
      <c r="B1129" s="65" t="str">
        <f t="shared" si="17"/>
        <v>doc-1367:8</v>
      </c>
      <c r="C1129" t="s">
        <v>5757</v>
      </c>
      <c r="D1129">
        <v>8</v>
      </c>
      <c r="E1129" t="s">
        <v>1114</v>
      </c>
    </row>
    <row r="1130" spans="2:5">
      <c r="B1130" s="65" t="str">
        <f t="shared" si="17"/>
        <v>doc-1368:1</v>
      </c>
      <c r="C1130" t="s">
        <v>5763</v>
      </c>
      <c r="D1130">
        <v>1</v>
      </c>
      <c r="E1130" t="s">
        <v>2467</v>
      </c>
    </row>
    <row r="1131" spans="2:5">
      <c r="B1131" s="65" t="str">
        <f t="shared" si="17"/>
        <v>doc-1368:2</v>
      </c>
      <c r="C1131" t="s">
        <v>5763</v>
      </c>
      <c r="D1131">
        <v>2</v>
      </c>
      <c r="E1131" t="s">
        <v>2501</v>
      </c>
    </row>
    <row r="1132" spans="2:5">
      <c r="B1132" s="65" t="str">
        <f t="shared" si="17"/>
        <v>doc-1368:3</v>
      </c>
      <c r="C1132" t="s">
        <v>5763</v>
      </c>
      <c r="D1132">
        <v>3</v>
      </c>
      <c r="E1132" t="s">
        <v>2422</v>
      </c>
    </row>
    <row r="1133" spans="2:5">
      <c r="B1133" s="65" t="str">
        <f t="shared" si="17"/>
        <v>doc-1368:4</v>
      </c>
      <c r="C1133" t="s">
        <v>5763</v>
      </c>
      <c r="D1133">
        <v>4</v>
      </c>
      <c r="E1133" t="s">
        <v>1902</v>
      </c>
    </row>
    <row r="1134" spans="2:5">
      <c r="B1134" s="65" t="str">
        <f t="shared" si="17"/>
        <v>doc-1368:5</v>
      </c>
      <c r="C1134" t="s">
        <v>5763</v>
      </c>
      <c r="D1134">
        <v>5</v>
      </c>
      <c r="E1134" t="s">
        <v>1856</v>
      </c>
    </row>
    <row r="1135" spans="2:5">
      <c r="B1135" s="65" t="str">
        <f t="shared" si="17"/>
        <v>doc-1368:6</v>
      </c>
      <c r="C1135" t="s">
        <v>5763</v>
      </c>
      <c r="D1135">
        <v>6</v>
      </c>
      <c r="E1135" t="s">
        <v>1127</v>
      </c>
    </row>
    <row r="1136" spans="2:5">
      <c r="B1136" s="65" t="str">
        <f t="shared" si="17"/>
        <v>doc-1368:7</v>
      </c>
      <c r="C1136" t="s">
        <v>5763</v>
      </c>
      <c r="D1136">
        <v>7</v>
      </c>
      <c r="E1136" t="s">
        <v>1763</v>
      </c>
    </row>
    <row r="1137" spans="2:5">
      <c r="B1137" s="65" t="str">
        <f t="shared" si="17"/>
        <v>doc-1369:1</v>
      </c>
      <c r="C1137" t="s">
        <v>5769</v>
      </c>
      <c r="D1137">
        <v>1</v>
      </c>
      <c r="E1137" t="s">
        <v>3145</v>
      </c>
    </row>
    <row r="1138" spans="2:5">
      <c r="B1138" s="65" t="str">
        <f t="shared" si="17"/>
        <v>doc-1369:2</v>
      </c>
      <c r="C1138" t="s">
        <v>5769</v>
      </c>
      <c r="D1138">
        <v>2</v>
      </c>
      <c r="E1138" t="s">
        <v>254</v>
      </c>
    </row>
    <row r="1139" spans="2:5">
      <c r="B1139" s="65" t="str">
        <f t="shared" si="17"/>
        <v>doc-1370:1</v>
      </c>
      <c r="C1139" t="s">
        <v>5775</v>
      </c>
      <c r="D1139">
        <v>1</v>
      </c>
      <c r="E1139" t="s">
        <v>2089</v>
      </c>
    </row>
    <row r="1140" spans="2:5">
      <c r="B1140" s="65" t="str">
        <f t="shared" si="17"/>
        <v>doc-1370:2</v>
      </c>
      <c r="C1140" t="s">
        <v>5775</v>
      </c>
      <c r="D1140">
        <v>2</v>
      </c>
      <c r="E1140" t="s">
        <v>2087</v>
      </c>
    </row>
    <row r="1141" spans="2:5">
      <c r="B1141" s="65" t="str">
        <f t="shared" si="17"/>
        <v>doc-1370:3</v>
      </c>
      <c r="C1141" t="s">
        <v>5775</v>
      </c>
      <c r="D1141">
        <v>3</v>
      </c>
      <c r="E1141" t="s">
        <v>1833</v>
      </c>
    </row>
    <row r="1142" spans="2:5">
      <c r="B1142" s="65" t="str">
        <f t="shared" si="17"/>
        <v>doc-1371:1</v>
      </c>
      <c r="C1142" t="s">
        <v>9725</v>
      </c>
      <c r="D1142">
        <v>1</v>
      </c>
      <c r="E1142" t="s">
        <v>2137</v>
      </c>
    </row>
    <row r="1143" spans="2:5">
      <c r="B1143" s="65" t="str">
        <f t="shared" si="17"/>
        <v>doc-1372:1</v>
      </c>
      <c r="C1143" t="s">
        <v>9726</v>
      </c>
      <c r="D1143">
        <v>1</v>
      </c>
      <c r="E1143" t="s">
        <v>3145</v>
      </c>
    </row>
    <row r="1144" spans="2:5">
      <c r="B1144" s="65" t="str">
        <f t="shared" si="17"/>
        <v>doc-1372:2</v>
      </c>
      <c r="C1144" t="s">
        <v>9726</v>
      </c>
      <c r="D1144">
        <v>2</v>
      </c>
      <c r="E1144" t="s">
        <v>254</v>
      </c>
    </row>
    <row r="1145" spans="2:5">
      <c r="B1145" s="65" t="str">
        <f t="shared" si="17"/>
        <v>doc-1372:3</v>
      </c>
      <c r="C1145" t="s">
        <v>9726</v>
      </c>
      <c r="D1145">
        <v>3</v>
      </c>
      <c r="E1145" t="s">
        <v>1286</v>
      </c>
    </row>
    <row r="1146" spans="2:5">
      <c r="B1146" s="65" t="str">
        <f t="shared" si="17"/>
        <v>doc-1372:4</v>
      </c>
      <c r="C1146" t="s">
        <v>9726</v>
      </c>
      <c r="D1146">
        <v>4</v>
      </c>
      <c r="E1146" t="s">
        <v>2926</v>
      </c>
    </row>
    <row r="1147" spans="2:5">
      <c r="B1147" s="65" t="str">
        <f t="shared" si="17"/>
        <v>doc-1372:5</v>
      </c>
      <c r="C1147" t="s">
        <v>9726</v>
      </c>
      <c r="D1147">
        <v>5</v>
      </c>
      <c r="E1147" t="s">
        <v>73</v>
      </c>
    </row>
    <row r="1148" spans="2:5">
      <c r="B1148" s="65" t="str">
        <f t="shared" si="17"/>
        <v>doc-1373:1</v>
      </c>
      <c r="C1148" t="s">
        <v>9727</v>
      </c>
      <c r="D1148">
        <v>1</v>
      </c>
      <c r="E1148" t="s">
        <v>1315</v>
      </c>
    </row>
    <row r="1149" spans="2:5">
      <c r="B1149" s="65" t="str">
        <f t="shared" si="17"/>
        <v>doc-1373:2</v>
      </c>
      <c r="C1149" t="s">
        <v>9727</v>
      </c>
      <c r="D1149">
        <v>2</v>
      </c>
      <c r="E1149" t="s">
        <v>254</v>
      </c>
    </row>
    <row r="1150" spans="2:5">
      <c r="B1150" s="65" t="str">
        <f t="shared" si="17"/>
        <v>doc-1373:3</v>
      </c>
      <c r="C1150" t="s">
        <v>9727</v>
      </c>
      <c r="D1150">
        <v>3</v>
      </c>
      <c r="E1150" t="s">
        <v>1299</v>
      </c>
    </row>
    <row r="1151" spans="2:5">
      <c r="B1151" s="65" t="str">
        <f t="shared" si="17"/>
        <v>doc-1374:1</v>
      </c>
      <c r="C1151" t="s">
        <v>5781</v>
      </c>
      <c r="D1151">
        <v>1</v>
      </c>
      <c r="E1151" t="s">
        <v>2576</v>
      </c>
    </row>
    <row r="1152" spans="2:5">
      <c r="B1152" s="65" t="str">
        <f t="shared" si="17"/>
        <v>doc-1374:2</v>
      </c>
      <c r="C1152" t="s">
        <v>5781</v>
      </c>
      <c r="D1152">
        <v>2</v>
      </c>
      <c r="E1152" t="s">
        <v>2581</v>
      </c>
    </row>
    <row r="1153" spans="2:5">
      <c r="B1153" s="65" t="str">
        <f t="shared" si="17"/>
        <v>doc-1374:3</v>
      </c>
      <c r="C1153" t="s">
        <v>5781</v>
      </c>
      <c r="D1153">
        <v>3</v>
      </c>
      <c r="E1153" t="s">
        <v>2578</v>
      </c>
    </row>
    <row r="1154" spans="2:5">
      <c r="B1154" s="65" t="str">
        <f t="shared" si="17"/>
        <v>doc-1374:4</v>
      </c>
      <c r="C1154" t="s">
        <v>5781</v>
      </c>
      <c r="D1154">
        <v>4</v>
      </c>
      <c r="E1154" t="s">
        <v>3207</v>
      </c>
    </row>
    <row r="1155" spans="2:5">
      <c r="B1155" s="65" t="str">
        <f t="shared" si="17"/>
        <v>doc-1374:5</v>
      </c>
      <c r="C1155" t="s">
        <v>5781</v>
      </c>
      <c r="D1155">
        <v>5</v>
      </c>
      <c r="E1155" t="s">
        <v>1830</v>
      </c>
    </row>
    <row r="1156" spans="2:5">
      <c r="B1156" s="65" t="str">
        <f t="shared" ref="B1156:B1219" si="18">$C1156&amp;":"&amp;$D1156</f>
        <v>doc-1375:1</v>
      </c>
      <c r="C1156" t="s">
        <v>5787</v>
      </c>
      <c r="D1156">
        <v>1</v>
      </c>
      <c r="E1156" t="s">
        <v>2729</v>
      </c>
    </row>
    <row r="1157" spans="2:5">
      <c r="B1157" s="65" t="str">
        <f t="shared" si="18"/>
        <v>doc-1375:2</v>
      </c>
      <c r="C1157" t="s">
        <v>5787</v>
      </c>
      <c r="D1157">
        <v>2</v>
      </c>
      <c r="E1157" t="s">
        <v>1699</v>
      </c>
    </row>
    <row r="1158" spans="2:5">
      <c r="B1158" s="65" t="str">
        <f t="shared" si="18"/>
        <v>doc-1375:3</v>
      </c>
      <c r="C1158" t="s">
        <v>5787</v>
      </c>
      <c r="D1158">
        <v>3</v>
      </c>
      <c r="E1158" t="s">
        <v>2710</v>
      </c>
    </row>
    <row r="1159" spans="2:5">
      <c r="B1159" s="65" t="str">
        <f t="shared" si="18"/>
        <v>doc-1375:4</v>
      </c>
      <c r="C1159" t="s">
        <v>5787</v>
      </c>
      <c r="D1159">
        <v>4</v>
      </c>
      <c r="E1159" t="s">
        <v>3265</v>
      </c>
    </row>
    <row r="1160" spans="2:5">
      <c r="B1160" s="65" t="str">
        <f t="shared" si="18"/>
        <v>doc-1375:5</v>
      </c>
      <c r="C1160" t="s">
        <v>5787</v>
      </c>
      <c r="D1160">
        <v>5</v>
      </c>
      <c r="E1160" t="s">
        <v>2622</v>
      </c>
    </row>
    <row r="1161" spans="2:5">
      <c r="B1161" s="65" t="str">
        <f t="shared" si="18"/>
        <v>doc-1375:6</v>
      </c>
      <c r="C1161" t="s">
        <v>5787</v>
      </c>
      <c r="D1161">
        <v>6</v>
      </c>
      <c r="E1161" t="s">
        <v>2667</v>
      </c>
    </row>
    <row r="1162" spans="2:5">
      <c r="B1162" s="65" t="str">
        <f t="shared" si="18"/>
        <v>doc-1376:1</v>
      </c>
      <c r="C1162" t="s">
        <v>5793</v>
      </c>
      <c r="D1162">
        <v>1</v>
      </c>
      <c r="E1162" t="s">
        <v>2967</v>
      </c>
    </row>
    <row r="1163" spans="2:5">
      <c r="B1163" s="65" t="str">
        <f t="shared" si="18"/>
        <v>doc-1376:2</v>
      </c>
      <c r="C1163" t="s">
        <v>5793</v>
      </c>
      <c r="D1163">
        <v>2</v>
      </c>
      <c r="E1163" t="s">
        <v>2952</v>
      </c>
    </row>
    <row r="1164" spans="2:5">
      <c r="B1164" s="65" t="str">
        <f t="shared" si="18"/>
        <v>doc-1376:3</v>
      </c>
      <c r="C1164" t="s">
        <v>5793</v>
      </c>
      <c r="D1164">
        <v>3</v>
      </c>
      <c r="E1164" t="s">
        <v>299</v>
      </c>
    </row>
    <row r="1165" spans="2:5">
      <c r="B1165" s="65" t="str">
        <f t="shared" si="18"/>
        <v>doc-1377a:1</v>
      </c>
      <c r="C1165" t="s">
        <v>9728</v>
      </c>
      <c r="D1165">
        <v>1</v>
      </c>
      <c r="E1165" t="s">
        <v>2698</v>
      </c>
    </row>
    <row r="1166" spans="2:5">
      <c r="B1166" s="65" t="str">
        <f t="shared" si="18"/>
        <v>doc-1377a:2</v>
      </c>
      <c r="C1166" t="s">
        <v>9728</v>
      </c>
      <c r="D1166">
        <v>2</v>
      </c>
      <c r="E1166" t="s">
        <v>3254</v>
      </c>
    </row>
    <row r="1167" spans="2:5">
      <c r="B1167" s="65" t="str">
        <f t="shared" si="18"/>
        <v>doc-1377a:3</v>
      </c>
      <c r="C1167" t="s">
        <v>9728</v>
      </c>
      <c r="D1167">
        <v>3</v>
      </c>
      <c r="E1167" t="s">
        <v>2095</v>
      </c>
    </row>
    <row r="1168" spans="2:5">
      <c r="B1168" s="65" t="str">
        <f t="shared" si="18"/>
        <v>doc-1377a:4</v>
      </c>
      <c r="C1168" t="s">
        <v>9728</v>
      </c>
      <c r="D1168">
        <v>4</v>
      </c>
      <c r="E1168" t="s">
        <v>1663</v>
      </c>
    </row>
    <row r="1169" spans="2:5">
      <c r="B1169" s="65" t="str">
        <f t="shared" si="18"/>
        <v>doc-1377a:5</v>
      </c>
      <c r="C1169" t="s">
        <v>9728</v>
      </c>
      <c r="D1169">
        <v>5</v>
      </c>
      <c r="E1169" t="s">
        <v>2664</v>
      </c>
    </row>
    <row r="1170" spans="2:5">
      <c r="B1170" s="65" t="str">
        <f t="shared" si="18"/>
        <v>doc-1378:1</v>
      </c>
      <c r="C1170" t="s">
        <v>5800</v>
      </c>
      <c r="D1170">
        <v>1</v>
      </c>
      <c r="E1170" t="s">
        <v>2179</v>
      </c>
    </row>
    <row r="1171" spans="2:5">
      <c r="B1171" s="65" t="str">
        <f t="shared" si="18"/>
        <v>doc-1378:2</v>
      </c>
      <c r="C1171" t="s">
        <v>5800</v>
      </c>
      <c r="D1171">
        <v>2</v>
      </c>
      <c r="E1171" t="s">
        <v>2364</v>
      </c>
    </row>
    <row r="1172" spans="2:5">
      <c r="B1172" s="65" t="str">
        <f t="shared" si="18"/>
        <v>doc-1378:3</v>
      </c>
      <c r="C1172" t="s">
        <v>5800</v>
      </c>
      <c r="D1172">
        <v>3</v>
      </c>
      <c r="E1172" t="s">
        <v>2121</v>
      </c>
    </row>
    <row r="1173" spans="2:5">
      <c r="B1173" s="65" t="str">
        <f t="shared" si="18"/>
        <v>doc-1381a:1</v>
      </c>
      <c r="C1173" t="s">
        <v>5807</v>
      </c>
      <c r="D1173">
        <v>1</v>
      </c>
      <c r="E1173" t="s">
        <v>2179</v>
      </c>
    </row>
    <row r="1174" spans="2:5">
      <c r="B1174" s="65" t="str">
        <f t="shared" si="18"/>
        <v>doc-1381a:2</v>
      </c>
      <c r="C1174" t="s">
        <v>5807</v>
      </c>
      <c r="D1174">
        <v>2</v>
      </c>
      <c r="E1174" t="s">
        <v>2190</v>
      </c>
    </row>
    <row r="1175" spans="2:5">
      <c r="B1175" s="65" t="str">
        <f t="shared" si="18"/>
        <v>doc-1381a:3</v>
      </c>
      <c r="C1175" t="s">
        <v>5807</v>
      </c>
      <c r="D1175">
        <v>3</v>
      </c>
      <c r="E1175" t="s">
        <v>2121</v>
      </c>
    </row>
    <row r="1176" spans="2:5">
      <c r="B1176" s="65" t="str">
        <f t="shared" si="18"/>
        <v>doc-1382a:1</v>
      </c>
      <c r="C1176" t="s">
        <v>5813</v>
      </c>
      <c r="D1176">
        <v>1</v>
      </c>
      <c r="E1176" t="s">
        <v>2729</v>
      </c>
    </row>
    <row r="1177" spans="2:5">
      <c r="B1177" s="65" t="str">
        <f t="shared" si="18"/>
        <v>doc-1382a:2</v>
      </c>
      <c r="C1177" t="s">
        <v>5813</v>
      </c>
      <c r="D1177">
        <v>2</v>
      </c>
      <c r="E1177" t="s">
        <v>3121</v>
      </c>
    </row>
    <row r="1178" spans="2:5">
      <c r="B1178" s="65" t="str">
        <f t="shared" si="18"/>
        <v>doc-1382a:3</v>
      </c>
      <c r="C1178" t="s">
        <v>5813</v>
      </c>
      <c r="D1178">
        <v>3</v>
      </c>
      <c r="E1178" t="s">
        <v>2667</v>
      </c>
    </row>
    <row r="1179" spans="2:5">
      <c r="B1179" s="65" t="str">
        <f t="shared" si="18"/>
        <v>doc-1382a:4</v>
      </c>
      <c r="C1179" t="s">
        <v>5813</v>
      </c>
      <c r="D1179">
        <v>4</v>
      </c>
      <c r="E1179" t="s">
        <v>3124</v>
      </c>
    </row>
    <row r="1180" spans="2:5">
      <c r="B1180" s="65" t="str">
        <f t="shared" si="18"/>
        <v>doc-1382a:5</v>
      </c>
      <c r="C1180" t="s">
        <v>5813</v>
      </c>
      <c r="D1180">
        <v>5</v>
      </c>
      <c r="E1180" t="s">
        <v>3007</v>
      </c>
    </row>
    <row r="1181" spans="2:5">
      <c r="B1181" s="65" t="str">
        <f t="shared" si="18"/>
        <v>doc-1382a:6</v>
      </c>
      <c r="C1181" t="s">
        <v>5813</v>
      </c>
      <c r="D1181">
        <v>6</v>
      </c>
      <c r="E1181" t="s">
        <v>1911</v>
      </c>
    </row>
    <row r="1182" spans="2:5">
      <c r="B1182" s="65" t="str">
        <f t="shared" si="18"/>
        <v>doc-1383:1</v>
      </c>
      <c r="C1182" t="s">
        <v>5819</v>
      </c>
      <c r="D1182">
        <v>1</v>
      </c>
      <c r="E1182" t="s">
        <v>2717</v>
      </c>
    </row>
    <row r="1183" spans="2:5">
      <c r="B1183" s="65" t="str">
        <f t="shared" si="18"/>
        <v>doc-1383:2</v>
      </c>
      <c r="C1183" t="s">
        <v>5819</v>
      </c>
      <c r="D1183">
        <v>2</v>
      </c>
      <c r="E1183" t="s">
        <v>1699</v>
      </c>
    </row>
    <row r="1184" spans="2:5">
      <c r="B1184" s="65" t="str">
        <f t="shared" si="18"/>
        <v>doc-1383:3</v>
      </c>
      <c r="C1184" t="s">
        <v>5819</v>
      </c>
      <c r="D1184">
        <v>3</v>
      </c>
      <c r="E1184" t="s">
        <v>2667</v>
      </c>
    </row>
    <row r="1185" spans="2:5">
      <c r="B1185" s="65" t="str">
        <f t="shared" si="18"/>
        <v>doc-1384a:1</v>
      </c>
      <c r="C1185" t="s">
        <v>5825</v>
      </c>
      <c r="D1185">
        <v>1</v>
      </c>
      <c r="E1185" t="s">
        <v>2027</v>
      </c>
    </row>
    <row r="1186" spans="2:5">
      <c r="B1186" s="65" t="str">
        <f t="shared" si="18"/>
        <v>doc-1384a:2</v>
      </c>
      <c r="C1186" t="s">
        <v>5825</v>
      </c>
      <c r="D1186">
        <v>2</v>
      </c>
      <c r="E1186" t="s">
        <v>1856</v>
      </c>
    </row>
    <row r="1187" spans="2:5">
      <c r="B1187" s="65" t="str">
        <f t="shared" si="18"/>
        <v>doc-1384a:3</v>
      </c>
      <c r="C1187" t="s">
        <v>5825</v>
      </c>
      <c r="D1187">
        <v>3</v>
      </c>
      <c r="E1187" t="s">
        <v>1813</v>
      </c>
    </row>
    <row r="1188" spans="2:5">
      <c r="B1188" s="65" t="str">
        <f t="shared" si="18"/>
        <v>doc-1384a:4</v>
      </c>
      <c r="C1188" t="s">
        <v>5825</v>
      </c>
      <c r="D1188">
        <v>4</v>
      </c>
      <c r="E1188" t="s">
        <v>296</v>
      </c>
    </row>
    <row r="1189" spans="2:5">
      <c r="B1189" s="65" t="str">
        <f t="shared" si="18"/>
        <v>doc-1384c:1</v>
      </c>
      <c r="C1189" t="s">
        <v>5831</v>
      </c>
      <c r="D1189">
        <v>1</v>
      </c>
      <c r="E1189" t="s">
        <v>2027</v>
      </c>
    </row>
    <row r="1190" spans="2:5">
      <c r="B1190" s="65" t="str">
        <f t="shared" si="18"/>
        <v>doc-1384c:2</v>
      </c>
      <c r="C1190" t="s">
        <v>5831</v>
      </c>
      <c r="D1190">
        <v>2</v>
      </c>
      <c r="E1190" t="s">
        <v>1856</v>
      </c>
    </row>
    <row r="1191" spans="2:5">
      <c r="B1191" s="65" t="str">
        <f t="shared" si="18"/>
        <v>doc-1384c:3</v>
      </c>
      <c r="C1191" t="s">
        <v>5831</v>
      </c>
      <c r="D1191">
        <v>3</v>
      </c>
      <c r="E1191" t="s">
        <v>296</v>
      </c>
    </row>
    <row r="1192" spans="2:5">
      <c r="B1192" s="65" t="str">
        <f t="shared" si="18"/>
        <v>doc-1386:1</v>
      </c>
      <c r="C1192" t="s">
        <v>5832</v>
      </c>
      <c r="D1192">
        <v>1</v>
      </c>
      <c r="E1192" t="s">
        <v>2328</v>
      </c>
    </row>
    <row r="1193" spans="2:5">
      <c r="B1193" s="65" t="str">
        <f t="shared" si="18"/>
        <v>doc-1386:2</v>
      </c>
      <c r="C1193" t="s">
        <v>5832</v>
      </c>
      <c r="D1193">
        <v>2</v>
      </c>
      <c r="E1193" t="s">
        <v>3033</v>
      </c>
    </row>
    <row r="1194" spans="2:5">
      <c r="B1194" s="65" t="str">
        <f t="shared" si="18"/>
        <v>doc-1386:3</v>
      </c>
      <c r="C1194" t="s">
        <v>5832</v>
      </c>
      <c r="D1194">
        <v>3</v>
      </c>
      <c r="E1194" t="s">
        <v>2310</v>
      </c>
    </row>
    <row r="1195" spans="2:5">
      <c r="B1195" s="65" t="str">
        <f t="shared" si="18"/>
        <v>doc-1386:4</v>
      </c>
      <c r="C1195" t="s">
        <v>5832</v>
      </c>
      <c r="D1195">
        <v>4</v>
      </c>
      <c r="E1195" t="s">
        <v>3234</v>
      </c>
    </row>
    <row r="1196" spans="2:5">
      <c r="B1196" s="65" t="str">
        <f t="shared" si="18"/>
        <v>doc-1386:5</v>
      </c>
      <c r="C1196" t="s">
        <v>5832</v>
      </c>
      <c r="D1196">
        <v>5</v>
      </c>
      <c r="E1196" t="s">
        <v>2305</v>
      </c>
    </row>
    <row r="1197" spans="2:5">
      <c r="B1197" s="65" t="str">
        <f t="shared" si="18"/>
        <v>doc-1386:6</v>
      </c>
      <c r="C1197" t="s">
        <v>5832</v>
      </c>
      <c r="D1197">
        <v>6</v>
      </c>
      <c r="E1197" t="s">
        <v>3215</v>
      </c>
    </row>
    <row r="1198" spans="2:5">
      <c r="B1198" s="65" t="str">
        <f t="shared" si="18"/>
        <v>doc-1386:7</v>
      </c>
      <c r="C1198" t="s">
        <v>5832</v>
      </c>
      <c r="D1198">
        <v>7</v>
      </c>
      <c r="E1198" t="s">
        <v>281</v>
      </c>
    </row>
    <row r="1199" spans="2:5">
      <c r="B1199" s="65" t="str">
        <f t="shared" si="18"/>
        <v>doc-1388:1</v>
      </c>
      <c r="C1199" t="s">
        <v>9729</v>
      </c>
      <c r="D1199">
        <v>1</v>
      </c>
      <c r="E1199" t="s">
        <v>2422</v>
      </c>
    </row>
    <row r="1200" spans="2:5">
      <c r="B1200" s="65" t="str">
        <f t="shared" si="18"/>
        <v>doc-1388:2</v>
      </c>
      <c r="C1200" t="s">
        <v>9729</v>
      </c>
      <c r="D1200">
        <v>2</v>
      </c>
      <c r="E1200" t="s">
        <v>2428</v>
      </c>
    </row>
    <row r="1201" spans="2:5">
      <c r="B1201" s="65" t="str">
        <f t="shared" si="18"/>
        <v>doc-1388:3</v>
      </c>
      <c r="C1201" t="s">
        <v>9729</v>
      </c>
      <c r="D1201">
        <v>3</v>
      </c>
      <c r="E1201" t="s">
        <v>2485</v>
      </c>
    </row>
    <row r="1202" spans="2:5">
      <c r="B1202" s="65" t="str">
        <f t="shared" si="18"/>
        <v>doc-1388:4</v>
      </c>
      <c r="C1202" t="s">
        <v>9729</v>
      </c>
      <c r="D1202">
        <v>4</v>
      </c>
      <c r="E1202" t="s">
        <v>2497</v>
      </c>
    </row>
    <row r="1203" spans="2:5">
      <c r="B1203" s="65" t="str">
        <f t="shared" si="18"/>
        <v>doc-1389b:1</v>
      </c>
      <c r="C1203" t="s">
        <v>9730</v>
      </c>
      <c r="D1203">
        <v>1</v>
      </c>
      <c r="E1203" t="s">
        <v>2336</v>
      </c>
    </row>
    <row r="1204" spans="2:5">
      <c r="B1204" s="65" t="str">
        <f t="shared" si="18"/>
        <v>doc-1389b:2</v>
      </c>
      <c r="C1204" t="s">
        <v>9730</v>
      </c>
      <c r="D1204">
        <v>2</v>
      </c>
      <c r="E1204" t="s">
        <v>1395</v>
      </c>
    </row>
    <row r="1205" spans="2:5">
      <c r="B1205" s="65" t="str">
        <f t="shared" si="18"/>
        <v>doc-1389b:3</v>
      </c>
      <c r="C1205" t="s">
        <v>9730</v>
      </c>
      <c r="D1205">
        <v>3</v>
      </c>
      <c r="E1205" t="s">
        <v>1804</v>
      </c>
    </row>
    <row r="1206" spans="2:5">
      <c r="B1206" s="65" t="str">
        <f t="shared" si="18"/>
        <v>doc-1389b:4</v>
      </c>
      <c r="C1206" t="s">
        <v>9730</v>
      </c>
      <c r="D1206">
        <v>4</v>
      </c>
      <c r="E1206" t="s">
        <v>281</v>
      </c>
    </row>
    <row r="1207" spans="2:5">
      <c r="B1207" s="65" t="str">
        <f t="shared" si="18"/>
        <v>doc-1390:1</v>
      </c>
      <c r="C1207" t="s">
        <v>5838</v>
      </c>
      <c r="D1207">
        <v>1</v>
      </c>
      <c r="E1207" t="s">
        <v>2497</v>
      </c>
    </row>
    <row r="1208" spans="2:5">
      <c r="B1208" s="65" t="str">
        <f t="shared" si="18"/>
        <v>doc-1390:2</v>
      </c>
      <c r="C1208" t="s">
        <v>5838</v>
      </c>
      <c r="D1208">
        <v>2</v>
      </c>
      <c r="E1208" t="s">
        <v>2428</v>
      </c>
    </row>
    <row r="1209" spans="2:5">
      <c r="B1209" s="65" t="str">
        <f t="shared" si="18"/>
        <v>doc-1390:3</v>
      </c>
      <c r="C1209" t="s">
        <v>5838</v>
      </c>
      <c r="D1209">
        <v>3</v>
      </c>
      <c r="E1209" t="s">
        <v>2422</v>
      </c>
    </row>
    <row r="1210" spans="2:5">
      <c r="B1210" s="65" t="str">
        <f t="shared" si="18"/>
        <v>doc-1390:4</v>
      </c>
      <c r="C1210" t="s">
        <v>5838</v>
      </c>
      <c r="D1210">
        <v>4</v>
      </c>
      <c r="E1210" t="s">
        <v>1902</v>
      </c>
    </row>
    <row r="1211" spans="2:5">
      <c r="B1211" s="65" t="str">
        <f t="shared" si="18"/>
        <v>doc-1391a:1</v>
      </c>
      <c r="C1211" t="s">
        <v>5638</v>
      </c>
      <c r="D1211">
        <v>1</v>
      </c>
      <c r="E1211" t="s">
        <v>3046</v>
      </c>
    </row>
    <row r="1212" spans="2:5">
      <c r="B1212" s="65" t="str">
        <f t="shared" si="18"/>
        <v>doc-1391a:2</v>
      </c>
      <c r="C1212" t="s">
        <v>5638</v>
      </c>
      <c r="D1212">
        <v>2</v>
      </c>
      <c r="E1212" t="s">
        <v>3056</v>
      </c>
    </row>
    <row r="1213" spans="2:5">
      <c r="B1213" s="65" t="str">
        <f t="shared" si="18"/>
        <v>doc-1392b:1</v>
      </c>
      <c r="C1213" t="s">
        <v>5848</v>
      </c>
      <c r="D1213">
        <v>1</v>
      </c>
      <c r="E1213" t="s">
        <v>2112</v>
      </c>
    </row>
    <row r="1214" spans="2:5">
      <c r="B1214" s="65" t="str">
        <f t="shared" si="18"/>
        <v>doc-1392b:2</v>
      </c>
      <c r="C1214" t="s">
        <v>5848</v>
      </c>
      <c r="D1214">
        <v>2</v>
      </c>
      <c r="E1214" t="s">
        <v>2061</v>
      </c>
    </row>
    <row r="1215" spans="2:5">
      <c r="B1215" s="65" t="str">
        <f t="shared" si="18"/>
        <v>doc-1392b:3</v>
      </c>
      <c r="C1215" t="s">
        <v>5848</v>
      </c>
      <c r="D1215">
        <v>3</v>
      </c>
      <c r="E1215" t="s">
        <v>2124</v>
      </c>
    </row>
    <row r="1216" spans="2:5">
      <c r="B1216" s="65" t="str">
        <f t="shared" si="18"/>
        <v>doc-1392b:4</v>
      </c>
      <c r="C1216" t="s">
        <v>5848</v>
      </c>
      <c r="D1216">
        <v>4</v>
      </c>
      <c r="E1216" t="s">
        <v>2117</v>
      </c>
    </row>
    <row r="1217" spans="2:5">
      <c r="B1217" s="65" t="str">
        <f t="shared" si="18"/>
        <v>doc-1393a:1</v>
      </c>
      <c r="C1217" t="s">
        <v>9731</v>
      </c>
      <c r="D1217">
        <v>1</v>
      </c>
      <c r="E1217" t="s">
        <v>73</v>
      </c>
    </row>
    <row r="1218" spans="2:5">
      <c r="B1218" s="65" t="str">
        <f t="shared" si="18"/>
        <v>doc-1393a:2</v>
      </c>
      <c r="C1218" t="s">
        <v>9731</v>
      </c>
      <c r="D1218">
        <v>2</v>
      </c>
      <c r="E1218" t="s">
        <v>299</v>
      </c>
    </row>
    <row r="1219" spans="2:5">
      <c r="B1219" s="65" t="str">
        <f t="shared" si="18"/>
        <v>doc-1393a:3</v>
      </c>
      <c r="C1219" t="s">
        <v>9731</v>
      </c>
      <c r="D1219">
        <v>3</v>
      </c>
      <c r="E1219" t="s">
        <v>2950</v>
      </c>
    </row>
    <row r="1220" spans="2:5">
      <c r="B1220" s="65" t="str">
        <f t="shared" ref="B1220:B1283" si="19">$C1220&amp;":"&amp;$D1220</f>
        <v>doc-1393a:4</v>
      </c>
      <c r="C1220" t="s">
        <v>9731</v>
      </c>
      <c r="D1220">
        <v>4</v>
      </c>
      <c r="E1220" t="s">
        <v>2960</v>
      </c>
    </row>
    <row r="1221" spans="2:5">
      <c r="B1221" s="65" t="str">
        <f t="shared" si="19"/>
        <v>doc-1394:1</v>
      </c>
      <c r="C1221" t="s">
        <v>5854</v>
      </c>
      <c r="D1221">
        <v>1</v>
      </c>
      <c r="E1221" t="s">
        <v>3211</v>
      </c>
    </row>
    <row r="1222" spans="2:5">
      <c r="B1222" s="65" t="str">
        <f t="shared" si="19"/>
        <v>doc-1394:2</v>
      </c>
      <c r="C1222" t="s">
        <v>5854</v>
      </c>
      <c r="D1222">
        <v>2</v>
      </c>
      <c r="E1222" t="s">
        <v>2422</v>
      </c>
    </row>
    <row r="1223" spans="2:5">
      <c r="B1223" s="65" t="str">
        <f t="shared" si="19"/>
        <v>doc-1395a:1</v>
      </c>
      <c r="C1223" t="s">
        <v>5860</v>
      </c>
      <c r="D1223">
        <v>1</v>
      </c>
      <c r="E1223" t="s">
        <v>2438</v>
      </c>
    </row>
    <row r="1224" spans="2:5">
      <c r="B1224" s="65" t="str">
        <f t="shared" si="19"/>
        <v>doc-1395a:2</v>
      </c>
      <c r="C1224" t="s">
        <v>5860</v>
      </c>
      <c r="D1224">
        <v>2</v>
      </c>
      <c r="E1224" t="s">
        <v>2422</v>
      </c>
    </row>
    <row r="1225" spans="2:5">
      <c r="B1225" s="65" t="str">
        <f t="shared" si="19"/>
        <v>doc-1396:1</v>
      </c>
      <c r="C1225" t="s">
        <v>9732</v>
      </c>
      <c r="D1225">
        <v>1</v>
      </c>
      <c r="E1225" t="s">
        <v>2394</v>
      </c>
    </row>
    <row r="1226" spans="2:5">
      <c r="B1226" s="65" t="str">
        <f t="shared" si="19"/>
        <v>doc-1396:2</v>
      </c>
      <c r="C1226" t="s">
        <v>9732</v>
      </c>
      <c r="D1226">
        <v>2</v>
      </c>
      <c r="E1226" t="s">
        <v>2409</v>
      </c>
    </row>
    <row r="1227" spans="2:5">
      <c r="B1227" s="65" t="str">
        <f t="shared" si="19"/>
        <v>doc-1397:1</v>
      </c>
      <c r="C1227" t="s">
        <v>5867</v>
      </c>
      <c r="D1227">
        <v>1</v>
      </c>
      <c r="E1227" t="s">
        <v>2480</v>
      </c>
    </row>
    <row r="1228" spans="2:5">
      <c r="B1228" s="65" t="str">
        <f t="shared" si="19"/>
        <v>doc-1397:2</v>
      </c>
      <c r="C1228" t="s">
        <v>5867</v>
      </c>
      <c r="D1228">
        <v>2</v>
      </c>
      <c r="E1228" t="s">
        <v>2445</v>
      </c>
    </row>
    <row r="1229" spans="2:5">
      <c r="B1229" s="65" t="str">
        <f t="shared" si="19"/>
        <v>doc-1397:3</v>
      </c>
      <c r="C1229" t="s">
        <v>5867</v>
      </c>
      <c r="D1229">
        <v>3</v>
      </c>
      <c r="E1229" t="s">
        <v>2422</v>
      </c>
    </row>
    <row r="1230" spans="2:5">
      <c r="B1230" s="65" t="str">
        <f t="shared" si="19"/>
        <v>doc-1398a:1</v>
      </c>
      <c r="C1230" t="s">
        <v>5873</v>
      </c>
      <c r="D1230">
        <v>1</v>
      </c>
      <c r="E1230" t="s">
        <v>247</v>
      </c>
    </row>
    <row r="1231" spans="2:5">
      <c r="B1231" s="65" t="str">
        <f t="shared" si="19"/>
        <v>doc-1400:1</v>
      </c>
      <c r="C1231" t="s">
        <v>5879</v>
      </c>
      <c r="D1231">
        <v>1</v>
      </c>
      <c r="E1231" t="s">
        <v>73</v>
      </c>
    </row>
    <row r="1232" spans="2:5">
      <c r="B1232" s="65" t="str">
        <f t="shared" si="19"/>
        <v>doc-1400:2</v>
      </c>
      <c r="C1232" t="s">
        <v>5879</v>
      </c>
      <c r="D1232">
        <v>2</v>
      </c>
      <c r="E1232" t="s">
        <v>1065</v>
      </c>
    </row>
    <row r="1233" spans="2:5">
      <c r="B1233" s="65" t="str">
        <f t="shared" si="19"/>
        <v>doc-1401:1</v>
      </c>
      <c r="C1233" t="s">
        <v>5885</v>
      </c>
      <c r="D1233">
        <v>1</v>
      </c>
      <c r="E1233" t="s">
        <v>2095</v>
      </c>
    </row>
    <row r="1234" spans="2:5">
      <c r="B1234" s="65" t="str">
        <f t="shared" si="19"/>
        <v>doc-1403:1</v>
      </c>
      <c r="C1234" t="s">
        <v>5891</v>
      </c>
      <c r="D1234">
        <v>1</v>
      </c>
      <c r="E1234" t="s">
        <v>1902</v>
      </c>
    </row>
    <row r="1235" spans="2:5">
      <c r="B1235" s="65" t="str">
        <f t="shared" si="19"/>
        <v>doc-1403:2</v>
      </c>
      <c r="C1235" t="s">
        <v>5891</v>
      </c>
      <c r="D1235">
        <v>2</v>
      </c>
      <c r="E1235" t="s">
        <v>2574</v>
      </c>
    </row>
    <row r="1236" spans="2:5">
      <c r="B1236" s="65" t="str">
        <f t="shared" si="19"/>
        <v>doc-1403:3</v>
      </c>
      <c r="C1236" t="s">
        <v>5891</v>
      </c>
      <c r="D1236">
        <v>3</v>
      </c>
      <c r="E1236" t="s">
        <v>2422</v>
      </c>
    </row>
    <row r="1237" spans="2:5">
      <c r="B1237" s="65" t="str">
        <f t="shared" si="19"/>
        <v>doc-1403:4</v>
      </c>
      <c r="C1237" t="s">
        <v>5891</v>
      </c>
      <c r="D1237">
        <v>4</v>
      </c>
      <c r="E1237" t="s">
        <v>3167</v>
      </c>
    </row>
    <row r="1238" spans="2:5">
      <c r="B1238" s="65" t="str">
        <f t="shared" si="19"/>
        <v>doc-1403:5</v>
      </c>
      <c r="C1238" t="s">
        <v>5891</v>
      </c>
      <c r="D1238">
        <v>5</v>
      </c>
      <c r="E1238" t="s">
        <v>2795</v>
      </c>
    </row>
    <row r="1239" spans="2:5">
      <c r="B1239" s="65" t="str">
        <f t="shared" si="19"/>
        <v>doc-1404:1</v>
      </c>
      <c r="C1239" t="s">
        <v>9733</v>
      </c>
      <c r="D1239">
        <v>1</v>
      </c>
      <c r="E1239" t="s">
        <v>3157</v>
      </c>
    </row>
    <row r="1240" spans="2:5">
      <c r="B1240" s="65" t="str">
        <f t="shared" si="19"/>
        <v>doc-1404:2</v>
      </c>
      <c r="C1240" t="s">
        <v>9733</v>
      </c>
      <c r="D1240">
        <v>2</v>
      </c>
      <c r="E1240" t="s">
        <v>3007</v>
      </c>
    </row>
    <row r="1241" spans="2:5">
      <c r="B1241" s="65" t="str">
        <f t="shared" si="19"/>
        <v>doc-1404:3</v>
      </c>
      <c r="C1241" t="s">
        <v>9733</v>
      </c>
      <c r="D1241">
        <v>3</v>
      </c>
      <c r="E1241" t="s">
        <v>3251</v>
      </c>
    </row>
    <row r="1242" spans="2:5">
      <c r="B1242" s="65" t="str">
        <f t="shared" si="19"/>
        <v>doc-1406:1</v>
      </c>
      <c r="C1242" t="s">
        <v>9734</v>
      </c>
      <c r="D1242">
        <v>1</v>
      </c>
      <c r="E1242" t="s">
        <v>82</v>
      </c>
    </row>
    <row r="1243" spans="2:5">
      <c r="B1243" s="65" t="str">
        <f t="shared" si="19"/>
        <v>doc-1407:1</v>
      </c>
      <c r="C1243" t="s">
        <v>9735</v>
      </c>
      <c r="D1243">
        <v>1</v>
      </c>
      <c r="E1243" t="s">
        <v>82</v>
      </c>
    </row>
    <row r="1244" spans="2:5">
      <c r="B1244" s="65" t="str">
        <f t="shared" si="19"/>
        <v>doc-1408:1</v>
      </c>
      <c r="C1244" t="s">
        <v>9736</v>
      </c>
      <c r="D1244">
        <v>1</v>
      </c>
      <c r="E1244" t="s">
        <v>82</v>
      </c>
    </row>
    <row r="1245" spans="2:5">
      <c r="B1245" s="65" t="str">
        <f t="shared" si="19"/>
        <v>doc-1408:2</v>
      </c>
      <c r="C1245" t="s">
        <v>9736</v>
      </c>
      <c r="D1245">
        <v>2</v>
      </c>
      <c r="E1245" t="s">
        <v>79</v>
      </c>
    </row>
    <row r="1246" spans="2:5">
      <c r="B1246" s="65" t="str">
        <f t="shared" si="19"/>
        <v>doc-1409:1</v>
      </c>
      <c r="C1246" t="s">
        <v>9737</v>
      </c>
      <c r="D1246">
        <v>1</v>
      </c>
      <c r="E1246" t="s">
        <v>1833</v>
      </c>
    </row>
    <row r="1247" spans="2:5">
      <c r="B1247" s="65" t="str">
        <f t="shared" si="19"/>
        <v>doc-1410:1</v>
      </c>
      <c r="C1247" t="s">
        <v>9738</v>
      </c>
      <c r="D1247">
        <v>1</v>
      </c>
      <c r="E1247" t="s">
        <v>2316</v>
      </c>
    </row>
    <row r="1248" spans="2:5">
      <c r="B1248" s="65" t="str">
        <f t="shared" si="19"/>
        <v>doc-1410:2</v>
      </c>
      <c r="C1248" t="s">
        <v>9738</v>
      </c>
      <c r="D1248">
        <v>2</v>
      </c>
      <c r="E1248" t="s">
        <v>2331</v>
      </c>
    </row>
    <row r="1249" spans="2:5">
      <c r="B1249" s="65" t="str">
        <f t="shared" si="19"/>
        <v>doc-1410:3</v>
      </c>
      <c r="C1249" t="s">
        <v>9738</v>
      </c>
      <c r="D1249">
        <v>3</v>
      </c>
      <c r="E1249" t="s">
        <v>281</v>
      </c>
    </row>
    <row r="1250" spans="2:5">
      <c r="B1250" s="65" t="str">
        <f t="shared" si="19"/>
        <v>doc-1411a:1</v>
      </c>
      <c r="C1250" t="s">
        <v>9739</v>
      </c>
      <c r="D1250">
        <v>1</v>
      </c>
      <c r="E1250" t="s">
        <v>82</v>
      </c>
    </row>
    <row r="1251" spans="2:5">
      <c r="B1251" s="65" t="str">
        <f t="shared" si="19"/>
        <v>doc-1412:1</v>
      </c>
      <c r="C1251" t="s">
        <v>9740</v>
      </c>
      <c r="D1251">
        <v>1</v>
      </c>
      <c r="E1251" t="s">
        <v>82</v>
      </c>
    </row>
    <row r="1252" spans="2:5">
      <c r="B1252" s="65" t="str">
        <f t="shared" si="19"/>
        <v>doc-1414:1</v>
      </c>
      <c r="C1252" t="s">
        <v>9741</v>
      </c>
      <c r="D1252">
        <v>1</v>
      </c>
      <c r="E1252" t="s">
        <v>82</v>
      </c>
    </row>
    <row r="1253" spans="2:5">
      <c r="B1253" s="65" t="str">
        <f t="shared" si="19"/>
        <v>doc-1415:1</v>
      </c>
      <c r="C1253" t="s">
        <v>9742</v>
      </c>
      <c r="D1253">
        <v>1</v>
      </c>
      <c r="E1253" t="s">
        <v>82</v>
      </c>
    </row>
    <row r="1254" spans="2:5">
      <c r="B1254" s="65" t="str">
        <f t="shared" si="19"/>
        <v>doc-1416:1</v>
      </c>
      <c r="C1254" t="s">
        <v>9743</v>
      </c>
      <c r="D1254">
        <v>1</v>
      </c>
      <c r="E1254" t="s">
        <v>2889</v>
      </c>
    </row>
    <row r="1255" spans="2:5">
      <c r="B1255" s="65" t="str">
        <f t="shared" si="19"/>
        <v>doc-1416:2</v>
      </c>
      <c r="C1255" t="s">
        <v>9743</v>
      </c>
      <c r="D1255">
        <v>2</v>
      </c>
      <c r="E1255" t="s">
        <v>2887</v>
      </c>
    </row>
    <row r="1256" spans="2:5">
      <c r="B1256" s="65" t="str">
        <f t="shared" si="19"/>
        <v>doc-1416:3</v>
      </c>
      <c r="C1256" t="s">
        <v>9743</v>
      </c>
      <c r="D1256">
        <v>3</v>
      </c>
      <c r="E1256" t="s">
        <v>2847</v>
      </c>
    </row>
    <row r="1257" spans="2:5">
      <c r="B1257" s="65" t="str">
        <f t="shared" si="19"/>
        <v>doc-1416:4</v>
      </c>
      <c r="C1257" t="s">
        <v>9743</v>
      </c>
      <c r="D1257">
        <v>4</v>
      </c>
      <c r="E1257" t="s">
        <v>2179</v>
      </c>
    </row>
    <row r="1258" spans="2:5">
      <c r="B1258" s="65" t="str">
        <f t="shared" si="19"/>
        <v>doc-1416:5</v>
      </c>
      <c r="C1258" t="s">
        <v>9743</v>
      </c>
      <c r="D1258">
        <v>5</v>
      </c>
      <c r="E1258" t="s">
        <v>2849</v>
      </c>
    </row>
    <row r="1259" spans="2:5">
      <c r="B1259" s="65" t="str">
        <f t="shared" si="19"/>
        <v>doc-1416:6</v>
      </c>
      <c r="C1259" t="s">
        <v>9743</v>
      </c>
      <c r="D1259">
        <v>6</v>
      </c>
      <c r="E1259" t="s">
        <v>2121</v>
      </c>
    </row>
    <row r="1260" spans="2:5">
      <c r="B1260" s="65" t="str">
        <f t="shared" si="19"/>
        <v>doc-1417a:1</v>
      </c>
      <c r="C1260" t="s">
        <v>9744</v>
      </c>
      <c r="D1260">
        <v>1</v>
      </c>
      <c r="E1260" t="s">
        <v>1773</v>
      </c>
    </row>
    <row r="1261" spans="2:5">
      <c r="B1261" s="65" t="str">
        <f t="shared" si="19"/>
        <v>doc-1417a:2</v>
      </c>
      <c r="C1261" t="s">
        <v>9744</v>
      </c>
      <c r="D1261">
        <v>2</v>
      </c>
      <c r="E1261" t="s">
        <v>101</v>
      </c>
    </row>
    <row r="1262" spans="2:5">
      <c r="B1262" s="65" t="str">
        <f t="shared" si="19"/>
        <v>doc-1417a:3</v>
      </c>
      <c r="C1262" t="s">
        <v>9744</v>
      </c>
      <c r="D1262">
        <v>3</v>
      </c>
      <c r="E1262" t="s">
        <v>1343</v>
      </c>
    </row>
    <row r="1263" spans="2:5">
      <c r="B1263" s="65" t="str">
        <f t="shared" si="19"/>
        <v>doc-1417a:4</v>
      </c>
      <c r="C1263" t="s">
        <v>9744</v>
      </c>
      <c r="D1263">
        <v>4</v>
      </c>
      <c r="E1263" t="s">
        <v>92</v>
      </c>
    </row>
    <row r="1264" spans="2:5">
      <c r="B1264" s="65" t="str">
        <f t="shared" si="19"/>
        <v>doc-1417b:1</v>
      </c>
      <c r="C1264" t="s">
        <v>9745</v>
      </c>
      <c r="D1264">
        <v>1</v>
      </c>
      <c r="E1264" t="s">
        <v>1773</v>
      </c>
    </row>
    <row r="1265" spans="2:5">
      <c r="B1265" s="65" t="str">
        <f t="shared" si="19"/>
        <v>doc-1417b:2</v>
      </c>
      <c r="C1265" t="s">
        <v>9745</v>
      </c>
      <c r="D1265">
        <v>2</v>
      </c>
      <c r="E1265" t="s">
        <v>101</v>
      </c>
    </row>
    <row r="1266" spans="2:5">
      <c r="B1266" s="65" t="str">
        <f t="shared" si="19"/>
        <v>doc-1417b:3</v>
      </c>
      <c r="C1266" t="s">
        <v>9745</v>
      </c>
      <c r="D1266">
        <v>3</v>
      </c>
      <c r="E1266" t="s">
        <v>1343</v>
      </c>
    </row>
    <row r="1267" spans="2:5">
      <c r="B1267" s="65" t="str">
        <f t="shared" si="19"/>
        <v>doc-1417b:4</v>
      </c>
      <c r="C1267" t="s">
        <v>9745</v>
      </c>
      <c r="D1267">
        <v>4</v>
      </c>
      <c r="E1267" t="s">
        <v>92</v>
      </c>
    </row>
    <row r="1268" spans="2:5">
      <c r="B1268" s="65" t="str">
        <f t="shared" si="19"/>
        <v>doc-1418:1</v>
      </c>
      <c r="C1268" t="s">
        <v>9746</v>
      </c>
      <c r="D1268">
        <v>1</v>
      </c>
      <c r="E1268" t="s">
        <v>1757</v>
      </c>
    </row>
    <row r="1269" spans="2:5">
      <c r="B1269" s="65" t="str">
        <f t="shared" si="19"/>
        <v>doc-1418:2</v>
      </c>
      <c r="C1269" t="s">
        <v>9746</v>
      </c>
      <c r="D1269">
        <v>2</v>
      </c>
      <c r="E1269" t="s">
        <v>1224</v>
      </c>
    </row>
    <row r="1270" spans="2:5">
      <c r="B1270" s="65" t="str">
        <f t="shared" si="19"/>
        <v>doc-1418:3</v>
      </c>
      <c r="C1270" t="s">
        <v>9746</v>
      </c>
      <c r="D1270">
        <v>3</v>
      </c>
      <c r="E1270" t="s">
        <v>1775</v>
      </c>
    </row>
    <row r="1271" spans="2:5">
      <c r="B1271" s="65" t="str">
        <f t="shared" si="19"/>
        <v>doc-1419:1</v>
      </c>
      <c r="C1271" t="s">
        <v>9747</v>
      </c>
      <c r="D1271">
        <v>1</v>
      </c>
      <c r="E1271" t="s">
        <v>1833</v>
      </c>
    </row>
    <row r="1272" spans="2:5">
      <c r="B1272" s="65" t="str">
        <f t="shared" si="19"/>
        <v>doc-1419:2</v>
      </c>
      <c r="C1272" t="s">
        <v>9747</v>
      </c>
      <c r="D1272">
        <v>2</v>
      </c>
      <c r="E1272" t="s">
        <v>1108</v>
      </c>
    </row>
    <row r="1273" spans="2:5">
      <c r="B1273" s="65" t="str">
        <f t="shared" si="19"/>
        <v>doc-1419:3</v>
      </c>
      <c r="C1273" t="s">
        <v>9747</v>
      </c>
      <c r="D1273">
        <v>3</v>
      </c>
      <c r="E1273" t="s">
        <v>2664</v>
      </c>
    </row>
    <row r="1274" spans="2:5">
      <c r="B1274" s="65" t="str">
        <f t="shared" si="19"/>
        <v>doc-1419:4</v>
      </c>
      <c r="C1274" t="s">
        <v>9747</v>
      </c>
      <c r="D1274">
        <v>4</v>
      </c>
      <c r="E1274" t="s">
        <v>2087</v>
      </c>
    </row>
    <row r="1275" spans="2:5">
      <c r="B1275" s="65" t="str">
        <f t="shared" si="19"/>
        <v>doc-1419:5</v>
      </c>
      <c r="C1275" t="s">
        <v>9747</v>
      </c>
      <c r="D1275">
        <v>5</v>
      </c>
      <c r="E1275" t="s">
        <v>1856</v>
      </c>
    </row>
    <row r="1276" spans="2:5">
      <c r="B1276" s="65" t="str">
        <f t="shared" si="19"/>
        <v>doc-1419:6</v>
      </c>
      <c r="C1276" t="s">
        <v>9747</v>
      </c>
      <c r="D1276">
        <v>6</v>
      </c>
      <c r="E1276" t="s">
        <v>1575</v>
      </c>
    </row>
    <row r="1277" spans="2:5">
      <c r="B1277" s="65" t="str">
        <f t="shared" si="19"/>
        <v>doc-1420:1</v>
      </c>
      <c r="C1277" t="s">
        <v>9748</v>
      </c>
      <c r="D1277">
        <v>1</v>
      </c>
      <c r="E1277" t="s">
        <v>82</v>
      </c>
    </row>
    <row r="1278" spans="2:5">
      <c r="B1278" s="65" t="str">
        <f t="shared" si="19"/>
        <v>doc-1424:1</v>
      </c>
      <c r="C1278" t="s">
        <v>9749</v>
      </c>
      <c r="D1278">
        <v>1</v>
      </c>
      <c r="E1278" t="s">
        <v>82</v>
      </c>
    </row>
    <row r="1279" spans="2:5">
      <c r="B1279" s="65" t="str">
        <f t="shared" si="19"/>
        <v>doc-1424:2</v>
      </c>
      <c r="C1279" t="s">
        <v>9749</v>
      </c>
      <c r="D1279">
        <v>2</v>
      </c>
      <c r="E1279" t="s">
        <v>1763</v>
      </c>
    </row>
    <row r="1280" spans="2:5">
      <c r="B1280" s="65" t="str">
        <f t="shared" si="19"/>
        <v>doc-1425:1</v>
      </c>
      <c r="C1280" t="s">
        <v>9750</v>
      </c>
      <c r="D1280">
        <v>1</v>
      </c>
      <c r="E1280" t="s">
        <v>82</v>
      </c>
    </row>
    <row r="1281" spans="2:5">
      <c r="B1281" s="65" t="str">
        <f t="shared" si="19"/>
        <v>doc-1425:2</v>
      </c>
      <c r="C1281" t="s">
        <v>9750</v>
      </c>
      <c r="D1281">
        <v>2</v>
      </c>
      <c r="E1281" t="s">
        <v>3085</v>
      </c>
    </row>
    <row r="1282" spans="2:5">
      <c r="B1282" s="65" t="str">
        <f t="shared" si="19"/>
        <v>doc-1426:1</v>
      </c>
      <c r="C1282" t="s">
        <v>9751</v>
      </c>
      <c r="D1282">
        <v>1</v>
      </c>
      <c r="E1282" t="s">
        <v>82</v>
      </c>
    </row>
    <row r="1283" spans="2:5">
      <c r="B1283" s="65" t="str">
        <f t="shared" si="19"/>
        <v>doc-1426:2</v>
      </c>
      <c r="C1283" t="s">
        <v>9751</v>
      </c>
      <c r="D1283">
        <v>2</v>
      </c>
      <c r="E1283" t="s">
        <v>1561</v>
      </c>
    </row>
    <row r="1284" spans="2:5">
      <c r="B1284" s="65" t="str">
        <f t="shared" ref="B1284:B1347" si="20">$C1284&amp;":"&amp;$D1284</f>
        <v>doc-1426:3</v>
      </c>
      <c r="C1284" t="s">
        <v>9751</v>
      </c>
      <c r="D1284">
        <v>3</v>
      </c>
      <c r="E1284" t="s">
        <v>1547</v>
      </c>
    </row>
    <row r="1285" spans="2:5">
      <c r="B1285" s="65" t="str">
        <f t="shared" si="20"/>
        <v>doc-1427:1</v>
      </c>
      <c r="C1285" t="s">
        <v>9752</v>
      </c>
      <c r="D1285">
        <v>1</v>
      </c>
      <c r="E1285" t="s">
        <v>79</v>
      </c>
    </row>
    <row r="1286" spans="2:5">
      <c r="B1286" s="65" t="str">
        <f t="shared" si="20"/>
        <v>doc-1427:2</v>
      </c>
      <c r="C1286" t="s">
        <v>9752</v>
      </c>
      <c r="D1286">
        <v>2</v>
      </c>
      <c r="E1286" t="s">
        <v>1750</v>
      </c>
    </row>
    <row r="1287" spans="2:5">
      <c r="B1287" s="65" t="str">
        <f t="shared" si="20"/>
        <v>doc-1427:3</v>
      </c>
      <c r="C1287" t="s">
        <v>9752</v>
      </c>
      <c r="D1287">
        <v>3</v>
      </c>
      <c r="E1287" t="s">
        <v>1759</v>
      </c>
    </row>
    <row r="1288" spans="2:5">
      <c r="B1288" s="65" t="str">
        <f t="shared" si="20"/>
        <v>doc-1427:4</v>
      </c>
      <c r="C1288" t="s">
        <v>9752</v>
      </c>
      <c r="D1288">
        <v>4</v>
      </c>
      <c r="E1288" t="s">
        <v>3061</v>
      </c>
    </row>
    <row r="1289" spans="2:5">
      <c r="B1289" s="65" t="str">
        <f t="shared" si="20"/>
        <v>doc-1427:5</v>
      </c>
      <c r="C1289" t="s">
        <v>9752</v>
      </c>
      <c r="D1289">
        <v>5</v>
      </c>
      <c r="E1289" t="s">
        <v>2455</v>
      </c>
    </row>
    <row r="1290" spans="2:5">
      <c r="B1290" s="65" t="str">
        <f t="shared" si="20"/>
        <v>doc-1428:1</v>
      </c>
      <c r="C1290" t="s">
        <v>9753</v>
      </c>
      <c r="D1290">
        <v>1</v>
      </c>
      <c r="E1290" t="s">
        <v>82</v>
      </c>
    </row>
    <row r="1291" spans="2:5">
      <c r="B1291" s="65" t="str">
        <f t="shared" si="20"/>
        <v>doc-1428:2</v>
      </c>
      <c r="C1291" t="s">
        <v>9753</v>
      </c>
      <c r="D1291">
        <v>2</v>
      </c>
      <c r="E1291" t="s">
        <v>1197</v>
      </c>
    </row>
    <row r="1292" spans="2:5">
      <c r="B1292" s="65" t="str">
        <f t="shared" si="20"/>
        <v>doc-1428:3</v>
      </c>
      <c r="C1292" t="s">
        <v>9753</v>
      </c>
      <c r="D1292">
        <v>3</v>
      </c>
      <c r="E1292" t="s">
        <v>1213</v>
      </c>
    </row>
    <row r="1293" spans="2:5">
      <c r="B1293" s="65" t="str">
        <f t="shared" si="20"/>
        <v>doc-1430:1</v>
      </c>
      <c r="C1293" t="s">
        <v>9754</v>
      </c>
      <c r="D1293">
        <v>1</v>
      </c>
      <c r="E1293" t="s">
        <v>2336</v>
      </c>
    </row>
    <row r="1294" spans="2:5">
      <c r="B1294" s="65" t="str">
        <f t="shared" si="20"/>
        <v>doc-1430:2</v>
      </c>
      <c r="C1294" t="s">
        <v>9754</v>
      </c>
      <c r="D1294">
        <v>2</v>
      </c>
      <c r="E1294" t="s">
        <v>1395</v>
      </c>
    </row>
    <row r="1295" spans="2:5">
      <c r="B1295" s="65" t="str">
        <f t="shared" si="20"/>
        <v>doc-1430:3</v>
      </c>
      <c r="C1295" t="s">
        <v>9754</v>
      </c>
      <c r="D1295">
        <v>3</v>
      </c>
      <c r="E1295" t="s">
        <v>1804</v>
      </c>
    </row>
    <row r="1296" spans="2:5">
      <c r="B1296" s="65" t="str">
        <f t="shared" si="20"/>
        <v>doc-1431a:1</v>
      </c>
      <c r="C1296" t="s">
        <v>9755</v>
      </c>
      <c r="D1296">
        <v>1</v>
      </c>
      <c r="E1296" t="s">
        <v>1750</v>
      </c>
    </row>
    <row r="1297" spans="2:5">
      <c r="B1297" s="65" t="str">
        <f t="shared" si="20"/>
        <v>doc-1431a:2</v>
      </c>
      <c r="C1297" t="s">
        <v>9755</v>
      </c>
      <c r="D1297">
        <v>2</v>
      </c>
      <c r="E1297" t="s">
        <v>79</v>
      </c>
    </row>
    <row r="1298" spans="2:5">
      <c r="B1298" s="65" t="str">
        <f t="shared" si="20"/>
        <v>doc-1431a:3</v>
      </c>
      <c r="C1298" t="s">
        <v>9755</v>
      </c>
      <c r="D1298">
        <v>3</v>
      </c>
      <c r="E1298" t="s">
        <v>3061</v>
      </c>
    </row>
    <row r="1299" spans="2:5">
      <c r="B1299" s="65" t="str">
        <f t="shared" si="20"/>
        <v>doc-1431a:4</v>
      </c>
      <c r="C1299" t="s">
        <v>9755</v>
      </c>
      <c r="D1299">
        <v>4</v>
      </c>
      <c r="E1299" t="s">
        <v>2455</v>
      </c>
    </row>
    <row r="1300" spans="2:5">
      <c r="B1300" s="65" t="str">
        <f t="shared" si="20"/>
        <v>doc-1431a:5</v>
      </c>
      <c r="C1300" t="s">
        <v>9755</v>
      </c>
      <c r="D1300">
        <v>5</v>
      </c>
      <c r="E1300" t="s">
        <v>3066</v>
      </c>
    </row>
    <row r="1301" spans="2:5">
      <c r="B1301" s="65" t="str">
        <f t="shared" si="20"/>
        <v>doc-1431b:1</v>
      </c>
      <c r="C1301" t="s">
        <v>9756</v>
      </c>
      <c r="D1301">
        <v>1</v>
      </c>
      <c r="E1301" t="s">
        <v>1750</v>
      </c>
    </row>
    <row r="1302" spans="2:5">
      <c r="B1302" s="65" t="str">
        <f t="shared" si="20"/>
        <v>doc-1431b:2</v>
      </c>
      <c r="C1302" t="s">
        <v>9756</v>
      </c>
      <c r="D1302">
        <v>2</v>
      </c>
      <c r="E1302" t="s">
        <v>79</v>
      </c>
    </row>
    <row r="1303" spans="2:5">
      <c r="B1303" s="65" t="str">
        <f t="shared" si="20"/>
        <v>doc-1431b:3</v>
      </c>
      <c r="C1303" t="s">
        <v>9756</v>
      </c>
      <c r="D1303">
        <v>3</v>
      </c>
      <c r="E1303" t="s">
        <v>3061</v>
      </c>
    </row>
    <row r="1304" spans="2:5">
      <c r="B1304" s="65" t="str">
        <f t="shared" si="20"/>
        <v>doc-1431b:4</v>
      </c>
      <c r="C1304" t="s">
        <v>9756</v>
      </c>
      <c r="D1304">
        <v>4</v>
      </c>
      <c r="E1304" t="s">
        <v>2455</v>
      </c>
    </row>
    <row r="1305" spans="2:5">
      <c r="B1305" s="65" t="str">
        <f t="shared" si="20"/>
        <v>doc-1431b:5</v>
      </c>
      <c r="C1305" t="s">
        <v>9756</v>
      </c>
      <c r="D1305">
        <v>5</v>
      </c>
      <c r="E1305" t="s">
        <v>3066</v>
      </c>
    </row>
    <row r="1306" spans="2:5">
      <c r="B1306" s="65" t="str">
        <f t="shared" si="20"/>
        <v>doc-1432:1</v>
      </c>
      <c r="C1306" t="s">
        <v>9757</v>
      </c>
      <c r="D1306">
        <v>1</v>
      </c>
      <c r="E1306" t="s">
        <v>82</v>
      </c>
    </row>
    <row r="1307" spans="2:5">
      <c r="B1307" s="65" t="str">
        <f t="shared" si="20"/>
        <v>doc-1433:1</v>
      </c>
      <c r="C1307" t="s">
        <v>9758</v>
      </c>
      <c r="D1307">
        <v>1</v>
      </c>
      <c r="E1307" t="s">
        <v>82</v>
      </c>
    </row>
    <row r="1308" spans="2:5">
      <c r="B1308" s="65" t="str">
        <f t="shared" si="20"/>
        <v>doc-1434:1</v>
      </c>
      <c r="C1308" t="s">
        <v>110</v>
      </c>
      <c r="D1308">
        <v>1</v>
      </c>
      <c r="E1308" t="s">
        <v>79</v>
      </c>
    </row>
    <row r="1309" spans="2:5">
      <c r="B1309" s="65" t="str">
        <f t="shared" si="20"/>
        <v>doc-1435:1</v>
      </c>
      <c r="C1309" t="s">
        <v>9759</v>
      </c>
      <c r="D1309">
        <v>1</v>
      </c>
      <c r="E1309" t="s">
        <v>82</v>
      </c>
    </row>
    <row r="1310" spans="2:5">
      <c r="B1310" s="65" t="str">
        <f t="shared" si="20"/>
        <v>doc-1436:1</v>
      </c>
      <c r="C1310" t="s">
        <v>9760</v>
      </c>
      <c r="D1310">
        <v>1</v>
      </c>
      <c r="E1310" t="s">
        <v>82</v>
      </c>
    </row>
    <row r="1311" spans="2:5">
      <c r="B1311" s="65" t="str">
        <f t="shared" si="20"/>
        <v>doc-1437:1</v>
      </c>
      <c r="C1311" t="s">
        <v>9761</v>
      </c>
      <c r="D1311">
        <v>1</v>
      </c>
      <c r="E1311" t="s">
        <v>82</v>
      </c>
    </row>
    <row r="1312" spans="2:5">
      <c r="B1312" s="65" t="str">
        <f t="shared" si="20"/>
        <v>doc-1438:1</v>
      </c>
      <c r="C1312" t="s">
        <v>9762</v>
      </c>
      <c r="D1312">
        <v>1</v>
      </c>
      <c r="E1312" t="s">
        <v>3048</v>
      </c>
    </row>
    <row r="1313" spans="2:5">
      <c r="B1313" s="65" t="str">
        <f t="shared" si="20"/>
        <v>doc-1440:1</v>
      </c>
      <c r="C1313" t="s">
        <v>9763</v>
      </c>
      <c r="D1313">
        <v>1</v>
      </c>
      <c r="E1313" t="s">
        <v>1833</v>
      </c>
    </row>
    <row r="1314" spans="2:5">
      <c r="B1314" s="65" t="str">
        <f t="shared" si="20"/>
        <v>doc-1440:2</v>
      </c>
      <c r="C1314" t="s">
        <v>9763</v>
      </c>
      <c r="D1314">
        <v>2</v>
      </c>
      <c r="E1314" t="s">
        <v>1108</v>
      </c>
    </row>
    <row r="1315" spans="2:5">
      <c r="B1315" s="65" t="str">
        <f t="shared" si="20"/>
        <v>doc-1440:3</v>
      </c>
      <c r="C1315" t="s">
        <v>9763</v>
      </c>
      <c r="D1315">
        <v>3</v>
      </c>
      <c r="E1315" t="s">
        <v>2664</v>
      </c>
    </row>
    <row r="1316" spans="2:5">
      <c r="B1316" s="65" t="str">
        <f t="shared" si="20"/>
        <v>doc-1440:4</v>
      </c>
      <c r="C1316" t="s">
        <v>9763</v>
      </c>
      <c r="D1316">
        <v>4</v>
      </c>
      <c r="E1316" t="s">
        <v>2087</v>
      </c>
    </row>
    <row r="1317" spans="2:5">
      <c r="B1317" s="65" t="str">
        <f t="shared" si="20"/>
        <v>doc-1440:5</v>
      </c>
      <c r="C1317" t="s">
        <v>9763</v>
      </c>
      <c r="D1317">
        <v>5</v>
      </c>
      <c r="E1317" t="s">
        <v>1856</v>
      </c>
    </row>
    <row r="1318" spans="2:5">
      <c r="B1318" s="65" t="str">
        <f t="shared" si="20"/>
        <v>doc-1440:6</v>
      </c>
      <c r="C1318" t="s">
        <v>9763</v>
      </c>
      <c r="D1318">
        <v>6</v>
      </c>
      <c r="E1318" t="s">
        <v>1575</v>
      </c>
    </row>
    <row r="1319" spans="2:5">
      <c r="B1319" s="65" t="str">
        <f t="shared" si="20"/>
        <v>doc-1441:1</v>
      </c>
      <c r="C1319" t="s">
        <v>9764</v>
      </c>
      <c r="D1319">
        <v>1</v>
      </c>
      <c r="E1319" t="s">
        <v>2197</v>
      </c>
    </row>
    <row r="1320" spans="2:5">
      <c r="B1320" s="65" t="str">
        <f t="shared" si="20"/>
        <v>doc-1441:2</v>
      </c>
      <c r="C1320" t="s">
        <v>9764</v>
      </c>
      <c r="D1320">
        <v>2</v>
      </c>
      <c r="E1320" t="s">
        <v>82</v>
      </c>
    </row>
    <row r="1321" spans="2:5">
      <c r="B1321" s="65" t="str">
        <f t="shared" si="20"/>
        <v>doc-1441:3</v>
      </c>
      <c r="C1321" t="s">
        <v>9764</v>
      </c>
      <c r="D1321">
        <v>3</v>
      </c>
      <c r="E1321" t="s">
        <v>1561</v>
      </c>
    </row>
    <row r="1322" spans="2:5">
      <c r="B1322" s="65" t="str">
        <f t="shared" si="20"/>
        <v>doc-1441:4</v>
      </c>
      <c r="C1322" t="s">
        <v>9764</v>
      </c>
      <c r="D1322">
        <v>4</v>
      </c>
      <c r="E1322" t="s">
        <v>1547</v>
      </c>
    </row>
    <row r="1323" spans="2:5">
      <c r="B1323" s="65" t="str">
        <f t="shared" si="20"/>
        <v>doc-1441:5</v>
      </c>
      <c r="C1323" t="s">
        <v>9764</v>
      </c>
      <c r="D1323">
        <v>5</v>
      </c>
      <c r="E1323" t="s">
        <v>1114</v>
      </c>
    </row>
    <row r="1324" spans="2:5">
      <c r="B1324" s="65" t="str">
        <f t="shared" si="20"/>
        <v>doc-1441:6</v>
      </c>
      <c r="C1324" t="s">
        <v>9764</v>
      </c>
      <c r="D1324">
        <v>6</v>
      </c>
      <c r="E1324" t="s">
        <v>1213</v>
      </c>
    </row>
    <row r="1325" spans="2:5">
      <c r="B1325" s="65" t="str">
        <f t="shared" si="20"/>
        <v>doc-1441:7</v>
      </c>
      <c r="C1325" t="s">
        <v>9764</v>
      </c>
      <c r="D1325">
        <v>7</v>
      </c>
      <c r="E1325" t="s">
        <v>1197</v>
      </c>
    </row>
    <row r="1326" spans="2:5">
      <c r="B1326" s="65" t="str">
        <f t="shared" si="20"/>
        <v>doc-1443a:1</v>
      </c>
      <c r="C1326" t="s">
        <v>9765</v>
      </c>
      <c r="D1326">
        <v>1</v>
      </c>
      <c r="E1326" t="s">
        <v>1688</v>
      </c>
    </row>
    <row r="1327" spans="2:5">
      <c r="B1327" s="65" t="str">
        <f t="shared" si="20"/>
        <v>doc-1445:1</v>
      </c>
      <c r="C1327" t="s">
        <v>9766</v>
      </c>
      <c r="D1327">
        <v>1</v>
      </c>
      <c r="E1327" t="s">
        <v>2527</v>
      </c>
    </row>
    <row r="1328" spans="2:5">
      <c r="B1328" s="65" t="str">
        <f t="shared" si="20"/>
        <v>doc-1446:1</v>
      </c>
      <c r="C1328" t="s">
        <v>9767</v>
      </c>
      <c r="D1328">
        <v>1</v>
      </c>
      <c r="E1328" t="s">
        <v>2527</v>
      </c>
    </row>
    <row r="1329" spans="2:5">
      <c r="B1329" s="65" t="str">
        <f t="shared" si="20"/>
        <v>doc-1448a:1</v>
      </c>
      <c r="C1329" t="s">
        <v>9768</v>
      </c>
      <c r="D1329">
        <v>1</v>
      </c>
      <c r="E1329" t="s">
        <v>3061</v>
      </c>
    </row>
    <row r="1330" spans="2:5">
      <c r="B1330" s="65" t="str">
        <f t="shared" si="20"/>
        <v>doc-1448a:2</v>
      </c>
      <c r="C1330" t="s">
        <v>9768</v>
      </c>
      <c r="D1330">
        <v>2</v>
      </c>
      <c r="E1330" t="s">
        <v>82</v>
      </c>
    </row>
    <row r="1331" spans="2:5">
      <c r="B1331" s="65" t="str">
        <f t="shared" si="20"/>
        <v>doc-1448a:3</v>
      </c>
      <c r="C1331" t="s">
        <v>9768</v>
      </c>
      <c r="D1331">
        <v>3</v>
      </c>
      <c r="E1331" t="s">
        <v>1547</v>
      </c>
    </row>
    <row r="1332" spans="2:5">
      <c r="B1332" s="65" t="str">
        <f t="shared" si="20"/>
        <v>doc-1448a:4</v>
      </c>
      <c r="C1332" t="s">
        <v>9768</v>
      </c>
      <c r="D1332">
        <v>4</v>
      </c>
      <c r="E1332" t="s">
        <v>79</v>
      </c>
    </row>
    <row r="1333" spans="2:5">
      <c r="B1333" s="65" t="str">
        <f t="shared" si="20"/>
        <v>doc-1448a:5</v>
      </c>
      <c r="C1333" t="s">
        <v>9768</v>
      </c>
      <c r="D1333">
        <v>5</v>
      </c>
      <c r="E1333" t="s">
        <v>1065</v>
      </c>
    </row>
    <row r="1334" spans="2:5">
      <c r="B1334" s="65" t="str">
        <f t="shared" si="20"/>
        <v>doc-1448a:6</v>
      </c>
      <c r="C1334" t="s">
        <v>9768</v>
      </c>
      <c r="D1334">
        <v>6</v>
      </c>
      <c r="E1334" t="s">
        <v>1224</v>
      </c>
    </row>
    <row r="1335" spans="2:5">
      <c r="B1335" s="65" t="str">
        <f t="shared" si="20"/>
        <v>doc-1448a:7</v>
      </c>
      <c r="C1335" t="s">
        <v>9768</v>
      </c>
      <c r="D1335">
        <v>7</v>
      </c>
      <c r="E1335" t="s">
        <v>1570</v>
      </c>
    </row>
    <row r="1336" spans="2:5">
      <c r="B1336" s="65" t="str">
        <f t="shared" si="20"/>
        <v>doc-1448a:8</v>
      </c>
      <c r="C1336" t="s">
        <v>9768</v>
      </c>
      <c r="D1336">
        <v>8</v>
      </c>
      <c r="E1336" t="s">
        <v>73</v>
      </c>
    </row>
    <row r="1337" spans="2:5">
      <c r="B1337" s="65" t="str">
        <f t="shared" si="20"/>
        <v>doc-1448a:9</v>
      </c>
      <c r="C1337" t="s">
        <v>9768</v>
      </c>
      <c r="D1337">
        <v>9</v>
      </c>
      <c r="E1337" t="s">
        <v>3056</v>
      </c>
    </row>
    <row r="1338" spans="2:5">
      <c r="B1338" s="65" t="str">
        <f t="shared" si="20"/>
        <v>doc-1448a:10</v>
      </c>
      <c r="C1338" t="s">
        <v>9768</v>
      </c>
      <c r="D1338">
        <v>10</v>
      </c>
      <c r="E1338" t="s">
        <v>1114</v>
      </c>
    </row>
    <row r="1339" spans="2:5">
      <c r="B1339" s="65" t="str">
        <f t="shared" si="20"/>
        <v>doc-1448a:11</v>
      </c>
      <c r="C1339" t="s">
        <v>9768</v>
      </c>
      <c r="D1339">
        <v>11</v>
      </c>
      <c r="E1339" t="s">
        <v>1743</v>
      </c>
    </row>
    <row r="1340" spans="2:5">
      <c r="B1340" s="65" t="str">
        <f t="shared" si="20"/>
        <v>doc-1448a:12</v>
      </c>
      <c r="C1340" t="s">
        <v>9768</v>
      </c>
      <c r="D1340">
        <v>12</v>
      </c>
      <c r="E1340" t="s">
        <v>1856</v>
      </c>
    </row>
    <row r="1341" spans="2:5">
      <c r="B1341" s="65" t="str">
        <f t="shared" si="20"/>
        <v>doc-1448a:13</v>
      </c>
      <c r="C1341" t="s">
        <v>9768</v>
      </c>
      <c r="D1341">
        <v>13</v>
      </c>
      <c r="E1341" t="s">
        <v>3058</v>
      </c>
    </row>
    <row r="1342" spans="2:5">
      <c r="B1342" s="65" t="str">
        <f t="shared" si="20"/>
        <v>doc-1449:1</v>
      </c>
      <c r="C1342" t="s">
        <v>9769</v>
      </c>
      <c r="D1342">
        <v>1</v>
      </c>
      <c r="E1342" t="s">
        <v>73</v>
      </c>
    </row>
    <row r="1343" spans="2:5">
      <c r="B1343" s="65" t="str">
        <f t="shared" si="20"/>
        <v>doc-1449:2</v>
      </c>
      <c r="C1343" t="s">
        <v>9769</v>
      </c>
      <c r="D1343">
        <v>2</v>
      </c>
      <c r="E1343" t="s">
        <v>2535</v>
      </c>
    </row>
    <row r="1344" spans="2:5">
      <c r="B1344" s="65" t="str">
        <f t="shared" si="20"/>
        <v>doc-1449:3</v>
      </c>
      <c r="C1344" t="s">
        <v>9769</v>
      </c>
      <c r="D1344">
        <v>3</v>
      </c>
      <c r="E1344" t="s">
        <v>1550</v>
      </c>
    </row>
    <row r="1345" spans="2:5">
      <c r="B1345" s="65" t="str">
        <f t="shared" si="20"/>
        <v>doc-1449:4</v>
      </c>
      <c r="C1345" t="s">
        <v>9769</v>
      </c>
      <c r="D1345">
        <v>4</v>
      </c>
      <c r="E1345" t="s">
        <v>107</v>
      </c>
    </row>
    <row r="1346" spans="2:5">
      <c r="B1346" s="65" t="str">
        <f t="shared" si="20"/>
        <v>doc-1451:1</v>
      </c>
      <c r="C1346" t="s">
        <v>9770</v>
      </c>
      <c r="D1346">
        <v>1</v>
      </c>
      <c r="E1346" t="s">
        <v>1395</v>
      </c>
    </row>
    <row r="1347" spans="2:5">
      <c r="B1347" s="65" t="str">
        <f t="shared" si="20"/>
        <v>doc-1451:2</v>
      </c>
      <c r="C1347" t="s">
        <v>9770</v>
      </c>
      <c r="D1347">
        <v>2</v>
      </c>
      <c r="E1347" t="s">
        <v>2310</v>
      </c>
    </row>
    <row r="1348" spans="2:5">
      <c r="B1348" s="65" t="str">
        <f t="shared" ref="B1348:B1411" si="21">$C1348&amp;":"&amp;$D1348</f>
        <v>doc-1451:3</v>
      </c>
      <c r="C1348" t="s">
        <v>9770</v>
      </c>
      <c r="D1348">
        <v>3</v>
      </c>
      <c r="E1348" t="s">
        <v>87</v>
      </c>
    </row>
    <row r="1349" spans="2:5">
      <c r="B1349" s="65" t="str">
        <f t="shared" si="21"/>
        <v>doc-1451:4</v>
      </c>
      <c r="C1349" t="s">
        <v>9770</v>
      </c>
      <c r="D1349">
        <v>4</v>
      </c>
      <c r="E1349" t="s">
        <v>1349</v>
      </c>
    </row>
    <row r="1350" spans="2:5">
      <c r="B1350" s="65" t="str">
        <f t="shared" si="21"/>
        <v>doc-1451:5</v>
      </c>
      <c r="C1350" t="s">
        <v>9770</v>
      </c>
      <c r="D1350">
        <v>5</v>
      </c>
      <c r="E1350" t="s">
        <v>2963</v>
      </c>
    </row>
    <row r="1351" spans="2:5">
      <c r="B1351" s="65" t="str">
        <f t="shared" si="21"/>
        <v>doc-1451:6</v>
      </c>
      <c r="C1351" t="s">
        <v>9770</v>
      </c>
      <c r="D1351">
        <v>6</v>
      </c>
      <c r="E1351" t="s">
        <v>281</v>
      </c>
    </row>
    <row r="1352" spans="2:5">
      <c r="B1352" s="65" t="str">
        <f t="shared" si="21"/>
        <v>doc-1451:7</v>
      </c>
      <c r="C1352" t="s">
        <v>9770</v>
      </c>
      <c r="D1352">
        <v>7</v>
      </c>
      <c r="E1352" t="s">
        <v>73</v>
      </c>
    </row>
    <row r="1353" spans="2:5">
      <c r="B1353" s="65" t="str">
        <f t="shared" si="21"/>
        <v>doc-1453:1</v>
      </c>
      <c r="C1353" t="s">
        <v>9771</v>
      </c>
      <c r="D1353">
        <v>1</v>
      </c>
      <c r="E1353" t="s">
        <v>2892</v>
      </c>
    </row>
    <row r="1354" spans="2:5">
      <c r="B1354" s="65" t="str">
        <f t="shared" si="21"/>
        <v>doc-1453:2</v>
      </c>
      <c r="C1354" t="s">
        <v>9771</v>
      </c>
      <c r="D1354">
        <v>2</v>
      </c>
      <c r="E1354" t="s">
        <v>2515</v>
      </c>
    </row>
    <row r="1355" spans="2:5">
      <c r="B1355" s="65" t="str">
        <f t="shared" si="21"/>
        <v>doc-1453:3</v>
      </c>
      <c r="C1355" t="s">
        <v>9771</v>
      </c>
      <c r="D1355">
        <v>3</v>
      </c>
      <c r="E1355" t="s">
        <v>2860</v>
      </c>
    </row>
    <row r="1356" spans="2:5">
      <c r="B1356" s="65" t="str">
        <f t="shared" si="21"/>
        <v>doc-1454a:1</v>
      </c>
      <c r="C1356" t="s">
        <v>9772</v>
      </c>
      <c r="D1356">
        <v>1</v>
      </c>
      <c r="E1356" t="s">
        <v>2435</v>
      </c>
    </row>
    <row r="1357" spans="2:5">
      <c r="B1357" s="65" t="str">
        <f t="shared" si="21"/>
        <v>doc-1454a:2</v>
      </c>
      <c r="C1357" t="s">
        <v>9772</v>
      </c>
      <c r="D1357">
        <v>2</v>
      </c>
      <c r="E1357" t="s">
        <v>2501</v>
      </c>
    </row>
    <row r="1358" spans="2:5">
      <c r="B1358" s="65" t="str">
        <f t="shared" si="21"/>
        <v>doc-1454a:3</v>
      </c>
      <c r="C1358" t="s">
        <v>9772</v>
      </c>
      <c r="D1358">
        <v>3</v>
      </c>
      <c r="E1358" t="s">
        <v>2422</v>
      </c>
    </row>
    <row r="1359" spans="2:5">
      <c r="B1359" s="65" t="str">
        <f t="shared" si="21"/>
        <v>doc-1455a:1</v>
      </c>
      <c r="C1359" t="s">
        <v>9773</v>
      </c>
      <c r="D1359">
        <v>1</v>
      </c>
      <c r="E1359" t="s">
        <v>1673</v>
      </c>
    </row>
    <row r="1360" spans="2:5">
      <c r="B1360" s="65" t="str">
        <f t="shared" si="21"/>
        <v>doc-1455a:2</v>
      </c>
      <c r="C1360" t="s">
        <v>9773</v>
      </c>
      <c r="D1360">
        <v>2</v>
      </c>
      <c r="E1360" t="s">
        <v>82</v>
      </c>
    </row>
    <row r="1361" spans="2:5">
      <c r="B1361" s="65" t="str">
        <f t="shared" si="21"/>
        <v>doc-1455a:3</v>
      </c>
      <c r="C1361" t="s">
        <v>9773</v>
      </c>
      <c r="D1361">
        <v>3</v>
      </c>
      <c r="E1361" t="s">
        <v>1197</v>
      </c>
    </row>
    <row r="1362" spans="2:5">
      <c r="B1362" s="65" t="str">
        <f t="shared" si="21"/>
        <v>doc-1455a:4</v>
      </c>
      <c r="C1362" t="s">
        <v>9773</v>
      </c>
      <c r="D1362">
        <v>4</v>
      </c>
      <c r="E1362" t="s">
        <v>1213</v>
      </c>
    </row>
    <row r="1363" spans="2:5">
      <c r="B1363" s="65" t="str">
        <f t="shared" si="21"/>
        <v>doc-1455a:5</v>
      </c>
      <c r="C1363" t="s">
        <v>9773</v>
      </c>
      <c r="D1363">
        <v>5</v>
      </c>
      <c r="E1363" t="s">
        <v>1078</v>
      </c>
    </row>
    <row r="1364" spans="2:5">
      <c r="B1364" s="65" t="str">
        <f t="shared" si="21"/>
        <v>doc-1455a:6</v>
      </c>
      <c r="C1364" t="s">
        <v>9773</v>
      </c>
      <c r="D1364">
        <v>6</v>
      </c>
      <c r="E1364" t="s">
        <v>1561</v>
      </c>
    </row>
    <row r="1365" spans="2:5">
      <c r="B1365" s="65" t="str">
        <f t="shared" si="21"/>
        <v>doc-1456a:1</v>
      </c>
      <c r="C1365" t="s">
        <v>9774</v>
      </c>
      <c r="D1365">
        <v>1</v>
      </c>
      <c r="E1365" t="s">
        <v>2926</v>
      </c>
    </row>
    <row r="1366" spans="2:5">
      <c r="B1366" s="65" t="str">
        <f t="shared" si="21"/>
        <v>doc-1456a:2</v>
      </c>
      <c r="C1366" t="s">
        <v>9774</v>
      </c>
      <c r="D1366">
        <v>2</v>
      </c>
      <c r="E1366" t="s">
        <v>2930</v>
      </c>
    </row>
    <row r="1367" spans="2:5">
      <c r="B1367" s="65" t="str">
        <f t="shared" si="21"/>
        <v>doc-1456a:3</v>
      </c>
      <c r="C1367" t="s">
        <v>9774</v>
      </c>
      <c r="D1367">
        <v>3</v>
      </c>
      <c r="E1367" t="s">
        <v>2947</v>
      </c>
    </row>
    <row r="1368" spans="2:5">
      <c r="B1368" s="65" t="str">
        <f t="shared" si="21"/>
        <v>doc-1456a:4</v>
      </c>
      <c r="C1368" t="s">
        <v>9774</v>
      </c>
      <c r="D1368">
        <v>4</v>
      </c>
      <c r="E1368" t="s">
        <v>299</v>
      </c>
    </row>
    <row r="1369" spans="2:5">
      <c r="B1369" s="65" t="str">
        <f t="shared" si="21"/>
        <v>doc-1456a:5</v>
      </c>
      <c r="C1369" t="s">
        <v>9774</v>
      </c>
      <c r="D1369">
        <v>5</v>
      </c>
      <c r="E1369" t="s">
        <v>1286</v>
      </c>
    </row>
    <row r="1370" spans="2:5">
      <c r="B1370" s="65" t="str">
        <f t="shared" si="21"/>
        <v>doc-1456a:6</v>
      </c>
      <c r="C1370" t="s">
        <v>9774</v>
      </c>
      <c r="D1370">
        <v>6</v>
      </c>
      <c r="E1370" t="s">
        <v>2952</v>
      </c>
    </row>
    <row r="1371" spans="2:5">
      <c r="B1371" s="65" t="str">
        <f t="shared" si="21"/>
        <v>doc-1456a:7</v>
      </c>
      <c r="C1371" t="s">
        <v>9774</v>
      </c>
      <c r="D1371">
        <v>7</v>
      </c>
      <c r="E1371" t="s">
        <v>254</v>
      </c>
    </row>
    <row r="1372" spans="2:5">
      <c r="B1372" s="65" t="str">
        <f t="shared" si="21"/>
        <v>doc-1457a:1</v>
      </c>
      <c r="C1372" t="s">
        <v>9775</v>
      </c>
      <c r="D1372">
        <v>1</v>
      </c>
      <c r="E1372" t="s">
        <v>1197</v>
      </c>
    </row>
    <row r="1373" spans="2:5">
      <c r="B1373" s="65" t="str">
        <f t="shared" si="21"/>
        <v>doc-1457a:2</v>
      </c>
      <c r="C1373" t="s">
        <v>9775</v>
      </c>
      <c r="D1373">
        <v>2</v>
      </c>
      <c r="E1373" t="s">
        <v>1213</v>
      </c>
    </row>
    <row r="1374" spans="2:5">
      <c r="B1374" s="65" t="str">
        <f t="shared" si="21"/>
        <v>doc-1457a:3</v>
      </c>
      <c r="C1374" t="s">
        <v>9775</v>
      </c>
      <c r="D1374">
        <v>3</v>
      </c>
      <c r="E1374" t="s">
        <v>82</v>
      </c>
    </row>
    <row r="1375" spans="2:5">
      <c r="B1375" s="65" t="str">
        <f t="shared" si="21"/>
        <v>doc-1457a:4</v>
      </c>
      <c r="C1375" t="s">
        <v>9775</v>
      </c>
      <c r="D1375">
        <v>4</v>
      </c>
      <c r="E1375" t="s">
        <v>2933</v>
      </c>
    </row>
    <row r="1376" spans="2:5">
      <c r="B1376" s="65" t="str">
        <f t="shared" si="21"/>
        <v>doc-1457a:5</v>
      </c>
      <c r="C1376" t="s">
        <v>9775</v>
      </c>
      <c r="D1376">
        <v>5</v>
      </c>
      <c r="E1376" t="s">
        <v>2930</v>
      </c>
    </row>
    <row r="1377" spans="2:5">
      <c r="B1377" s="65" t="str">
        <f t="shared" si="21"/>
        <v>doc-1457a:6</v>
      </c>
      <c r="C1377" t="s">
        <v>9775</v>
      </c>
      <c r="D1377">
        <v>6</v>
      </c>
      <c r="E1377" t="s">
        <v>299</v>
      </c>
    </row>
    <row r="1378" spans="2:5">
      <c r="B1378" s="65" t="str">
        <f t="shared" si="21"/>
        <v>doc-1458:1</v>
      </c>
      <c r="C1378" t="s">
        <v>9776</v>
      </c>
      <c r="D1378">
        <v>1</v>
      </c>
      <c r="E1378" t="s">
        <v>1921</v>
      </c>
    </row>
    <row r="1379" spans="2:5">
      <c r="B1379" s="65" t="str">
        <f t="shared" si="21"/>
        <v>doc-1458:2</v>
      </c>
      <c r="C1379" t="s">
        <v>9776</v>
      </c>
      <c r="D1379">
        <v>2</v>
      </c>
      <c r="E1379" t="s">
        <v>1503</v>
      </c>
    </row>
    <row r="1380" spans="2:5">
      <c r="B1380" s="65" t="str">
        <f t="shared" si="21"/>
        <v>doc-1458:3</v>
      </c>
      <c r="C1380" t="s">
        <v>9776</v>
      </c>
      <c r="D1380">
        <v>3</v>
      </c>
      <c r="E1380" t="s">
        <v>1856</v>
      </c>
    </row>
    <row r="1381" spans="2:5">
      <c r="B1381" s="65" t="str">
        <f t="shared" si="21"/>
        <v>doc-1458:4</v>
      </c>
      <c r="C1381" t="s">
        <v>9776</v>
      </c>
      <c r="D1381">
        <v>4</v>
      </c>
      <c r="E1381" t="s">
        <v>2006</v>
      </c>
    </row>
    <row r="1382" spans="2:5">
      <c r="B1382" s="65" t="str">
        <f t="shared" si="21"/>
        <v>doc-1459a:1</v>
      </c>
      <c r="C1382" t="s">
        <v>9777</v>
      </c>
      <c r="D1382">
        <v>1</v>
      </c>
      <c r="E1382" t="s">
        <v>2435</v>
      </c>
    </row>
    <row r="1383" spans="2:5">
      <c r="B1383" s="65" t="str">
        <f t="shared" si="21"/>
        <v>doc-1459a:2</v>
      </c>
      <c r="C1383" t="s">
        <v>9777</v>
      </c>
      <c r="D1383">
        <v>2</v>
      </c>
      <c r="E1383" t="s">
        <v>2461</v>
      </c>
    </row>
    <row r="1384" spans="2:5">
      <c r="B1384" s="65" t="str">
        <f t="shared" si="21"/>
        <v>doc-1459a:3</v>
      </c>
      <c r="C1384" t="s">
        <v>9777</v>
      </c>
      <c r="D1384">
        <v>3</v>
      </c>
      <c r="E1384" t="s">
        <v>2501</v>
      </c>
    </row>
    <row r="1385" spans="2:5">
      <c r="B1385" s="65" t="str">
        <f t="shared" si="21"/>
        <v>doc-1459a:4</v>
      </c>
      <c r="C1385" t="s">
        <v>9777</v>
      </c>
      <c r="D1385">
        <v>4</v>
      </c>
      <c r="E1385" t="s">
        <v>2422</v>
      </c>
    </row>
    <row r="1386" spans="2:5">
      <c r="B1386" s="65" t="str">
        <f t="shared" si="21"/>
        <v>doc-1460a:1</v>
      </c>
      <c r="C1386" t="s">
        <v>9778</v>
      </c>
      <c r="D1386">
        <v>1</v>
      </c>
      <c r="E1386" t="s">
        <v>2501</v>
      </c>
    </row>
    <row r="1387" spans="2:5">
      <c r="B1387" s="65" t="str">
        <f t="shared" si="21"/>
        <v>doc-1460a:2</v>
      </c>
      <c r="C1387" t="s">
        <v>9778</v>
      </c>
      <c r="D1387">
        <v>2</v>
      </c>
      <c r="E1387" t="s">
        <v>2435</v>
      </c>
    </row>
    <row r="1388" spans="2:5">
      <c r="B1388" s="65" t="str">
        <f t="shared" si="21"/>
        <v>doc-1460a:3</v>
      </c>
      <c r="C1388" t="s">
        <v>9778</v>
      </c>
      <c r="D1388">
        <v>3</v>
      </c>
      <c r="E1388" t="s">
        <v>2422</v>
      </c>
    </row>
    <row r="1389" spans="2:5">
      <c r="B1389" s="65" t="str">
        <f t="shared" si="21"/>
        <v>doc-1462a:1</v>
      </c>
      <c r="C1389" t="s">
        <v>9779</v>
      </c>
      <c r="D1389">
        <v>1</v>
      </c>
      <c r="E1389" t="s">
        <v>1343</v>
      </c>
    </row>
    <row r="1390" spans="2:5">
      <c r="B1390" s="65" t="str">
        <f t="shared" si="21"/>
        <v>doc-1462a:2</v>
      </c>
      <c r="C1390" t="s">
        <v>9779</v>
      </c>
      <c r="D1390">
        <v>2</v>
      </c>
      <c r="E1390" t="s">
        <v>1431</v>
      </c>
    </row>
    <row r="1391" spans="2:5">
      <c r="B1391" s="65" t="str">
        <f t="shared" si="21"/>
        <v>doc-1462a:3</v>
      </c>
      <c r="C1391" t="s">
        <v>9779</v>
      </c>
      <c r="D1391">
        <v>3</v>
      </c>
      <c r="E1391" t="s">
        <v>92</v>
      </c>
    </row>
    <row r="1392" spans="2:5">
      <c r="B1392" s="65" t="str">
        <f t="shared" si="21"/>
        <v>doc-1463a:1</v>
      </c>
      <c r="C1392" t="s">
        <v>9780</v>
      </c>
      <c r="D1392">
        <v>1</v>
      </c>
      <c r="E1392" t="s">
        <v>1904</v>
      </c>
    </row>
    <row r="1393" spans="2:5">
      <c r="B1393" s="65" t="str">
        <f t="shared" si="21"/>
        <v>doc-1463a:2</v>
      </c>
      <c r="C1393" t="s">
        <v>9780</v>
      </c>
      <c r="D1393">
        <v>2</v>
      </c>
      <c r="E1393" t="s">
        <v>1065</v>
      </c>
    </row>
    <row r="1394" spans="2:5">
      <c r="B1394" s="65" t="str">
        <f t="shared" si="21"/>
        <v>doc-1463a:3</v>
      </c>
      <c r="C1394" t="s">
        <v>9780</v>
      </c>
      <c r="D1394">
        <v>3</v>
      </c>
      <c r="E1394" t="s">
        <v>299</v>
      </c>
    </row>
    <row r="1395" spans="2:5">
      <c r="B1395" s="65" t="str">
        <f t="shared" si="21"/>
        <v>doc-1463a:4</v>
      </c>
      <c r="C1395" t="s">
        <v>9780</v>
      </c>
      <c r="D1395">
        <v>4</v>
      </c>
      <c r="E1395" t="s">
        <v>1838</v>
      </c>
    </row>
    <row r="1396" spans="2:5">
      <c r="B1396" s="65" t="str">
        <f t="shared" si="21"/>
        <v>doc-1463a:5</v>
      </c>
      <c r="C1396" t="s">
        <v>9780</v>
      </c>
      <c r="D1396">
        <v>5</v>
      </c>
      <c r="E1396" t="s">
        <v>1817</v>
      </c>
    </row>
    <row r="1397" spans="2:5">
      <c r="B1397" s="65" t="str">
        <f t="shared" si="21"/>
        <v>doc-1463a:6</v>
      </c>
      <c r="C1397" t="s">
        <v>9780</v>
      </c>
      <c r="D1397">
        <v>6</v>
      </c>
      <c r="E1397" t="s">
        <v>1059</v>
      </c>
    </row>
    <row r="1398" spans="2:5">
      <c r="B1398" s="65" t="str">
        <f t="shared" si="21"/>
        <v>doc-1463a:7</v>
      </c>
      <c r="C1398" t="s">
        <v>9780</v>
      </c>
      <c r="D1398">
        <v>7</v>
      </c>
      <c r="E1398" t="s">
        <v>254</v>
      </c>
    </row>
    <row r="1399" spans="2:5">
      <c r="B1399" s="65" t="str">
        <f t="shared" si="21"/>
        <v>doc-1466:1</v>
      </c>
      <c r="C1399" t="s">
        <v>9781</v>
      </c>
      <c r="D1399">
        <v>1</v>
      </c>
      <c r="E1399" t="s">
        <v>1911</v>
      </c>
    </row>
    <row r="1400" spans="2:5">
      <c r="B1400" s="65" t="str">
        <f t="shared" si="21"/>
        <v>doc-1466:2</v>
      </c>
      <c r="C1400" t="s">
        <v>9781</v>
      </c>
      <c r="D1400">
        <v>2</v>
      </c>
      <c r="E1400" t="s">
        <v>2027</v>
      </c>
    </row>
    <row r="1401" spans="2:5">
      <c r="B1401" s="65" t="str">
        <f t="shared" si="21"/>
        <v>doc-1466:3</v>
      </c>
      <c r="C1401" t="s">
        <v>9781</v>
      </c>
      <c r="D1401">
        <v>3</v>
      </c>
      <c r="E1401" t="s">
        <v>1810</v>
      </c>
    </row>
    <row r="1402" spans="2:5">
      <c r="B1402" s="65" t="str">
        <f t="shared" si="21"/>
        <v>doc-1466:4</v>
      </c>
      <c r="C1402" t="s">
        <v>9781</v>
      </c>
      <c r="D1402">
        <v>4</v>
      </c>
      <c r="E1402" t="s">
        <v>2983</v>
      </c>
    </row>
    <row r="1403" spans="2:5">
      <c r="B1403" s="65" t="str">
        <f t="shared" si="21"/>
        <v>doc-1468a:1</v>
      </c>
      <c r="C1403" t="s">
        <v>9782</v>
      </c>
      <c r="D1403">
        <v>1</v>
      </c>
      <c r="E1403" t="s">
        <v>2087</v>
      </c>
    </row>
    <row r="1404" spans="2:5">
      <c r="B1404" s="65" t="str">
        <f t="shared" si="21"/>
        <v>doc-1468a:2</v>
      </c>
      <c r="C1404" t="s">
        <v>9782</v>
      </c>
      <c r="D1404">
        <v>2</v>
      </c>
      <c r="E1404" t="s">
        <v>1575</v>
      </c>
    </row>
    <row r="1405" spans="2:5">
      <c r="B1405" s="65" t="str">
        <f t="shared" si="21"/>
        <v>doc-1468a:3</v>
      </c>
      <c r="C1405" t="s">
        <v>9782</v>
      </c>
      <c r="D1405">
        <v>3</v>
      </c>
      <c r="E1405" t="s">
        <v>1668</v>
      </c>
    </row>
    <row r="1406" spans="2:5">
      <c r="B1406" s="65" t="str">
        <f t="shared" si="21"/>
        <v>doc-1470a:1</v>
      </c>
      <c r="C1406" t="s">
        <v>9783</v>
      </c>
      <c r="D1406">
        <v>1</v>
      </c>
      <c r="E1406" t="s">
        <v>1407</v>
      </c>
    </row>
    <row r="1407" spans="2:5">
      <c r="B1407" s="65" t="str">
        <f t="shared" si="21"/>
        <v>doc-1470a:2</v>
      </c>
      <c r="C1407" t="s">
        <v>9783</v>
      </c>
      <c r="D1407">
        <v>2</v>
      </c>
      <c r="E1407" t="s">
        <v>1392</v>
      </c>
    </row>
    <row r="1408" spans="2:5">
      <c r="B1408" s="65" t="str">
        <f t="shared" si="21"/>
        <v>doc-1471:1</v>
      </c>
      <c r="C1408" t="s">
        <v>9784</v>
      </c>
      <c r="D1408">
        <v>1</v>
      </c>
      <c r="E1408" t="s">
        <v>2101</v>
      </c>
    </row>
    <row r="1409" spans="2:5">
      <c r="B1409" s="65" t="str">
        <f t="shared" si="21"/>
        <v>doc-1471:2</v>
      </c>
      <c r="C1409" t="s">
        <v>9784</v>
      </c>
      <c r="D1409">
        <v>2</v>
      </c>
      <c r="E1409" t="s">
        <v>2121</v>
      </c>
    </row>
    <row r="1410" spans="2:5">
      <c r="B1410" s="65" t="str">
        <f t="shared" si="21"/>
        <v>doc-1471:3</v>
      </c>
      <c r="C1410" t="s">
        <v>9784</v>
      </c>
      <c r="D1410">
        <v>3</v>
      </c>
      <c r="E1410" t="s">
        <v>1804</v>
      </c>
    </row>
    <row r="1411" spans="2:5">
      <c r="B1411" s="65" t="str">
        <f t="shared" si="21"/>
        <v>doc-1471:4</v>
      </c>
      <c r="C1411" t="s">
        <v>9784</v>
      </c>
      <c r="D1411">
        <v>4</v>
      </c>
      <c r="E1411" t="s">
        <v>281</v>
      </c>
    </row>
    <row r="1412" spans="2:5">
      <c r="B1412" s="65" t="str">
        <f t="shared" ref="B1412:B1475" si="22">$C1412&amp;":"&amp;$D1412</f>
        <v>doc-1472:1</v>
      </c>
      <c r="C1412" t="s">
        <v>9785</v>
      </c>
      <c r="D1412">
        <v>1</v>
      </c>
      <c r="E1412" t="s">
        <v>1944</v>
      </c>
    </row>
    <row r="1413" spans="2:5">
      <c r="B1413" s="65" t="str">
        <f t="shared" si="22"/>
        <v>doc-1472:2</v>
      </c>
      <c r="C1413" t="s">
        <v>9785</v>
      </c>
      <c r="D1413">
        <v>2</v>
      </c>
      <c r="E1413" t="s">
        <v>1813</v>
      </c>
    </row>
    <row r="1414" spans="2:5">
      <c r="B1414" s="65" t="str">
        <f t="shared" si="22"/>
        <v>doc-1472:3</v>
      </c>
      <c r="C1414" t="s">
        <v>9785</v>
      </c>
      <c r="D1414">
        <v>3</v>
      </c>
      <c r="E1414" t="s">
        <v>2106</v>
      </c>
    </row>
    <row r="1415" spans="2:5">
      <c r="B1415" s="65" t="str">
        <f t="shared" si="22"/>
        <v>doc-1474a:1</v>
      </c>
      <c r="C1415" t="s">
        <v>9786</v>
      </c>
      <c r="D1415">
        <v>1</v>
      </c>
      <c r="E1415" t="s">
        <v>1674</v>
      </c>
    </row>
    <row r="1416" spans="2:5">
      <c r="B1416" s="65" t="str">
        <f t="shared" si="22"/>
        <v>doc-1474a:2</v>
      </c>
      <c r="C1416" t="s">
        <v>9786</v>
      </c>
      <c r="D1416">
        <v>2</v>
      </c>
      <c r="E1416" t="s">
        <v>2722</v>
      </c>
    </row>
    <row r="1417" spans="2:5">
      <c r="B1417" s="65" t="str">
        <f t="shared" si="22"/>
        <v>doc-1474a:3</v>
      </c>
      <c r="C1417" t="s">
        <v>9786</v>
      </c>
      <c r="D1417">
        <v>3</v>
      </c>
      <c r="E1417" t="s">
        <v>1696</v>
      </c>
    </row>
    <row r="1418" spans="2:5">
      <c r="B1418" s="65" t="str">
        <f t="shared" si="22"/>
        <v>doc-1474a:4</v>
      </c>
      <c r="C1418" t="s">
        <v>9786</v>
      </c>
      <c r="D1418">
        <v>4</v>
      </c>
      <c r="E1418" t="s">
        <v>2749</v>
      </c>
    </row>
    <row r="1419" spans="2:5">
      <c r="B1419" s="65" t="str">
        <f t="shared" si="22"/>
        <v>doc-1474a:5</v>
      </c>
      <c r="C1419" t="s">
        <v>9786</v>
      </c>
      <c r="D1419">
        <v>5</v>
      </c>
      <c r="E1419" t="s">
        <v>2664</v>
      </c>
    </row>
    <row r="1420" spans="2:5">
      <c r="B1420" s="65" t="str">
        <f t="shared" si="22"/>
        <v>doc-1475:1</v>
      </c>
      <c r="C1420" t="s">
        <v>9787</v>
      </c>
      <c r="D1420">
        <v>1</v>
      </c>
      <c r="E1420" t="s">
        <v>2095</v>
      </c>
    </row>
    <row r="1421" spans="2:5">
      <c r="B1421" s="65" t="str">
        <f t="shared" si="22"/>
        <v>doc-1475:2</v>
      </c>
      <c r="C1421" t="s">
        <v>9787</v>
      </c>
      <c r="D1421">
        <v>2</v>
      </c>
      <c r="E1421" t="s">
        <v>3254</v>
      </c>
    </row>
    <row r="1422" spans="2:5">
      <c r="B1422" s="65" t="str">
        <f t="shared" si="22"/>
        <v>doc-1476a:1</v>
      </c>
      <c r="C1422" t="s">
        <v>9788</v>
      </c>
      <c r="D1422">
        <v>1</v>
      </c>
      <c r="E1422" t="s">
        <v>82</v>
      </c>
    </row>
    <row r="1423" spans="2:5">
      <c r="B1423" s="65" t="str">
        <f t="shared" si="22"/>
        <v>doc-1476a:2</v>
      </c>
      <c r="C1423" t="s">
        <v>9788</v>
      </c>
      <c r="D1423">
        <v>2</v>
      </c>
      <c r="E1423" t="s">
        <v>1078</v>
      </c>
    </row>
    <row r="1424" spans="2:5">
      <c r="B1424" s="65" t="str">
        <f t="shared" si="22"/>
        <v>doc-1478a:1</v>
      </c>
      <c r="C1424" t="s">
        <v>9789</v>
      </c>
      <c r="D1424">
        <v>1</v>
      </c>
      <c r="E1424" t="s">
        <v>2059</v>
      </c>
    </row>
    <row r="1425" spans="2:5">
      <c r="B1425" s="65" t="str">
        <f t="shared" si="22"/>
        <v>doc-1478a:2</v>
      </c>
      <c r="C1425" t="s">
        <v>9789</v>
      </c>
      <c r="D1425">
        <v>2</v>
      </c>
      <c r="E1425" t="s">
        <v>2092</v>
      </c>
    </row>
    <row r="1426" spans="2:5">
      <c r="B1426" s="65" t="str">
        <f t="shared" si="22"/>
        <v>doc-1478a:3</v>
      </c>
      <c r="C1426" t="s">
        <v>9789</v>
      </c>
      <c r="D1426">
        <v>3</v>
      </c>
      <c r="E1426" t="s">
        <v>2137</v>
      </c>
    </row>
    <row r="1427" spans="2:5">
      <c r="B1427" s="65" t="str">
        <f t="shared" si="22"/>
        <v>doc-1478a:4</v>
      </c>
      <c r="C1427" t="s">
        <v>9789</v>
      </c>
      <c r="D1427">
        <v>4</v>
      </c>
      <c r="E1427" t="s">
        <v>1905</v>
      </c>
    </row>
    <row r="1428" spans="2:5">
      <c r="B1428" s="65" t="str">
        <f t="shared" si="22"/>
        <v>doc-1478a:5</v>
      </c>
      <c r="C1428" t="s">
        <v>9789</v>
      </c>
      <c r="D1428">
        <v>5</v>
      </c>
      <c r="E1428" t="s">
        <v>2003</v>
      </c>
    </row>
    <row r="1429" spans="2:5">
      <c r="B1429" s="65" t="str">
        <f t="shared" si="22"/>
        <v>doc-1480:1</v>
      </c>
      <c r="C1429" t="s">
        <v>9790</v>
      </c>
      <c r="D1429">
        <v>1</v>
      </c>
      <c r="E1429" t="s">
        <v>2849</v>
      </c>
    </row>
    <row r="1430" spans="2:5">
      <c r="B1430" s="65" t="str">
        <f t="shared" si="22"/>
        <v>doc-1480:2</v>
      </c>
      <c r="C1430" t="s">
        <v>9790</v>
      </c>
      <c r="D1430">
        <v>2</v>
      </c>
      <c r="E1430" t="s">
        <v>2975</v>
      </c>
    </row>
    <row r="1431" spans="2:5">
      <c r="B1431" s="65" t="str">
        <f t="shared" si="22"/>
        <v>doc-1481a:1</v>
      </c>
      <c r="C1431" t="s">
        <v>9791</v>
      </c>
      <c r="D1431">
        <v>1</v>
      </c>
      <c r="E1431" t="s">
        <v>2143</v>
      </c>
    </row>
    <row r="1432" spans="2:5">
      <c r="B1432" s="65" t="str">
        <f t="shared" si="22"/>
        <v>doc-1481a:2</v>
      </c>
      <c r="C1432" t="s">
        <v>9791</v>
      </c>
      <c r="D1432">
        <v>2</v>
      </c>
      <c r="E1432" t="s">
        <v>2023</v>
      </c>
    </row>
    <row r="1433" spans="2:5">
      <c r="B1433" s="65" t="str">
        <f t="shared" si="22"/>
        <v>doc-1481a:3</v>
      </c>
      <c r="C1433" t="s">
        <v>9791</v>
      </c>
      <c r="D1433">
        <v>3</v>
      </c>
      <c r="E1433" t="s">
        <v>1968</v>
      </c>
    </row>
    <row r="1434" spans="2:5">
      <c r="B1434" s="65" t="str">
        <f t="shared" si="22"/>
        <v>doc-1481a:4</v>
      </c>
      <c r="C1434" t="s">
        <v>9791</v>
      </c>
      <c r="D1434">
        <v>4</v>
      </c>
      <c r="E1434" t="s">
        <v>1813</v>
      </c>
    </row>
    <row r="1435" spans="2:5">
      <c r="B1435" s="65" t="str">
        <f t="shared" si="22"/>
        <v>doc-1481a:5</v>
      </c>
      <c r="C1435" t="s">
        <v>9791</v>
      </c>
      <c r="D1435">
        <v>5</v>
      </c>
      <c r="E1435" t="s">
        <v>1911</v>
      </c>
    </row>
    <row r="1436" spans="2:5">
      <c r="B1436" s="65" t="str">
        <f t="shared" si="22"/>
        <v>doc-1481a:6</v>
      </c>
      <c r="C1436" t="s">
        <v>9791</v>
      </c>
      <c r="D1436">
        <v>6</v>
      </c>
      <c r="E1436" t="s">
        <v>2121</v>
      </c>
    </row>
    <row r="1437" spans="2:5">
      <c r="B1437" s="65" t="str">
        <f t="shared" si="22"/>
        <v>doc-1481b:1</v>
      </c>
      <c r="C1437" t="s">
        <v>9792</v>
      </c>
      <c r="D1437">
        <v>1</v>
      </c>
      <c r="E1437" t="s">
        <v>2143</v>
      </c>
    </row>
    <row r="1438" spans="2:5">
      <c r="B1438" s="65" t="str">
        <f t="shared" si="22"/>
        <v>doc-1481b:2</v>
      </c>
      <c r="C1438" t="s">
        <v>9792</v>
      </c>
      <c r="D1438">
        <v>2</v>
      </c>
      <c r="E1438" t="s">
        <v>2023</v>
      </c>
    </row>
    <row r="1439" spans="2:5">
      <c r="B1439" s="65" t="str">
        <f t="shared" si="22"/>
        <v>doc-1481b:3</v>
      </c>
      <c r="C1439" t="s">
        <v>9792</v>
      </c>
      <c r="D1439">
        <v>3</v>
      </c>
      <c r="E1439" t="s">
        <v>1968</v>
      </c>
    </row>
    <row r="1440" spans="2:5">
      <c r="B1440" s="65" t="str">
        <f t="shared" si="22"/>
        <v>doc-1481b:4</v>
      </c>
      <c r="C1440" t="s">
        <v>9792</v>
      </c>
      <c r="D1440">
        <v>4</v>
      </c>
      <c r="E1440" t="s">
        <v>1813</v>
      </c>
    </row>
    <row r="1441" spans="2:5">
      <c r="B1441" s="65" t="str">
        <f t="shared" si="22"/>
        <v>doc-1481b:5</v>
      </c>
      <c r="C1441" t="s">
        <v>9792</v>
      </c>
      <c r="D1441">
        <v>5</v>
      </c>
      <c r="E1441" t="s">
        <v>1911</v>
      </c>
    </row>
    <row r="1442" spans="2:5">
      <c r="B1442" s="65" t="str">
        <f t="shared" si="22"/>
        <v>doc-1481b:6</v>
      </c>
      <c r="C1442" t="s">
        <v>9792</v>
      </c>
      <c r="D1442">
        <v>6</v>
      </c>
      <c r="E1442" t="s">
        <v>2121</v>
      </c>
    </row>
    <row r="1443" spans="2:5">
      <c r="B1443" s="65" t="str">
        <f t="shared" si="22"/>
        <v>doc-1483:1</v>
      </c>
      <c r="C1443" t="s">
        <v>9793</v>
      </c>
      <c r="D1443">
        <v>1</v>
      </c>
      <c r="E1443" t="s">
        <v>87</v>
      </c>
    </row>
    <row r="1444" spans="2:5">
      <c r="B1444" s="65" t="str">
        <f t="shared" si="22"/>
        <v>doc-1483:2</v>
      </c>
      <c r="C1444" t="s">
        <v>9793</v>
      </c>
      <c r="D1444">
        <v>2</v>
      </c>
      <c r="E1444" t="s">
        <v>1395</v>
      </c>
    </row>
    <row r="1445" spans="2:5">
      <c r="B1445" s="65" t="str">
        <f t="shared" si="22"/>
        <v>doc-1483:3</v>
      </c>
      <c r="C1445" t="s">
        <v>9793</v>
      </c>
      <c r="D1445">
        <v>3</v>
      </c>
      <c r="E1445" t="s">
        <v>2310</v>
      </c>
    </row>
    <row r="1446" spans="2:5">
      <c r="B1446" s="65" t="str">
        <f t="shared" si="22"/>
        <v>doc-1483:4</v>
      </c>
      <c r="C1446" t="s">
        <v>9793</v>
      </c>
      <c r="D1446">
        <v>4</v>
      </c>
      <c r="E1446" t="s">
        <v>2963</v>
      </c>
    </row>
    <row r="1447" spans="2:5">
      <c r="B1447" s="65" t="str">
        <f t="shared" si="22"/>
        <v>doc-1483:5</v>
      </c>
      <c r="C1447" t="s">
        <v>9793</v>
      </c>
      <c r="D1447">
        <v>5</v>
      </c>
      <c r="E1447" t="s">
        <v>73</v>
      </c>
    </row>
    <row r="1448" spans="2:5">
      <c r="B1448" s="65" t="str">
        <f t="shared" si="22"/>
        <v>doc-1483:6</v>
      </c>
      <c r="C1448" t="s">
        <v>9793</v>
      </c>
      <c r="D1448">
        <v>6</v>
      </c>
      <c r="E1448" t="s">
        <v>1349</v>
      </c>
    </row>
    <row r="1449" spans="2:5">
      <c r="B1449" s="65" t="str">
        <f t="shared" si="22"/>
        <v>doc-1483:7</v>
      </c>
      <c r="C1449" t="s">
        <v>9793</v>
      </c>
      <c r="D1449">
        <v>7</v>
      </c>
      <c r="E1449" t="s">
        <v>281</v>
      </c>
    </row>
    <row r="1450" spans="2:5">
      <c r="B1450" s="65" t="str">
        <f t="shared" si="22"/>
        <v>doc-1484a:1</v>
      </c>
      <c r="C1450" t="s">
        <v>9794</v>
      </c>
      <c r="D1450">
        <v>1</v>
      </c>
      <c r="E1450" t="s">
        <v>2023</v>
      </c>
    </row>
    <row r="1451" spans="2:5">
      <c r="B1451" s="65" t="str">
        <f t="shared" si="22"/>
        <v>doc-1484a:2</v>
      </c>
      <c r="C1451" t="s">
        <v>9794</v>
      </c>
      <c r="D1451">
        <v>2</v>
      </c>
      <c r="E1451" t="s">
        <v>1944</v>
      </c>
    </row>
    <row r="1452" spans="2:5">
      <c r="B1452" s="65" t="str">
        <f t="shared" si="22"/>
        <v>doc-1484a:3</v>
      </c>
      <c r="C1452" t="s">
        <v>9794</v>
      </c>
      <c r="D1452">
        <v>3</v>
      </c>
      <c r="E1452" t="s">
        <v>1833</v>
      </c>
    </row>
    <row r="1453" spans="2:5">
      <c r="B1453" s="65" t="str">
        <f t="shared" si="22"/>
        <v>doc-1485a:1</v>
      </c>
      <c r="C1453" t="s">
        <v>9795</v>
      </c>
      <c r="D1453">
        <v>1</v>
      </c>
      <c r="E1453" t="s">
        <v>2698</v>
      </c>
    </row>
    <row r="1454" spans="2:5">
      <c r="B1454" s="65" t="str">
        <f t="shared" si="22"/>
        <v>doc-1485a:2</v>
      </c>
      <c r="C1454" t="s">
        <v>9795</v>
      </c>
      <c r="D1454">
        <v>2</v>
      </c>
      <c r="E1454" t="s">
        <v>1392</v>
      </c>
    </row>
    <row r="1455" spans="2:5">
      <c r="B1455" s="65" t="str">
        <f t="shared" si="22"/>
        <v>doc-1485a:3</v>
      </c>
      <c r="C1455" t="s">
        <v>9795</v>
      </c>
      <c r="D1455">
        <v>3</v>
      </c>
      <c r="E1455" t="s">
        <v>1407</v>
      </c>
    </row>
    <row r="1456" spans="2:5">
      <c r="B1456" s="65" t="str">
        <f t="shared" si="22"/>
        <v>doc-1485a:4</v>
      </c>
      <c r="C1456" t="s">
        <v>9795</v>
      </c>
      <c r="D1456">
        <v>4</v>
      </c>
      <c r="E1456" t="s">
        <v>1663</v>
      </c>
    </row>
    <row r="1457" spans="2:5">
      <c r="B1457" s="65" t="str">
        <f t="shared" si="22"/>
        <v>doc-1485a:5</v>
      </c>
      <c r="C1457" t="s">
        <v>9795</v>
      </c>
      <c r="D1457">
        <v>5</v>
      </c>
      <c r="E1457" t="s">
        <v>2664</v>
      </c>
    </row>
    <row r="1458" spans="2:5">
      <c r="B1458" s="65" t="str">
        <f t="shared" si="22"/>
        <v>doc-1485a:6</v>
      </c>
      <c r="C1458" t="s">
        <v>9795</v>
      </c>
      <c r="D1458">
        <v>6</v>
      </c>
      <c r="E1458" t="s">
        <v>1575</v>
      </c>
    </row>
    <row r="1459" spans="2:5">
      <c r="B1459" s="65" t="str">
        <f t="shared" si="22"/>
        <v>doc-1489b:1</v>
      </c>
      <c r="C1459" t="s">
        <v>9796</v>
      </c>
      <c r="D1459">
        <v>1</v>
      </c>
      <c r="E1459" t="s">
        <v>2176</v>
      </c>
    </row>
    <row r="1460" spans="2:5">
      <c r="B1460" s="65" t="str">
        <f t="shared" si="22"/>
        <v>doc-1489b:2</v>
      </c>
      <c r="C1460" t="s">
        <v>9796</v>
      </c>
      <c r="D1460">
        <v>2</v>
      </c>
      <c r="E1460" t="s">
        <v>2179</v>
      </c>
    </row>
    <row r="1461" spans="2:5">
      <c r="B1461" s="65" t="str">
        <f t="shared" si="22"/>
        <v>doc-1489b:3</v>
      </c>
      <c r="C1461" t="s">
        <v>9796</v>
      </c>
      <c r="D1461">
        <v>3</v>
      </c>
      <c r="E1461" t="s">
        <v>2121</v>
      </c>
    </row>
    <row r="1462" spans="2:5">
      <c r="B1462" s="65" t="str">
        <f t="shared" si="22"/>
        <v>doc-1489b:4</v>
      </c>
      <c r="C1462" t="s">
        <v>9796</v>
      </c>
      <c r="D1462">
        <v>4</v>
      </c>
      <c r="E1462" t="s">
        <v>2847</v>
      </c>
    </row>
    <row r="1463" spans="2:5">
      <c r="B1463" s="65" t="str">
        <f t="shared" si="22"/>
        <v>doc-1489b:5</v>
      </c>
      <c r="C1463" t="s">
        <v>9796</v>
      </c>
      <c r="D1463">
        <v>5</v>
      </c>
      <c r="E1463" t="s">
        <v>2849</v>
      </c>
    </row>
    <row r="1464" spans="2:5">
      <c r="B1464" s="65" t="str">
        <f t="shared" si="22"/>
        <v>doc-1491a:1</v>
      </c>
      <c r="C1464" t="s">
        <v>9797</v>
      </c>
      <c r="D1464">
        <v>1</v>
      </c>
      <c r="E1464" t="s">
        <v>2801</v>
      </c>
    </row>
    <row r="1465" spans="2:5">
      <c r="B1465" s="65" t="str">
        <f t="shared" si="22"/>
        <v>doc-1491a:2</v>
      </c>
      <c r="C1465" t="s">
        <v>9797</v>
      </c>
      <c r="D1465">
        <v>2</v>
      </c>
      <c r="E1465" t="s">
        <v>2771</v>
      </c>
    </row>
    <row r="1466" spans="2:5">
      <c r="B1466" s="65" t="str">
        <f t="shared" si="22"/>
        <v>doc-1492a:1</v>
      </c>
      <c r="C1466" t="s">
        <v>9798</v>
      </c>
      <c r="D1466">
        <v>1</v>
      </c>
      <c r="E1466" t="s">
        <v>2095</v>
      </c>
    </row>
    <row r="1467" spans="2:5">
      <c r="B1467" s="65" t="str">
        <f t="shared" si="22"/>
        <v>doc-1492a:2</v>
      </c>
      <c r="C1467" t="s">
        <v>9798</v>
      </c>
      <c r="D1467">
        <v>2</v>
      </c>
      <c r="E1467" t="s">
        <v>2127</v>
      </c>
    </row>
    <row r="1468" spans="2:5">
      <c r="B1468" s="65" t="str">
        <f t="shared" si="22"/>
        <v>doc-1493:1</v>
      </c>
      <c r="C1468" t="s">
        <v>9799</v>
      </c>
      <c r="D1468">
        <v>1</v>
      </c>
      <c r="E1468" t="s">
        <v>2591</v>
      </c>
    </row>
    <row r="1469" spans="2:5">
      <c r="B1469" s="65" t="str">
        <f t="shared" si="22"/>
        <v>doc-1493:2</v>
      </c>
      <c r="C1469" t="s">
        <v>9799</v>
      </c>
      <c r="D1469">
        <v>2</v>
      </c>
      <c r="E1469" t="s">
        <v>2717</v>
      </c>
    </row>
    <row r="1470" spans="2:5">
      <c r="B1470" s="65" t="str">
        <f t="shared" si="22"/>
        <v>doc-1493:3</v>
      </c>
      <c r="C1470" t="s">
        <v>9799</v>
      </c>
      <c r="D1470">
        <v>3</v>
      </c>
      <c r="E1470" t="s">
        <v>2667</v>
      </c>
    </row>
    <row r="1471" spans="2:5">
      <c r="B1471" s="65" t="str">
        <f t="shared" si="22"/>
        <v>doc-1494a:1</v>
      </c>
      <c r="C1471" t="s">
        <v>9800</v>
      </c>
      <c r="D1471">
        <v>1</v>
      </c>
      <c r="E1471" t="s">
        <v>1392</v>
      </c>
    </row>
    <row r="1472" spans="2:5">
      <c r="B1472" s="65" t="str">
        <f t="shared" si="22"/>
        <v>doc-1494a:2</v>
      </c>
      <c r="C1472" t="s">
        <v>9800</v>
      </c>
      <c r="D1472">
        <v>2</v>
      </c>
      <c r="E1472" t="s">
        <v>2698</v>
      </c>
    </row>
    <row r="1473" spans="2:5">
      <c r="B1473" s="65" t="str">
        <f t="shared" si="22"/>
        <v>doc-1494a:3</v>
      </c>
      <c r="C1473" t="s">
        <v>9800</v>
      </c>
      <c r="D1473">
        <v>3</v>
      </c>
      <c r="E1473" t="s">
        <v>1407</v>
      </c>
    </row>
    <row r="1474" spans="2:5">
      <c r="B1474" s="65" t="str">
        <f t="shared" si="22"/>
        <v>doc-1494a:4</v>
      </c>
      <c r="C1474" t="s">
        <v>9800</v>
      </c>
      <c r="D1474">
        <v>4</v>
      </c>
      <c r="E1474" t="s">
        <v>1663</v>
      </c>
    </row>
    <row r="1475" spans="2:5">
      <c r="B1475" s="65" t="str">
        <f t="shared" si="22"/>
        <v>doc-1494a:5</v>
      </c>
      <c r="C1475" t="s">
        <v>9800</v>
      </c>
      <c r="D1475">
        <v>5</v>
      </c>
      <c r="E1475" t="s">
        <v>2664</v>
      </c>
    </row>
    <row r="1476" spans="2:5">
      <c r="B1476" s="65" t="str">
        <f t="shared" ref="B1476:B1539" si="23">$C1476&amp;":"&amp;$D1476</f>
        <v>doc-1494a:6</v>
      </c>
      <c r="C1476" t="s">
        <v>9800</v>
      </c>
      <c r="D1476">
        <v>6</v>
      </c>
      <c r="E1476" t="s">
        <v>1575</v>
      </c>
    </row>
    <row r="1477" spans="2:5">
      <c r="B1477" s="65" t="str">
        <f t="shared" si="23"/>
        <v>doc-1495a:1</v>
      </c>
      <c r="C1477" t="s">
        <v>9801</v>
      </c>
      <c r="D1477">
        <v>1</v>
      </c>
      <c r="E1477" t="s">
        <v>2173</v>
      </c>
    </row>
    <row r="1478" spans="2:5">
      <c r="B1478" s="65" t="str">
        <f t="shared" si="23"/>
        <v>doc-1495a:2</v>
      </c>
      <c r="C1478" t="s">
        <v>9801</v>
      </c>
      <c r="D1478">
        <v>2</v>
      </c>
      <c r="E1478" t="s">
        <v>2121</v>
      </c>
    </row>
    <row r="1479" spans="2:5">
      <c r="B1479" s="65" t="str">
        <f t="shared" si="23"/>
        <v>doc-1495a:3</v>
      </c>
      <c r="C1479" t="s">
        <v>9801</v>
      </c>
      <c r="D1479">
        <v>3</v>
      </c>
      <c r="E1479" t="s">
        <v>1804</v>
      </c>
    </row>
    <row r="1480" spans="2:5">
      <c r="B1480" s="65" t="str">
        <f t="shared" si="23"/>
        <v>doc-1495a:4</v>
      </c>
      <c r="C1480" t="s">
        <v>9801</v>
      </c>
      <c r="D1480">
        <v>4</v>
      </c>
      <c r="E1480" t="s">
        <v>281</v>
      </c>
    </row>
    <row r="1481" spans="2:5">
      <c r="B1481" s="65" t="str">
        <f t="shared" si="23"/>
        <v>doc-1496a:1</v>
      </c>
      <c r="C1481" t="s">
        <v>9802</v>
      </c>
      <c r="D1481">
        <v>1</v>
      </c>
      <c r="E1481" t="s">
        <v>2884</v>
      </c>
    </row>
    <row r="1482" spans="2:5">
      <c r="B1482" s="65" t="str">
        <f t="shared" si="23"/>
        <v>doc-1496a:2</v>
      </c>
      <c r="C1482" t="s">
        <v>9802</v>
      </c>
      <c r="D1482">
        <v>2</v>
      </c>
      <c r="E1482" t="s">
        <v>2847</v>
      </c>
    </row>
    <row r="1483" spans="2:5">
      <c r="B1483" s="65" t="str">
        <f t="shared" si="23"/>
        <v>doc-1496a:3</v>
      </c>
      <c r="C1483" t="s">
        <v>9802</v>
      </c>
      <c r="D1483">
        <v>3</v>
      </c>
      <c r="E1483" t="s">
        <v>2527</v>
      </c>
    </row>
    <row r="1484" spans="2:5">
      <c r="B1484" s="65" t="str">
        <f t="shared" si="23"/>
        <v>doc-1496a:4</v>
      </c>
      <c r="C1484" t="s">
        <v>9802</v>
      </c>
      <c r="D1484">
        <v>4</v>
      </c>
      <c r="E1484" t="s">
        <v>296</v>
      </c>
    </row>
    <row r="1485" spans="2:5">
      <c r="B1485" s="65" t="str">
        <f t="shared" si="23"/>
        <v>doc-1496a:5</v>
      </c>
      <c r="C1485" t="s">
        <v>9802</v>
      </c>
      <c r="D1485">
        <v>5</v>
      </c>
      <c r="E1485" t="s">
        <v>2849</v>
      </c>
    </row>
    <row r="1486" spans="2:5">
      <c r="B1486" s="65" t="str">
        <f t="shared" si="23"/>
        <v>doc-1497a:1</v>
      </c>
      <c r="C1486" t="s">
        <v>9803</v>
      </c>
      <c r="D1486">
        <v>1</v>
      </c>
      <c r="E1486" t="s">
        <v>2831</v>
      </c>
    </row>
    <row r="1487" spans="2:5">
      <c r="B1487" s="65" t="str">
        <f t="shared" si="23"/>
        <v>doc-1497a:2</v>
      </c>
      <c r="C1487" t="s">
        <v>9803</v>
      </c>
      <c r="D1487">
        <v>2</v>
      </c>
      <c r="E1487" t="s">
        <v>2849</v>
      </c>
    </row>
    <row r="1488" spans="2:5">
      <c r="B1488" s="65" t="str">
        <f t="shared" si="23"/>
        <v>doc-1497a:3</v>
      </c>
      <c r="C1488" t="s">
        <v>9803</v>
      </c>
      <c r="D1488">
        <v>3</v>
      </c>
      <c r="E1488" t="s">
        <v>296</v>
      </c>
    </row>
    <row r="1489" spans="2:5">
      <c r="B1489" s="65" t="str">
        <f t="shared" si="23"/>
        <v>doc-1499:1</v>
      </c>
      <c r="C1489" t="s">
        <v>9804</v>
      </c>
      <c r="D1489">
        <v>1</v>
      </c>
      <c r="E1489" t="s">
        <v>3087</v>
      </c>
    </row>
    <row r="1490" spans="2:5">
      <c r="B1490" s="65" t="str">
        <f t="shared" si="23"/>
        <v>doc-1499:2</v>
      </c>
      <c r="C1490" t="s">
        <v>9804</v>
      </c>
      <c r="D1490">
        <v>2</v>
      </c>
      <c r="E1490" t="s">
        <v>1962</v>
      </c>
    </row>
    <row r="1491" spans="2:5">
      <c r="B1491" s="65" t="str">
        <f t="shared" si="23"/>
        <v>doc-1499:3</v>
      </c>
      <c r="C1491" t="s">
        <v>9804</v>
      </c>
      <c r="D1491">
        <v>3</v>
      </c>
      <c r="E1491" t="s">
        <v>3075</v>
      </c>
    </row>
    <row r="1492" spans="2:5">
      <c r="B1492" s="65" t="str">
        <f t="shared" si="23"/>
        <v>doc-1499:4</v>
      </c>
      <c r="C1492" t="s">
        <v>9804</v>
      </c>
      <c r="D1492">
        <v>4</v>
      </c>
      <c r="E1492" t="s">
        <v>1959</v>
      </c>
    </row>
    <row r="1493" spans="2:5">
      <c r="B1493" s="65" t="str">
        <f t="shared" si="23"/>
        <v>doc-1500a:1</v>
      </c>
      <c r="C1493" t="s">
        <v>9805</v>
      </c>
      <c r="D1493">
        <v>1</v>
      </c>
      <c r="E1493" t="s">
        <v>1224</v>
      </c>
    </row>
    <row r="1494" spans="2:5">
      <c r="B1494" s="65" t="str">
        <f t="shared" si="23"/>
        <v>doc-1500a:2</v>
      </c>
      <c r="C1494" t="s">
        <v>9805</v>
      </c>
      <c r="D1494">
        <v>2</v>
      </c>
      <c r="E1494" t="s">
        <v>1216</v>
      </c>
    </row>
    <row r="1495" spans="2:5">
      <c r="B1495" s="65" t="str">
        <f t="shared" si="23"/>
        <v>doc-1500a:3</v>
      </c>
      <c r="C1495" t="s">
        <v>9805</v>
      </c>
      <c r="D1495">
        <v>3</v>
      </c>
      <c r="E1495" t="s">
        <v>1757</v>
      </c>
    </row>
    <row r="1496" spans="2:5">
      <c r="B1496" s="65" t="str">
        <f t="shared" si="23"/>
        <v>doc-1500a:4</v>
      </c>
      <c r="C1496" t="s">
        <v>9805</v>
      </c>
      <c r="D1496">
        <v>4</v>
      </c>
      <c r="E1496" t="s">
        <v>1775</v>
      </c>
    </row>
    <row r="1497" spans="2:5">
      <c r="B1497" s="65" t="str">
        <f t="shared" si="23"/>
        <v>doc-1501:1</v>
      </c>
      <c r="C1497" t="s">
        <v>9806</v>
      </c>
      <c r="D1497">
        <v>1</v>
      </c>
      <c r="E1497" t="s">
        <v>79</v>
      </c>
    </row>
    <row r="1498" spans="2:5">
      <c r="B1498" s="65" t="str">
        <f t="shared" si="23"/>
        <v>doc-1501:2</v>
      </c>
      <c r="C1498" t="s">
        <v>9806</v>
      </c>
      <c r="D1498">
        <v>2</v>
      </c>
      <c r="E1498" t="s">
        <v>3068</v>
      </c>
    </row>
    <row r="1499" spans="2:5">
      <c r="B1499" s="65" t="str">
        <f t="shared" si="23"/>
        <v>doc-1501:3</v>
      </c>
      <c r="C1499" t="s">
        <v>9806</v>
      </c>
      <c r="D1499">
        <v>3</v>
      </c>
      <c r="E1499" t="s">
        <v>3061</v>
      </c>
    </row>
    <row r="1500" spans="2:5">
      <c r="B1500" s="65" t="str">
        <f t="shared" si="23"/>
        <v>doc-1501:4</v>
      </c>
      <c r="C1500" t="s">
        <v>9806</v>
      </c>
      <c r="D1500">
        <v>4</v>
      </c>
      <c r="E1500" t="s">
        <v>2455</v>
      </c>
    </row>
    <row r="1501" spans="2:5">
      <c r="B1501" s="65" t="str">
        <f t="shared" si="23"/>
        <v>doc-1501:5</v>
      </c>
      <c r="C1501" t="s">
        <v>9806</v>
      </c>
      <c r="D1501">
        <v>5</v>
      </c>
      <c r="E1501" t="s">
        <v>3058</v>
      </c>
    </row>
    <row r="1502" spans="2:5">
      <c r="B1502" s="65" t="str">
        <f t="shared" si="23"/>
        <v>doc-1501:6</v>
      </c>
      <c r="C1502" t="s">
        <v>9806</v>
      </c>
      <c r="D1502">
        <v>6</v>
      </c>
      <c r="E1502" t="s">
        <v>247</v>
      </c>
    </row>
    <row r="1503" spans="2:5">
      <c r="B1503" s="65" t="str">
        <f t="shared" si="23"/>
        <v>doc-1503a:1</v>
      </c>
      <c r="C1503" t="s">
        <v>9807</v>
      </c>
      <c r="D1503">
        <v>1</v>
      </c>
      <c r="E1503" t="s">
        <v>2864</v>
      </c>
    </row>
    <row r="1504" spans="2:5">
      <c r="B1504" s="65" t="str">
        <f t="shared" si="23"/>
        <v>doc-1503a:2</v>
      </c>
      <c r="C1504" t="s">
        <v>9807</v>
      </c>
      <c r="D1504">
        <v>2</v>
      </c>
      <c r="E1504" t="s">
        <v>2847</v>
      </c>
    </row>
    <row r="1505" spans="2:5">
      <c r="B1505" s="65" t="str">
        <f t="shared" si="23"/>
        <v>doc-1503a:3</v>
      </c>
      <c r="C1505" t="s">
        <v>9807</v>
      </c>
      <c r="D1505">
        <v>3</v>
      </c>
      <c r="E1505" t="s">
        <v>2849</v>
      </c>
    </row>
    <row r="1506" spans="2:5">
      <c r="B1506" s="65" t="str">
        <f t="shared" si="23"/>
        <v>doc-1503a:4</v>
      </c>
      <c r="C1506" t="s">
        <v>9807</v>
      </c>
      <c r="D1506">
        <v>4</v>
      </c>
      <c r="E1506" t="s">
        <v>2121</v>
      </c>
    </row>
    <row r="1507" spans="2:5">
      <c r="B1507" s="65" t="str">
        <f t="shared" si="23"/>
        <v>doc-1503a:5</v>
      </c>
      <c r="C1507" t="s">
        <v>9807</v>
      </c>
      <c r="D1507">
        <v>5</v>
      </c>
      <c r="E1507" t="s">
        <v>2179</v>
      </c>
    </row>
    <row r="1508" spans="2:5">
      <c r="B1508" s="65" t="str">
        <f t="shared" si="23"/>
        <v>doc-1504a:1</v>
      </c>
      <c r="C1508" t="s">
        <v>9808</v>
      </c>
      <c r="D1508">
        <v>1</v>
      </c>
      <c r="E1508" t="s">
        <v>2089</v>
      </c>
    </row>
    <row r="1509" spans="2:5">
      <c r="B1509" s="65" t="str">
        <f t="shared" si="23"/>
        <v>doc-1504a:2</v>
      </c>
      <c r="C1509" t="s">
        <v>9808</v>
      </c>
      <c r="D1509">
        <v>2</v>
      </c>
      <c r="E1509" t="s">
        <v>2087</v>
      </c>
    </row>
    <row r="1510" spans="2:5">
      <c r="B1510" s="65" t="str">
        <f t="shared" si="23"/>
        <v>doc-1504a:3</v>
      </c>
      <c r="C1510" t="s">
        <v>9808</v>
      </c>
      <c r="D1510">
        <v>3</v>
      </c>
      <c r="E1510" t="s">
        <v>1833</v>
      </c>
    </row>
    <row r="1511" spans="2:5">
      <c r="B1511" s="65" t="str">
        <f t="shared" si="23"/>
        <v>doc-1505a:1</v>
      </c>
      <c r="C1511" t="s">
        <v>9809</v>
      </c>
      <c r="D1511">
        <v>1</v>
      </c>
      <c r="E1511" t="s">
        <v>2698</v>
      </c>
    </row>
    <row r="1512" spans="2:5">
      <c r="B1512" s="65" t="str">
        <f t="shared" si="23"/>
        <v>doc-1505a:2</v>
      </c>
      <c r="C1512" t="s">
        <v>9809</v>
      </c>
      <c r="D1512">
        <v>2</v>
      </c>
      <c r="E1512" t="s">
        <v>2664</v>
      </c>
    </row>
    <row r="1513" spans="2:5">
      <c r="B1513" s="65" t="str">
        <f t="shared" si="23"/>
        <v>doc-1505a:3</v>
      </c>
      <c r="C1513" t="s">
        <v>9809</v>
      </c>
      <c r="D1513">
        <v>3</v>
      </c>
      <c r="E1513" t="s">
        <v>1833</v>
      </c>
    </row>
    <row r="1514" spans="2:5">
      <c r="B1514" s="65" t="str">
        <f t="shared" si="23"/>
        <v>doc-1506a:1</v>
      </c>
      <c r="C1514" t="s">
        <v>9810</v>
      </c>
      <c r="D1514">
        <v>1</v>
      </c>
      <c r="E1514" t="s">
        <v>1321</v>
      </c>
    </row>
    <row r="1515" spans="2:5">
      <c r="B1515" s="65" t="str">
        <f t="shared" si="23"/>
        <v>doc-1506a:2</v>
      </c>
      <c r="C1515" t="s">
        <v>9810</v>
      </c>
      <c r="D1515">
        <v>2</v>
      </c>
      <c r="E1515" t="s">
        <v>299</v>
      </c>
    </row>
    <row r="1516" spans="2:5">
      <c r="B1516" s="65" t="str">
        <f t="shared" si="23"/>
        <v>doc-1506a:3</v>
      </c>
      <c r="C1516" t="s">
        <v>9810</v>
      </c>
      <c r="D1516">
        <v>3</v>
      </c>
      <c r="E1516" t="s">
        <v>1417</v>
      </c>
    </row>
    <row r="1517" spans="2:5">
      <c r="B1517" s="65" t="str">
        <f t="shared" si="23"/>
        <v>doc-1517:1</v>
      </c>
      <c r="C1517" t="s">
        <v>9811</v>
      </c>
      <c r="D1517">
        <v>1</v>
      </c>
      <c r="E1517" t="s">
        <v>1856</v>
      </c>
    </row>
    <row r="1518" spans="2:5">
      <c r="B1518" s="65" t="str">
        <f t="shared" si="23"/>
        <v>doc-1517:2</v>
      </c>
      <c r="C1518" t="s">
        <v>9811</v>
      </c>
      <c r="D1518">
        <v>2</v>
      </c>
      <c r="E1518" t="s">
        <v>1825</v>
      </c>
    </row>
    <row r="1519" spans="2:5">
      <c r="B1519" s="65" t="str">
        <f t="shared" si="23"/>
        <v>doc-1517:3</v>
      </c>
      <c r="C1519" t="s">
        <v>9811</v>
      </c>
      <c r="D1519">
        <v>3</v>
      </c>
      <c r="E1519" t="s">
        <v>1425</v>
      </c>
    </row>
    <row r="1520" spans="2:5">
      <c r="B1520" s="65" t="str">
        <f t="shared" si="23"/>
        <v>doc-1517:4</v>
      </c>
      <c r="C1520" t="s">
        <v>9811</v>
      </c>
      <c r="D1520">
        <v>4</v>
      </c>
      <c r="E1520" t="s">
        <v>1349</v>
      </c>
    </row>
    <row r="1521" spans="2:5">
      <c r="B1521" s="65" t="str">
        <f t="shared" si="23"/>
        <v>doc-1517:5</v>
      </c>
      <c r="C1521" t="s">
        <v>9811</v>
      </c>
      <c r="D1521">
        <v>5</v>
      </c>
      <c r="E1521" t="s">
        <v>1420</v>
      </c>
    </row>
    <row r="1522" spans="2:5">
      <c r="B1522" s="65" t="str">
        <f t="shared" si="23"/>
        <v>doc-1517:6</v>
      </c>
      <c r="C1522" t="s">
        <v>9811</v>
      </c>
      <c r="D1522">
        <v>6</v>
      </c>
      <c r="E1522" t="s">
        <v>3056</v>
      </c>
    </row>
    <row r="1523" spans="2:5">
      <c r="B1523" s="65" t="str">
        <f t="shared" si="23"/>
        <v>doc-1521:1</v>
      </c>
      <c r="C1523" t="s">
        <v>9812</v>
      </c>
      <c r="D1523">
        <v>1</v>
      </c>
      <c r="E1523" t="s">
        <v>1833</v>
      </c>
    </row>
    <row r="1524" spans="2:5">
      <c r="B1524" s="65" t="str">
        <f t="shared" si="23"/>
        <v>doc-1522:1</v>
      </c>
      <c r="C1524" t="s">
        <v>9813</v>
      </c>
      <c r="D1524">
        <v>1</v>
      </c>
      <c r="E1524" t="s">
        <v>1757</v>
      </c>
    </row>
    <row r="1525" spans="2:5">
      <c r="B1525" s="65" t="str">
        <f t="shared" si="23"/>
        <v>doc-1523a:1</v>
      </c>
      <c r="C1525" t="s">
        <v>9814</v>
      </c>
      <c r="D1525">
        <v>1</v>
      </c>
      <c r="E1525" t="s">
        <v>2485</v>
      </c>
    </row>
    <row r="1526" spans="2:5">
      <c r="B1526" s="65" t="str">
        <f t="shared" si="23"/>
        <v>doc-1523a:2</v>
      </c>
      <c r="C1526" t="s">
        <v>9814</v>
      </c>
      <c r="D1526">
        <v>2</v>
      </c>
      <c r="E1526" t="s">
        <v>2422</v>
      </c>
    </row>
    <row r="1527" spans="2:5">
      <c r="B1527" s="65" t="str">
        <f t="shared" si="23"/>
        <v>doc-1524:1</v>
      </c>
      <c r="C1527" t="s">
        <v>9815</v>
      </c>
      <c r="D1527">
        <v>1</v>
      </c>
      <c r="E1527" t="s">
        <v>1227</v>
      </c>
    </row>
    <row r="1528" spans="2:5">
      <c r="B1528" s="65" t="str">
        <f t="shared" si="23"/>
        <v>doc-1524:2</v>
      </c>
      <c r="C1528" t="s">
        <v>9815</v>
      </c>
      <c r="D1528">
        <v>2</v>
      </c>
      <c r="E1528" t="s">
        <v>1561</v>
      </c>
    </row>
    <row r="1529" spans="2:5">
      <c r="B1529" s="65" t="str">
        <f t="shared" si="23"/>
        <v>doc-1524:3</v>
      </c>
      <c r="C1529" t="s">
        <v>9815</v>
      </c>
      <c r="D1529">
        <v>3</v>
      </c>
      <c r="E1529" t="s">
        <v>1078</v>
      </c>
    </row>
    <row r="1530" spans="2:5">
      <c r="B1530" s="65" t="str">
        <f t="shared" si="23"/>
        <v>doc-1524:4</v>
      </c>
      <c r="C1530" t="s">
        <v>9815</v>
      </c>
      <c r="D1530">
        <v>4</v>
      </c>
      <c r="E1530" t="s">
        <v>2532</v>
      </c>
    </row>
    <row r="1531" spans="2:5">
      <c r="B1531" s="65" t="str">
        <f t="shared" si="23"/>
        <v>doc-1524:5</v>
      </c>
      <c r="C1531" t="s">
        <v>9815</v>
      </c>
      <c r="D1531">
        <v>5</v>
      </c>
      <c r="E1531" t="s">
        <v>1221</v>
      </c>
    </row>
    <row r="1532" spans="2:5">
      <c r="B1532" s="65" t="str">
        <f t="shared" si="23"/>
        <v>doc-1524:6</v>
      </c>
      <c r="C1532" t="s">
        <v>9815</v>
      </c>
      <c r="D1532">
        <v>6</v>
      </c>
      <c r="E1532" t="s">
        <v>1203</v>
      </c>
    </row>
    <row r="1533" spans="2:5">
      <c r="B1533" s="65" t="str">
        <f t="shared" si="23"/>
        <v>doc-1525a:1</v>
      </c>
      <c r="C1533" t="s">
        <v>9816</v>
      </c>
      <c r="D1533">
        <v>1</v>
      </c>
      <c r="E1533" t="s">
        <v>1417</v>
      </c>
    </row>
    <row r="1534" spans="2:5">
      <c r="B1534" s="65" t="str">
        <f t="shared" si="23"/>
        <v>doc-1525a:2</v>
      </c>
      <c r="C1534" t="s">
        <v>9816</v>
      </c>
      <c r="D1534">
        <v>2</v>
      </c>
      <c r="E1534" t="s">
        <v>1224</v>
      </c>
    </row>
    <row r="1535" spans="2:5">
      <c r="B1535" s="65" t="str">
        <f t="shared" si="23"/>
        <v>doc-1525a:3</v>
      </c>
      <c r="C1535" t="s">
        <v>9816</v>
      </c>
      <c r="D1535">
        <v>3</v>
      </c>
      <c r="E1535" t="s">
        <v>1757</v>
      </c>
    </row>
    <row r="1536" spans="2:5">
      <c r="B1536" s="65" t="str">
        <f t="shared" si="23"/>
        <v>doc-1525a:4</v>
      </c>
      <c r="C1536" t="s">
        <v>9816</v>
      </c>
      <c r="D1536">
        <v>4</v>
      </c>
      <c r="E1536" t="s">
        <v>1321</v>
      </c>
    </row>
    <row r="1537" spans="2:5">
      <c r="B1537" s="65" t="str">
        <f t="shared" si="23"/>
        <v>doc-1526:1</v>
      </c>
      <c r="C1537" t="s">
        <v>9817</v>
      </c>
      <c r="D1537">
        <v>1</v>
      </c>
      <c r="E1537" t="s">
        <v>2012</v>
      </c>
    </row>
    <row r="1538" spans="2:5">
      <c r="B1538" s="65" t="str">
        <f t="shared" si="23"/>
        <v>doc-1526:2</v>
      </c>
      <c r="C1538" t="s">
        <v>9817</v>
      </c>
      <c r="D1538">
        <v>2</v>
      </c>
      <c r="E1538" t="s">
        <v>2729</v>
      </c>
    </row>
    <row r="1539" spans="2:5">
      <c r="B1539" s="65" t="str">
        <f t="shared" si="23"/>
        <v>doc-1526:3</v>
      </c>
      <c r="C1539" t="s">
        <v>9817</v>
      </c>
      <c r="D1539">
        <v>3</v>
      </c>
      <c r="E1539" t="s">
        <v>1911</v>
      </c>
    </row>
    <row r="1540" spans="2:5">
      <c r="B1540" s="65" t="str">
        <f t="shared" ref="B1540:B1603" si="24">$C1540&amp;":"&amp;$D1540</f>
        <v>doc-1526:4</v>
      </c>
      <c r="C1540" t="s">
        <v>9817</v>
      </c>
      <c r="D1540">
        <v>4</v>
      </c>
      <c r="E1540" t="s">
        <v>2667</v>
      </c>
    </row>
    <row r="1541" spans="2:5">
      <c r="B1541" s="65" t="str">
        <f t="shared" si="24"/>
        <v>doc-1527:1</v>
      </c>
      <c r="C1541" t="s">
        <v>9818</v>
      </c>
      <c r="D1541">
        <v>1</v>
      </c>
      <c r="E1541" t="s">
        <v>2059</v>
      </c>
    </row>
    <row r="1542" spans="2:5">
      <c r="B1542" s="65" t="str">
        <f t="shared" si="24"/>
        <v>doc-1527:2</v>
      </c>
      <c r="C1542" t="s">
        <v>9818</v>
      </c>
      <c r="D1542">
        <v>2</v>
      </c>
      <c r="E1542" t="s">
        <v>2092</v>
      </c>
    </row>
    <row r="1543" spans="2:5">
      <c r="B1543" s="65" t="str">
        <f t="shared" si="24"/>
        <v>doc-1527:3</v>
      </c>
      <c r="C1543" t="s">
        <v>9818</v>
      </c>
      <c r="D1543">
        <v>3</v>
      </c>
      <c r="E1543" t="s">
        <v>2137</v>
      </c>
    </row>
    <row r="1544" spans="2:5">
      <c r="B1544" s="65" t="str">
        <f t="shared" si="24"/>
        <v>doc-1527:4</v>
      </c>
      <c r="C1544" t="s">
        <v>9818</v>
      </c>
      <c r="D1544">
        <v>4</v>
      </c>
      <c r="E1544" t="s">
        <v>2167</v>
      </c>
    </row>
    <row r="1545" spans="2:5">
      <c r="B1545" s="65" t="str">
        <f t="shared" si="24"/>
        <v>doc-1527:5</v>
      </c>
      <c r="C1545" t="s">
        <v>9818</v>
      </c>
      <c r="D1545">
        <v>5</v>
      </c>
      <c r="E1545" t="s">
        <v>1905</v>
      </c>
    </row>
    <row r="1546" spans="2:5">
      <c r="B1546" s="65" t="str">
        <f t="shared" si="24"/>
        <v>doc-1527:6</v>
      </c>
      <c r="C1546" t="s">
        <v>9818</v>
      </c>
      <c r="D1546">
        <v>6</v>
      </c>
      <c r="E1546" t="s">
        <v>2003</v>
      </c>
    </row>
    <row r="1547" spans="2:5">
      <c r="B1547" s="65" t="str">
        <f t="shared" si="24"/>
        <v>doc-1529:1</v>
      </c>
      <c r="C1547" t="s">
        <v>9819</v>
      </c>
      <c r="D1547">
        <v>1</v>
      </c>
      <c r="E1547" t="s">
        <v>1853</v>
      </c>
    </row>
    <row r="1548" spans="2:5">
      <c r="B1548" s="65" t="str">
        <f t="shared" si="24"/>
        <v>doc-1529:2</v>
      </c>
      <c r="C1548" t="s">
        <v>9819</v>
      </c>
      <c r="D1548">
        <v>2</v>
      </c>
      <c r="E1548" t="s">
        <v>1817</v>
      </c>
    </row>
    <row r="1549" spans="2:5">
      <c r="B1549" s="65" t="str">
        <f t="shared" si="24"/>
        <v>doc-1529:3</v>
      </c>
      <c r="C1549" t="s">
        <v>9819</v>
      </c>
      <c r="D1549">
        <v>3</v>
      </c>
      <c r="E1549" t="s">
        <v>1905</v>
      </c>
    </row>
    <row r="1550" spans="2:5">
      <c r="B1550" s="65" t="str">
        <f t="shared" si="24"/>
        <v>doc-1529:4</v>
      </c>
      <c r="C1550" t="s">
        <v>9819</v>
      </c>
      <c r="D1550">
        <v>4</v>
      </c>
      <c r="E1550" t="s">
        <v>2059</v>
      </c>
    </row>
    <row r="1551" spans="2:5">
      <c r="B1551" s="65" t="str">
        <f t="shared" si="24"/>
        <v>doc-1529:5</v>
      </c>
      <c r="C1551" t="s">
        <v>9819</v>
      </c>
      <c r="D1551">
        <v>5</v>
      </c>
      <c r="E1551" t="s">
        <v>2036</v>
      </c>
    </row>
    <row r="1552" spans="2:5">
      <c r="B1552" s="65" t="str">
        <f t="shared" si="24"/>
        <v>doc-1529:6</v>
      </c>
      <c r="C1552" t="s">
        <v>9819</v>
      </c>
      <c r="D1552">
        <v>6</v>
      </c>
      <c r="E1552" t="s">
        <v>1921</v>
      </c>
    </row>
    <row r="1553" spans="2:5">
      <c r="B1553" s="65" t="str">
        <f t="shared" si="24"/>
        <v>doc-1529:7</v>
      </c>
      <c r="C1553" t="s">
        <v>9819</v>
      </c>
      <c r="D1553">
        <v>7</v>
      </c>
      <c r="E1553" t="s">
        <v>1838</v>
      </c>
    </row>
    <row r="1554" spans="2:5">
      <c r="B1554" s="65" t="str">
        <f t="shared" si="24"/>
        <v>doc-1529:8</v>
      </c>
      <c r="C1554" t="s">
        <v>9819</v>
      </c>
      <c r="D1554">
        <v>8</v>
      </c>
      <c r="E1554" t="s">
        <v>1904</v>
      </c>
    </row>
    <row r="1555" spans="2:5">
      <c r="B1555" s="65" t="str">
        <f t="shared" si="24"/>
        <v>doc-1529:9</v>
      </c>
      <c r="C1555" t="s">
        <v>9819</v>
      </c>
      <c r="D1555">
        <v>9</v>
      </c>
      <c r="E1555" t="s">
        <v>2003</v>
      </c>
    </row>
    <row r="1556" spans="2:5">
      <c r="B1556" s="65" t="str">
        <f t="shared" si="24"/>
        <v>doc-1530:1</v>
      </c>
      <c r="C1556" t="s">
        <v>9820</v>
      </c>
      <c r="D1556">
        <v>1</v>
      </c>
      <c r="E1556" t="s">
        <v>2529</v>
      </c>
    </row>
    <row r="1557" spans="2:5">
      <c r="B1557" s="65" t="str">
        <f t="shared" si="24"/>
        <v>doc-1530:2</v>
      </c>
      <c r="C1557" t="s">
        <v>9820</v>
      </c>
      <c r="D1557">
        <v>2</v>
      </c>
      <c r="E1557" t="s">
        <v>281</v>
      </c>
    </row>
    <row r="1558" spans="2:5">
      <c r="B1558" s="65" t="str">
        <f t="shared" si="24"/>
        <v>doc-1531:1</v>
      </c>
      <c r="C1558" t="s">
        <v>5897</v>
      </c>
      <c r="D1558">
        <v>1</v>
      </c>
      <c r="E1558" t="s">
        <v>2179</v>
      </c>
    </row>
    <row r="1559" spans="2:5">
      <c r="B1559" s="65" t="str">
        <f t="shared" si="24"/>
        <v>doc-1531:2</v>
      </c>
      <c r="C1559" t="s">
        <v>5897</v>
      </c>
      <c r="D1559">
        <v>2</v>
      </c>
      <c r="E1559" t="s">
        <v>2121</v>
      </c>
    </row>
    <row r="1560" spans="2:5">
      <c r="B1560" s="65" t="str">
        <f t="shared" si="24"/>
        <v>doc-1532:1</v>
      </c>
      <c r="C1560" t="s">
        <v>9821</v>
      </c>
      <c r="D1560">
        <v>1</v>
      </c>
      <c r="E1560" t="s">
        <v>2179</v>
      </c>
    </row>
    <row r="1561" spans="2:5">
      <c r="B1561" s="65" t="str">
        <f t="shared" si="24"/>
        <v>doc-1532:2</v>
      </c>
      <c r="C1561" t="s">
        <v>9821</v>
      </c>
      <c r="D1561">
        <v>2</v>
      </c>
      <c r="E1561" t="s">
        <v>2121</v>
      </c>
    </row>
    <row r="1562" spans="2:5">
      <c r="B1562" s="65" t="str">
        <f t="shared" si="24"/>
        <v>doc-1533:1</v>
      </c>
      <c r="C1562" t="s">
        <v>9822</v>
      </c>
      <c r="D1562">
        <v>1</v>
      </c>
      <c r="E1562" t="s">
        <v>2983</v>
      </c>
    </row>
    <row r="1563" spans="2:5">
      <c r="B1563" s="65" t="str">
        <f t="shared" si="24"/>
        <v>doc-1533:2</v>
      </c>
      <c r="C1563" t="s">
        <v>9822</v>
      </c>
      <c r="D1563">
        <v>2</v>
      </c>
      <c r="E1563" t="s">
        <v>2996</v>
      </c>
    </row>
    <row r="1564" spans="2:5">
      <c r="B1564" s="65" t="str">
        <f t="shared" si="24"/>
        <v>doc-1533:3</v>
      </c>
      <c r="C1564" t="s">
        <v>9822</v>
      </c>
      <c r="D1564">
        <v>3</v>
      </c>
      <c r="E1564" t="s">
        <v>1911</v>
      </c>
    </row>
    <row r="1565" spans="2:5">
      <c r="B1565" s="65" t="str">
        <f t="shared" si="24"/>
        <v>doc-1533:4</v>
      </c>
      <c r="C1565" t="s">
        <v>9822</v>
      </c>
      <c r="D1565">
        <v>4</v>
      </c>
      <c r="E1565" t="s">
        <v>1880</v>
      </c>
    </row>
    <row r="1566" spans="2:5">
      <c r="B1566" s="65" t="str">
        <f t="shared" si="24"/>
        <v>doc-1534:1</v>
      </c>
      <c r="C1566" t="s">
        <v>9823</v>
      </c>
      <c r="D1566">
        <v>1</v>
      </c>
      <c r="E1566" t="s">
        <v>1962</v>
      </c>
    </row>
    <row r="1567" spans="2:5">
      <c r="B1567" s="65" t="str">
        <f t="shared" si="24"/>
        <v>doc-1534:2</v>
      </c>
      <c r="C1567" t="s">
        <v>9823</v>
      </c>
      <c r="D1567">
        <v>2</v>
      </c>
      <c r="E1567" t="s">
        <v>1965</v>
      </c>
    </row>
    <row r="1568" spans="2:5">
      <c r="B1568" s="65" t="str">
        <f t="shared" si="24"/>
        <v>doc-1535:1</v>
      </c>
      <c r="C1568" t="s">
        <v>9824</v>
      </c>
      <c r="D1568">
        <v>1</v>
      </c>
      <c r="E1568" t="s">
        <v>3075</v>
      </c>
    </row>
    <row r="1569" spans="2:5">
      <c r="B1569" s="65" t="str">
        <f t="shared" si="24"/>
        <v>doc-1535:2</v>
      </c>
      <c r="C1569" t="s">
        <v>9824</v>
      </c>
      <c r="D1569">
        <v>2</v>
      </c>
      <c r="E1569" t="s">
        <v>1533</v>
      </c>
    </row>
    <row r="1570" spans="2:5">
      <c r="B1570" s="65" t="str">
        <f t="shared" si="24"/>
        <v>doc-1535:3</v>
      </c>
      <c r="C1570" t="s">
        <v>9824</v>
      </c>
      <c r="D1570">
        <v>3</v>
      </c>
      <c r="E1570" t="s">
        <v>3078</v>
      </c>
    </row>
    <row r="1571" spans="2:5">
      <c r="B1571" s="65" t="str">
        <f t="shared" si="24"/>
        <v>doc-1535:4</v>
      </c>
      <c r="C1571" t="s">
        <v>9824</v>
      </c>
      <c r="D1571">
        <v>4</v>
      </c>
      <c r="E1571" t="s">
        <v>3076</v>
      </c>
    </row>
    <row r="1572" spans="2:5">
      <c r="B1572" s="65" t="str">
        <f t="shared" si="24"/>
        <v>doc-1536:1</v>
      </c>
      <c r="C1572" t="s">
        <v>9825</v>
      </c>
      <c r="D1572">
        <v>1</v>
      </c>
      <c r="E1572" t="s">
        <v>3075</v>
      </c>
    </row>
    <row r="1573" spans="2:5">
      <c r="B1573" s="65" t="str">
        <f t="shared" si="24"/>
        <v>doc-1536:2</v>
      </c>
      <c r="C1573" t="s">
        <v>9825</v>
      </c>
      <c r="D1573">
        <v>2</v>
      </c>
      <c r="E1573" t="s">
        <v>1533</v>
      </c>
    </row>
    <row r="1574" spans="2:5">
      <c r="B1574" s="65" t="str">
        <f t="shared" si="24"/>
        <v>doc-1536:3</v>
      </c>
      <c r="C1574" t="s">
        <v>9825</v>
      </c>
      <c r="D1574">
        <v>3</v>
      </c>
      <c r="E1574" t="s">
        <v>3078</v>
      </c>
    </row>
    <row r="1575" spans="2:5">
      <c r="B1575" s="65" t="str">
        <f t="shared" si="24"/>
        <v>doc-1536:4</v>
      </c>
      <c r="C1575" t="s">
        <v>9825</v>
      </c>
      <c r="D1575">
        <v>4</v>
      </c>
      <c r="E1575" t="s">
        <v>3076</v>
      </c>
    </row>
    <row r="1576" spans="2:5">
      <c r="B1576" s="65" t="str">
        <f t="shared" si="24"/>
        <v>doc-1538:1</v>
      </c>
      <c r="C1576" t="s">
        <v>9826</v>
      </c>
      <c r="D1576">
        <v>1</v>
      </c>
      <c r="E1576" t="s">
        <v>73</v>
      </c>
    </row>
    <row r="1577" spans="2:5">
      <c r="B1577" s="65" t="str">
        <f t="shared" si="24"/>
        <v>doc-1538:2</v>
      </c>
      <c r="C1577" t="s">
        <v>9826</v>
      </c>
      <c r="D1577">
        <v>2</v>
      </c>
      <c r="E1577" t="s">
        <v>2950</v>
      </c>
    </row>
    <row r="1578" spans="2:5">
      <c r="B1578" s="65" t="str">
        <f t="shared" si="24"/>
        <v>doc-1538:3</v>
      </c>
      <c r="C1578" t="s">
        <v>9826</v>
      </c>
      <c r="D1578">
        <v>3</v>
      </c>
      <c r="E1578" t="s">
        <v>90</v>
      </c>
    </row>
    <row r="1579" spans="2:5">
      <c r="B1579" s="65" t="str">
        <f t="shared" si="24"/>
        <v>doc-1538:4</v>
      </c>
      <c r="C1579" t="s">
        <v>9826</v>
      </c>
      <c r="D1579">
        <v>4</v>
      </c>
      <c r="E1579" t="s">
        <v>2967</v>
      </c>
    </row>
    <row r="1580" spans="2:5">
      <c r="B1580" s="65" t="str">
        <f t="shared" si="24"/>
        <v>doc-1538:5</v>
      </c>
      <c r="C1580" t="s">
        <v>9826</v>
      </c>
      <c r="D1580">
        <v>5</v>
      </c>
      <c r="E1580" t="s">
        <v>2936</v>
      </c>
    </row>
    <row r="1581" spans="2:5">
      <c r="B1581" s="65" t="str">
        <f t="shared" si="24"/>
        <v>doc-1538:6</v>
      </c>
      <c r="C1581" t="s">
        <v>9826</v>
      </c>
      <c r="D1581">
        <v>6</v>
      </c>
      <c r="E1581" t="s">
        <v>1578</v>
      </c>
    </row>
    <row r="1582" spans="2:5">
      <c r="B1582" s="65" t="str">
        <f t="shared" si="24"/>
        <v>doc-1538:7</v>
      </c>
      <c r="C1582" t="s">
        <v>9826</v>
      </c>
      <c r="D1582">
        <v>7</v>
      </c>
      <c r="E1582" t="s">
        <v>281</v>
      </c>
    </row>
    <row r="1583" spans="2:5">
      <c r="B1583" s="65" t="str">
        <f t="shared" si="24"/>
        <v>doc-1539:1</v>
      </c>
      <c r="C1583" t="s">
        <v>9827</v>
      </c>
      <c r="D1583">
        <v>1</v>
      </c>
      <c r="E1583" t="s">
        <v>2269</v>
      </c>
    </row>
    <row r="1584" spans="2:5">
      <c r="B1584" s="65" t="str">
        <f t="shared" si="24"/>
        <v>doc-1539:2</v>
      </c>
      <c r="C1584" t="s">
        <v>9827</v>
      </c>
      <c r="D1584">
        <v>2</v>
      </c>
      <c r="E1584" t="s">
        <v>2003</v>
      </c>
    </row>
    <row r="1585" spans="2:5">
      <c r="B1585" s="65" t="str">
        <f t="shared" si="24"/>
        <v>doc-1539:3</v>
      </c>
      <c r="C1585" t="s">
        <v>9827</v>
      </c>
      <c r="D1585">
        <v>3</v>
      </c>
      <c r="E1585" t="s">
        <v>1905</v>
      </c>
    </row>
    <row r="1586" spans="2:5">
      <c r="B1586" s="65" t="str">
        <f t="shared" si="24"/>
        <v>doc-1539:4</v>
      </c>
      <c r="C1586" t="s">
        <v>9827</v>
      </c>
      <c r="D1586">
        <v>4</v>
      </c>
      <c r="E1586" t="s">
        <v>2092</v>
      </c>
    </row>
    <row r="1587" spans="2:5">
      <c r="B1587" s="65" t="str">
        <f t="shared" si="24"/>
        <v>doc-1539:5</v>
      </c>
      <c r="C1587" t="s">
        <v>9827</v>
      </c>
      <c r="D1587">
        <v>5</v>
      </c>
      <c r="E1587" t="s">
        <v>2061</v>
      </c>
    </row>
    <row r="1588" spans="2:5">
      <c r="B1588" s="65" t="str">
        <f t="shared" si="24"/>
        <v>doc-1539:6</v>
      </c>
      <c r="C1588" t="s">
        <v>9827</v>
      </c>
      <c r="D1588">
        <v>6</v>
      </c>
      <c r="E1588" t="s">
        <v>2137</v>
      </c>
    </row>
    <row r="1589" spans="2:5">
      <c r="B1589" s="65" t="str">
        <f t="shared" si="24"/>
        <v>doc-1540:1</v>
      </c>
      <c r="C1589" t="s">
        <v>9828</v>
      </c>
      <c r="D1589">
        <v>1</v>
      </c>
      <c r="E1589" t="s">
        <v>1203</v>
      </c>
    </row>
    <row r="1590" spans="2:5">
      <c r="B1590" s="65" t="str">
        <f t="shared" si="24"/>
        <v>doc-1540:2</v>
      </c>
      <c r="C1590" t="s">
        <v>9828</v>
      </c>
      <c r="D1590">
        <v>2</v>
      </c>
      <c r="E1590" t="s">
        <v>1227</v>
      </c>
    </row>
    <row r="1591" spans="2:5">
      <c r="B1591" s="65" t="str">
        <f t="shared" si="24"/>
        <v>doc-1540:3</v>
      </c>
      <c r="C1591" t="s">
        <v>9828</v>
      </c>
      <c r="D1591">
        <v>3</v>
      </c>
      <c r="E1591" t="s">
        <v>1221</v>
      </c>
    </row>
    <row r="1592" spans="2:5">
      <c r="B1592" s="65" t="str">
        <f t="shared" si="24"/>
        <v>doc-1541a:1</v>
      </c>
      <c r="C1592" t="s">
        <v>9829</v>
      </c>
      <c r="D1592">
        <v>1</v>
      </c>
      <c r="E1592" t="s">
        <v>2597</v>
      </c>
    </row>
    <row r="1593" spans="2:5">
      <c r="B1593" s="65" t="str">
        <f t="shared" si="24"/>
        <v>doc-1541a:2</v>
      </c>
      <c r="C1593" t="s">
        <v>9829</v>
      </c>
      <c r="D1593">
        <v>2</v>
      </c>
      <c r="E1593" t="s">
        <v>2667</v>
      </c>
    </row>
    <row r="1594" spans="2:5">
      <c r="B1594" s="65" t="str">
        <f t="shared" si="24"/>
        <v>doc-1541d:1</v>
      </c>
      <c r="C1594" t="s">
        <v>9830</v>
      </c>
      <c r="D1594">
        <v>1</v>
      </c>
      <c r="E1594" t="s">
        <v>2597</v>
      </c>
    </row>
    <row r="1595" spans="2:5">
      <c r="B1595" s="65" t="str">
        <f t="shared" si="24"/>
        <v>doc-1541d:2</v>
      </c>
      <c r="C1595" t="s">
        <v>9830</v>
      </c>
      <c r="D1595">
        <v>2</v>
      </c>
      <c r="E1595" t="s">
        <v>2667</v>
      </c>
    </row>
    <row r="1596" spans="2:5">
      <c r="B1596" s="65" t="str">
        <f t="shared" si="24"/>
        <v>doc-1541d:3</v>
      </c>
      <c r="C1596" t="s">
        <v>9830</v>
      </c>
      <c r="D1596">
        <v>3</v>
      </c>
      <c r="E1596" t="s">
        <v>3180</v>
      </c>
    </row>
    <row r="1597" spans="2:5">
      <c r="B1597" s="65" t="str">
        <f t="shared" si="24"/>
        <v>doc-1542:1</v>
      </c>
      <c r="C1597" t="s">
        <v>5949</v>
      </c>
      <c r="D1597">
        <v>1</v>
      </c>
      <c r="E1597" t="s">
        <v>1833</v>
      </c>
    </row>
    <row r="1598" spans="2:5">
      <c r="B1598" s="65" t="str">
        <f t="shared" si="24"/>
        <v>doc-1542:2</v>
      </c>
      <c r="C1598" t="s">
        <v>5949</v>
      </c>
      <c r="D1598">
        <v>2</v>
      </c>
      <c r="E1598" t="s">
        <v>1127</v>
      </c>
    </row>
    <row r="1599" spans="2:5">
      <c r="B1599" s="65" t="str">
        <f t="shared" si="24"/>
        <v>doc-1542:3</v>
      </c>
      <c r="C1599" t="s">
        <v>5949</v>
      </c>
      <c r="D1599">
        <v>3</v>
      </c>
      <c r="E1599" t="s">
        <v>107</v>
      </c>
    </row>
    <row r="1600" spans="2:5">
      <c r="B1600" s="65" t="str">
        <f t="shared" si="24"/>
        <v>doc-1542:4</v>
      </c>
      <c r="C1600" t="s">
        <v>5949</v>
      </c>
      <c r="D1600">
        <v>4</v>
      </c>
      <c r="E1600" t="s">
        <v>1691</v>
      </c>
    </row>
    <row r="1601" spans="2:5">
      <c r="B1601" s="65" t="str">
        <f t="shared" si="24"/>
        <v>doc-1543:1</v>
      </c>
      <c r="C1601" t="s">
        <v>9831</v>
      </c>
      <c r="D1601">
        <v>1</v>
      </c>
      <c r="E1601" t="s">
        <v>82</v>
      </c>
    </row>
    <row r="1602" spans="2:5">
      <c r="B1602" s="65" t="str">
        <f t="shared" si="24"/>
        <v>doc-1543:2</v>
      </c>
      <c r="C1602" t="s">
        <v>9831</v>
      </c>
      <c r="D1602">
        <v>2</v>
      </c>
      <c r="E1602" t="s">
        <v>247</v>
      </c>
    </row>
    <row r="1603" spans="2:5">
      <c r="B1603" s="65" t="str">
        <f t="shared" si="24"/>
        <v>doc-1546:1</v>
      </c>
      <c r="C1603" t="s">
        <v>9832</v>
      </c>
      <c r="D1603">
        <v>1</v>
      </c>
      <c r="E1603" t="s">
        <v>1747</v>
      </c>
    </row>
    <row r="1604" spans="2:5">
      <c r="B1604" s="65" t="str">
        <f t="shared" ref="B1604:B1667" si="25">$C1604&amp;":"&amp;$D1604</f>
        <v>doc-1546:2</v>
      </c>
      <c r="C1604" t="s">
        <v>9832</v>
      </c>
      <c r="D1604">
        <v>2</v>
      </c>
      <c r="E1604" t="s">
        <v>302</v>
      </c>
    </row>
    <row r="1605" spans="2:5">
      <c r="B1605" s="65" t="str">
        <f t="shared" si="25"/>
        <v>doc-1546:3</v>
      </c>
      <c r="C1605" t="s">
        <v>9832</v>
      </c>
      <c r="D1605">
        <v>3</v>
      </c>
      <c r="E1605" t="s">
        <v>1737</v>
      </c>
    </row>
    <row r="1606" spans="2:5">
      <c r="B1606" s="65" t="str">
        <f t="shared" si="25"/>
        <v>doc-1546:4</v>
      </c>
      <c r="C1606" t="s">
        <v>9832</v>
      </c>
      <c r="D1606">
        <v>4</v>
      </c>
      <c r="E1606" t="s">
        <v>1732</v>
      </c>
    </row>
    <row r="1607" spans="2:5">
      <c r="B1607" s="65" t="str">
        <f t="shared" si="25"/>
        <v>doc-1547:1</v>
      </c>
      <c r="C1607" t="s">
        <v>9833</v>
      </c>
      <c r="D1607">
        <v>1</v>
      </c>
      <c r="E1607" t="s">
        <v>3145</v>
      </c>
    </row>
    <row r="1608" spans="2:5">
      <c r="B1608" s="65" t="str">
        <f t="shared" si="25"/>
        <v>doc-1547:2</v>
      </c>
      <c r="C1608" t="s">
        <v>9833</v>
      </c>
      <c r="D1608">
        <v>2</v>
      </c>
      <c r="E1608" t="s">
        <v>254</v>
      </c>
    </row>
    <row r="1609" spans="2:5">
      <c r="B1609" s="65" t="str">
        <f t="shared" si="25"/>
        <v>doc-1547:3</v>
      </c>
      <c r="C1609" t="s">
        <v>9833</v>
      </c>
      <c r="D1609">
        <v>3</v>
      </c>
      <c r="E1609" t="s">
        <v>1286</v>
      </c>
    </row>
    <row r="1610" spans="2:5">
      <c r="B1610" s="65" t="str">
        <f t="shared" si="25"/>
        <v>doc-1547:4</v>
      </c>
      <c r="C1610" t="s">
        <v>9833</v>
      </c>
      <c r="D1610">
        <v>4</v>
      </c>
      <c r="E1610" t="s">
        <v>2926</v>
      </c>
    </row>
    <row r="1611" spans="2:5">
      <c r="B1611" s="65" t="str">
        <f t="shared" si="25"/>
        <v>doc-1547:5</v>
      </c>
      <c r="C1611" t="s">
        <v>9833</v>
      </c>
      <c r="D1611">
        <v>5</v>
      </c>
      <c r="E1611" t="s">
        <v>73</v>
      </c>
    </row>
    <row r="1612" spans="2:5">
      <c r="B1612" s="65" t="str">
        <f t="shared" si="25"/>
        <v>doc-1548:1</v>
      </c>
      <c r="C1612" t="s">
        <v>9834</v>
      </c>
      <c r="D1612">
        <v>1</v>
      </c>
      <c r="E1612" t="s">
        <v>1491</v>
      </c>
    </row>
    <row r="1613" spans="2:5">
      <c r="B1613" s="65" t="str">
        <f t="shared" si="25"/>
        <v>doc-1548:2</v>
      </c>
      <c r="C1613" t="s">
        <v>9834</v>
      </c>
      <c r="D1613">
        <v>2</v>
      </c>
      <c r="E1613" t="s">
        <v>1509</v>
      </c>
    </row>
    <row r="1614" spans="2:5">
      <c r="B1614" s="65" t="str">
        <f t="shared" si="25"/>
        <v>doc-1549:1</v>
      </c>
      <c r="C1614" t="s">
        <v>9835</v>
      </c>
      <c r="D1614">
        <v>1</v>
      </c>
      <c r="E1614" t="s">
        <v>2310</v>
      </c>
    </row>
    <row r="1615" spans="2:5">
      <c r="B1615" s="65" t="str">
        <f t="shared" si="25"/>
        <v>doc-1549:2</v>
      </c>
      <c r="C1615" t="s">
        <v>9835</v>
      </c>
      <c r="D1615">
        <v>2</v>
      </c>
      <c r="E1615" t="s">
        <v>1395</v>
      </c>
    </row>
    <row r="1616" spans="2:5">
      <c r="B1616" s="65" t="str">
        <f t="shared" si="25"/>
        <v>doc-1549:3</v>
      </c>
      <c r="C1616" t="s">
        <v>9835</v>
      </c>
      <c r="D1616">
        <v>3</v>
      </c>
      <c r="E1616" t="s">
        <v>1425</v>
      </c>
    </row>
    <row r="1617" spans="2:5">
      <c r="B1617" s="65" t="str">
        <f t="shared" si="25"/>
        <v>doc-1549:4</v>
      </c>
      <c r="C1617" t="s">
        <v>9835</v>
      </c>
      <c r="D1617">
        <v>4</v>
      </c>
      <c r="E1617" t="s">
        <v>1349</v>
      </c>
    </row>
    <row r="1618" spans="2:5">
      <c r="B1618" s="65" t="str">
        <f t="shared" si="25"/>
        <v>doc-1549:5</v>
      </c>
      <c r="C1618" t="s">
        <v>9835</v>
      </c>
      <c r="D1618">
        <v>5</v>
      </c>
      <c r="E1618" t="s">
        <v>281</v>
      </c>
    </row>
    <row r="1619" spans="2:5">
      <c r="B1619" s="65" t="str">
        <f t="shared" si="25"/>
        <v>doc-1550:1</v>
      </c>
      <c r="C1619" t="s">
        <v>9836</v>
      </c>
      <c r="D1619">
        <v>1</v>
      </c>
      <c r="E1619" t="s">
        <v>3075</v>
      </c>
    </row>
    <row r="1620" spans="2:5">
      <c r="B1620" s="65" t="str">
        <f t="shared" si="25"/>
        <v>doc-1550:2</v>
      </c>
      <c r="C1620" t="s">
        <v>9836</v>
      </c>
      <c r="D1620">
        <v>2</v>
      </c>
      <c r="E1620" t="s">
        <v>3078</v>
      </c>
    </row>
    <row r="1621" spans="2:5">
      <c r="B1621" s="65" t="str">
        <f t="shared" si="25"/>
        <v>doc-1550:3</v>
      </c>
      <c r="C1621" t="s">
        <v>9836</v>
      </c>
      <c r="D1621">
        <v>3</v>
      </c>
      <c r="E1621" t="s">
        <v>3076</v>
      </c>
    </row>
    <row r="1622" spans="2:5">
      <c r="B1622" s="65" t="str">
        <f t="shared" si="25"/>
        <v>doc-1550:4</v>
      </c>
      <c r="C1622" t="s">
        <v>9836</v>
      </c>
      <c r="D1622">
        <v>4</v>
      </c>
      <c r="E1622" t="s">
        <v>3082</v>
      </c>
    </row>
    <row r="1623" spans="2:5">
      <c r="B1623" s="65" t="str">
        <f t="shared" si="25"/>
        <v>doc-1550:5</v>
      </c>
      <c r="C1623" t="s">
        <v>9836</v>
      </c>
      <c r="D1623">
        <v>5</v>
      </c>
      <c r="E1623" t="s">
        <v>1533</v>
      </c>
    </row>
    <row r="1624" spans="2:5">
      <c r="B1624" s="65" t="str">
        <f t="shared" si="25"/>
        <v>doc-1550:6</v>
      </c>
      <c r="C1624" t="s">
        <v>9836</v>
      </c>
      <c r="D1624">
        <v>6</v>
      </c>
      <c r="E1624" t="s">
        <v>1567</v>
      </c>
    </row>
    <row r="1625" spans="2:5">
      <c r="B1625" s="65" t="str">
        <f t="shared" si="25"/>
        <v>doc-1550:7</v>
      </c>
      <c r="C1625" t="s">
        <v>9836</v>
      </c>
      <c r="D1625">
        <v>7</v>
      </c>
      <c r="E1625" t="s">
        <v>1959</v>
      </c>
    </row>
    <row r="1626" spans="2:5">
      <c r="B1626" s="65" t="str">
        <f t="shared" si="25"/>
        <v>doc-1551:1</v>
      </c>
      <c r="C1626" t="s">
        <v>9837</v>
      </c>
      <c r="D1626">
        <v>1</v>
      </c>
      <c r="E1626" t="s">
        <v>1763</v>
      </c>
    </row>
    <row r="1627" spans="2:5">
      <c r="B1627" s="65" t="str">
        <f t="shared" si="25"/>
        <v>doc-1551:2</v>
      </c>
      <c r="C1627" t="s">
        <v>9837</v>
      </c>
      <c r="D1627">
        <v>2</v>
      </c>
      <c r="E1627" t="s">
        <v>1784</v>
      </c>
    </row>
    <row r="1628" spans="2:5">
      <c r="B1628" s="65" t="str">
        <f t="shared" si="25"/>
        <v>doc-1551:3</v>
      </c>
      <c r="C1628" t="s">
        <v>9837</v>
      </c>
      <c r="D1628">
        <v>3</v>
      </c>
      <c r="E1628" t="s">
        <v>2422</v>
      </c>
    </row>
    <row r="1629" spans="2:5">
      <c r="B1629" s="65" t="str">
        <f t="shared" si="25"/>
        <v>doc-1554a:1</v>
      </c>
      <c r="C1629" t="s">
        <v>9838</v>
      </c>
      <c r="D1629">
        <v>1</v>
      </c>
      <c r="E1629" t="s">
        <v>2662</v>
      </c>
    </row>
    <row r="1630" spans="2:5">
      <c r="B1630" s="65" t="str">
        <f t="shared" si="25"/>
        <v>doc-1554a:2</v>
      </c>
      <c r="C1630" t="s">
        <v>9838</v>
      </c>
      <c r="D1630">
        <v>2</v>
      </c>
      <c r="E1630" t="s">
        <v>1804</v>
      </c>
    </row>
    <row r="1631" spans="2:5">
      <c r="B1631" s="65" t="str">
        <f t="shared" si="25"/>
        <v>doc-1554a:3</v>
      </c>
      <c r="C1631" t="s">
        <v>9838</v>
      </c>
      <c r="D1631">
        <v>3</v>
      </c>
      <c r="E1631" t="s">
        <v>2667</v>
      </c>
    </row>
    <row r="1632" spans="2:5">
      <c r="B1632" s="65" t="str">
        <f t="shared" si="25"/>
        <v>doc-1554b:1</v>
      </c>
      <c r="C1632" t="s">
        <v>9839</v>
      </c>
      <c r="D1632">
        <v>1</v>
      </c>
      <c r="E1632" t="s">
        <v>2662</v>
      </c>
    </row>
    <row r="1633" spans="2:5">
      <c r="B1633" s="65" t="str">
        <f t="shared" si="25"/>
        <v>doc-1554b:2</v>
      </c>
      <c r="C1633" t="s">
        <v>9839</v>
      </c>
      <c r="D1633">
        <v>2</v>
      </c>
      <c r="E1633" t="s">
        <v>1804</v>
      </c>
    </row>
    <row r="1634" spans="2:5">
      <c r="B1634" s="65" t="str">
        <f t="shared" si="25"/>
        <v>doc-1554b:3</v>
      </c>
      <c r="C1634" t="s">
        <v>9839</v>
      </c>
      <c r="D1634">
        <v>3</v>
      </c>
      <c r="E1634" t="s">
        <v>2667</v>
      </c>
    </row>
    <row r="1635" spans="2:5">
      <c r="B1635" s="65" t="str">
        <f t="shared" si="25"/>
        <v>doc-1555:1</v>
      </c>
      <c r="C1635" t="s">
        <v>9840</v>
      </c>
      <c r="D1635">
        <v>1</v>
      </c>
      <c r="E1635" t="s">
        <v>3126</v>
      </c>
    </row>
    <row r="1636" spans="2:5">
      <c r="B1636" s="65" t="str">
        <f t="shared" si="25"/>
        <v>doc-1555:2</v>
      </c>
      <c r="C1636" t="s">
        <v>9840</v>
      </c>
      <c r="D1636">
        <v>2</v>
      </c>
      <c r="E1636" t="s">
        <v>2849</v>
      </c>
    </row>
    <row r="1637" spans="2:5">
      <c r="B1637" s="65" t="str">
        <f t="shared" si="25"/>
        <v>doc-1555:3</v>
      </c>
      <c r="C1637" t="s">
        <v>9840</v>
      </c>
      <c r="D1637">
        <v>3</v>
      </c>
      <c r="E1637" t="s">
        <v>2860</v>
      </c>
    </row>
    <row r="1638" spans="2:5">
      <c r="B1638" s="65" t="str">
        <f t="shared" si="25"/>
        <v>doc-1558:1</v>
      </c>
      <c r="C1638" t="s">
        <v>9841</v>
      </c>
      <c r="D1638">
        <v>1</v>
      </c>
      <c r="E1638" t="s">
        <v>1224</v>
      </c>
    </row>
    <row r="1639" spans="2:5">
      <c r="B1639" s="65" t="str">
        <f t="shared" si="25"/>
        <v>doc-1558:2</v>
      </c>
      <c r="C1639" t="s">
        <v>9841</v>
      </c>
      <c r="D1639">
        <v>2</v>
      </c>
      <c r="E1639" t="s">
        <v>2230</v>
      </c>
    </row>
    <row r="1640" spans="2:5">
      <c r="B1640" s="65" t="str">
        <f t="shared" si="25"/>
        <v>doc-1559a:1</v>
      </c>
      <c r="C1640" t="s">
        <v>9842</v>
      </c>
      <c r="D1640">
        <v>1</v>
      </c>
      <c r="E1640" t="s">
        <v>1425</v>
      </c>
    </row>
    <row r="1641" spans="2:5">
      <c r="B1641" s="65" t="str">
        <f t="shared" si="25"/>
        <v>doc-1559a:2</v>
      </c>
      <c r="C1641" t="s">
        <v>9842</v>
      </c>
      <c r="D1641">
        <v>2</v>
      </c>
      <c r="E1641" t="s">
        <v>1366</v>
      </c>
    </row>
    <row r="1642" spans="2:5">
      <c r="B1642" s="65" t="str">
        <f t="shared" si="25"/>
        <v>doc-1559a:3</v>
      </c>
      <c r="C1642" t="s">
        <v>9842</v>
      </c>
      <c r="D1642">
        <v>3</v>
      </c>
      <c r="E1642" t="s">
        <v>1349</v>
      </c>
    </row>
    <row r="1643" spans="2:5">
      <c r="B1643" s="65" t="str">
        <f t="shared" si="25"/>
        <v>doc-1559a:4</v>
      </c>
      <c r="C1643" t="s">
        <v>9842</v>
      </c>
      <c r="D1643">
        <v>4</v>
      </c>
      <c r="E1643" t="s">
        <v>281</v>
      </c>
    </row>
    <row r="1644" spans="2:5">
      <c r="B1644" s="65" t="str">
        <f t="shared" si="25"/>
        <v>doc-1559a:5</v>
      </c>
      <c r="C1644" t="s">
        <v>9842</v>
      </c>
      <c r="D1644">
        <v>5</v>
      </c>
      <c r="E1644" t="s">
        <v>1856</v>
      </c>
    </row>
    <row r="1645" spans="2:5">
      <c r="B1645" s="65" t="str">
        <f t="shared" si="25"/>
        <v>doc-1559a:6</v>
      </c>
      <c r="C1645" t="s">
        <v>9842</v>
      </c>
      <c r="D1645">
        <v>6</v>
      </c>
      <c r="E1645" t="s">
        <v>1395</v>
      </c>
    </row>
    <row r="1646" spans="2:5">
      <c r="B1646" s="65" t="str">
        <f t="shared" si="25"/>
        <v>doc-1559a:7</v>
      </c>
      <c r="C1646" t="s">
        <v>9842</v>
      </c>
      <c r="D1646">
        <v>7</v>
      </c>
      <c r="E1646" t="s">
        <v>2310</v>
      </c>
    </row>
    <row r="1647" spans="2:5">
      <c r="B1647" s="65" t="str">
        <f t="shared" si="25"/>
        <v>doc-1559b:1</v>
      </c>
      <c r="C1647" t="s">
        <v>9843</v>
      </c>
      <c r="D1647">
        <v>1</v>
      </c>
      <c r="E1647" t="s">
        <v>1425</v>
      </c>
    </row>
    <row r="1648" spans="2:5">
      <c r="B1648" s="65" t="str">
        <f t="shared" si="25"/>
        <v>doc-1559b:2</v>
      </c>
      <c r="C1648" t="s">
        <v>9843</v>
      </c>
      <c r="D1648">
        <v>2</v>
      </c>
      <c r="E1648" t="s">
        <v>1366</v>
      </c>
    </row>
    <row r="1649" spans="2:5">
      <c r="B1649" s="65" t="str">
        <f t="shared" si="25"/>
        <v>doc-1559b:3</v>
      </c>
      <c r="C1649" t="s">
        <v>9843</v>
      </c>
      <c r="D1649">
        <v>3</v>
      </c>
      <c r="E1649" t="s">
        <v>1349</v>
      </c>
    </row>
    <row r="1650" spans="2:5">
      <c r="B1650" s="65" t="str">
        <f t="shared" si="25"/>
        <v>doc-1559b:4</v>
      </c>
      <c r="C1650" t="s">
        <v>9843</v>
      </c>
      <c r="D1650">
        <v>4</v>
      </c>
      <c r="E1650" t="s">
        <v>281</v>
      </c>
    </row>
    <row r="1651" spans="2:5">
      <c r="B1651" s="65" t="str">
        <f t="shared" si="25"/>
        <v>doc-1559b:5</v>
      </c>
      <c r="C1651" t="s">
        <v>9843</v>
      </c>
      <c r="D1651">
        <v>5</v>
      </c>
      <c r="E1651" t="s">
        <v>1856</v>
      </c>
    </row>
    <row r="1652" spans="2:5">
      <c r="B1652" s="65" t="str">
        <f t="shared" si="25"/>
        <v>doc-1560:1</v>
      </c>
      <c r="C1652" t="s">
        <v>9844</v>
      </c>
      <c r="D1652">
        <v>1</v>
      </c>
      <c r="E1652" t="s">
        <v>1065</v>
      </c>
    </row>
    <row r="1653" spans="2:5">
      <c r="B1653" s="65" t="str">
        <f t="shared" si="25"/>
        <v>doc-1560:2</v>
      </c>
      <c r="C1653" t="s">
        <v>9844</v>
      </c>
      <c r="D1653">
        <v>2</v>
      </c>
      <c r="E1653" t="s">
        <v>1059</v>
      </c>
    </row>
    <row r="1654" spans="2:5">
      <c r="B1654" s="65" t="str">
        <f t="shared" si="25"/>
        <v>doc-1561a:1</v>
      </c>
      <c r="C1654" t="s">
        <v>9845</v>
      </c>
      <c r="D1654">
        <v>1</v>
      </c>
      <c r="E1654" t="s">
        <v>2908</v>
      </c>
    </row>
    <row r="1655" spans="2:5">
      <c r="B1655" s="65" t="str">
        <f t="shared" si="25"/>
        <v>doc-1561a:2</v>
      </c>
      <c r="C1655" t="s">
        <v>9845</v>
      </c>
      <c r="D1655">
        <v>2</v>
      </c>
      <c r="E1655" t="s">
        <v>2847</v>
      </c>
    </row>
    <row r="1656" spans="2:5">
      <c r="B1656" s="65" t="str">
        <f t="shared" si="25"/>
        <v>doc-1561a:3</v>
      </c>
      <c r="C1656" t="s">
        <v>9845</v>
      </c>
      <c r="D1656">
        <v>3</v>
      </c>
      <c r="E1656" t="s">
        <v>2179</v>
      </c>
    </row>
    <row r="1657" spans="2:5">
      <c r="B1657" s="65" t="str">
        <f t="shared" si="25"/>
        <v>doc-1561a:4</v>
      </c>
      <c r="C1657" t="s">
        <v>9845</v>
      </c>
      <c r="D1657">
        <v>4</v>
      </c>
      <c r="E1657" t="s">
        <v>2849</v>
      </c>
    </row>
    <row r="1658" spans="2:5">
      <c r="B1658" s="65" t="str">
        <f t="shared" si="25"/>
        <v>doc-1561a:5</v>
      </c>
      <c r="C1658" t="s">
        <v>9845</v>
      </c>
      <c r="D1658">
        <v>5</v>
      </c>
      <c r="E1658" t="s">
        <v>2121</v>
      </c>
    </row>
    <row r="1659" spans="2:5">
      <c r="B1659" s="65" t="str">
        <f t="shared" si="25"/>
        <v>doc-1561b:1</v>
      </c>
      <c r="C1659" t="s">
        <v>9846</v>
      </c>
      <c r="D1659">
        <v>1</v>
      </c>
      <c r="E1659" t="s">
        <v>2908</v>
      </c>
    </row>
    <row r="1660" spans="2:5">
      <c r="B1660" s="65" t="str">
        <f t="shared" si="25"/>
        <v>doc-1561b:2</v>
      </c>
      <c r="C1660" t="s">
        <v>9846</v>
      </c>
      <c r="D1660">
        <v>2</v>
      </c>
      <c r="E1660" t="s">
        <v>2847</v>
      </c>
    </row>
    <row r="1661" spans="2:5">
      <c r="B1661" s="65" t="str">
        <f t="shared" si="25"/>
        <v>doc-1561b:3</v>
      </c>
      <c r="C1661" t="s">
        <v>9846</v>
      </c>
      <c r="D1661">
        <v>3</v>
      </c>
      <c r="E1661" t="s">
        <v>2179</v>
      </c>
    </row>
    <row r="1662" spans="2:5">
      <c r="B1662" s="65" t="str">
        <f t="shared" si="25"/>
        <v>doc-1561b:4</v>
      </c>
      <c r="C1662" t="s">
        <v>9846</v>
      </c>
      <c r="D1662">
        <v>4</v>
      </c>
      <c r="E1662" t="s">
        <v>2849</v>
      </c>
    </row>
    <row r="1663" spans="2:5">
      <c r="B1663" s="65" t="str">
        <f t="shared" si="25"/>
        <v>doc-1561b:5</v>
      </c>
      <c r="C1663" t="s">
        <v>9846</v>
      </c>
      <c r="D1663">
        <v>5</v>
      </c>
      <c r="E1663" t="s">
        <v>2121</v>
      </c>
    </row>
    <row r="1664" spans="2:5">
      <c r="B1664" s="65" t="str">
        <f t="shared" si="25"/>
        <v>doc-1562a:1</v>
      </c>
      <c r="C1664" t="s">
        <v>9847</v>
      </c>
      <c r="D1664">
        <v>1</v>
      </c>
      <c r="E1664" t="s">
        <v>2179</v>
      </c>
    </row>
    <row r="1665" spans="2:5">
      <c r="B1665" s="65" t="str">
        <f t="shared" si="25"/>
        <v>doc-1562a:2</v>
      </c>
      <c r="C1665" t="s">
        <v>9847</v>
      </c>
      <c r="D1665">
        <v>2</v>
      </c>
      <c r="E1665" t="s">
        <v>2121</v>
      </c>
    </row>
    <row r="1666" spans="2:5">
      <c r="B1666" s="65" t="str">
        <f t="shared" si="25"/>
        <v>doc-1562b:1</v>
      </c>
      <c r="C1666" t="s">
        <v>9848</v>
      </c>
      <c r="D1666">
        <v>1</v>
      </c>
      <c r="E1666" t="s">
        <v>2179</v>
      </c>
    </row>
    <row r="1667" spans="2:5">
      <c r="B1667" s="65" t="str">
        <f t="shared" si="25"/>
        <v>doc-1562b:2</v>
      </c>
      <c r="C1667" t="s">
        <v>9848</v>
      </c>
      <c r="D1667">
        <v>2</v>
      </c>
      <c r="E1667" t="s">
        <v>2121</v>
      </c>
    </row>
    <row r="1668" spans="2:5">
      <c r="B1668" s="65" t="str">
        <f t="shared" ref="B1668:B1731" si="26">$C1668&amp;":"&amp;$D1668</f>
        <v>doc-1563a:1</v>
      </c>
      <c r="C1668" t="s">
        <v>9849</v>
      </c>
      <c r="D1668">
        <v>1</v>
      </c>
      <c r="E1668" t="s">
        <v>2179</v>
      </c>
    </row>
    <row r="1669" spans="2:5">
      <c r="B1669" s="65" t="str">
        <f t="shared" si="26"/>
        <v>doc-1563a:2</v>
      </c>
      <c r="C1669" t="s">
        <v>9849</v>
      </c>
      <c r="D1669">
        <v>2</v>
      </c>
      <c r="E1669" t="s">
        <v>2121</v>
      </c>
    </row>
    <row r="1670" spans="2:5">
      <c r="B1670" s="65" t="str">
        <f t="shared" si="26"/>
        <v>doc-1563a:3</v>
      </c>
      <c r="C1670" t="s">
        <v>9849</v>
      </c>
      <c r="D1670">
        <v>3</v>
      </c>
      <c r="E1670" t="s">
        <v>2847</v>
      </c>
    </row>
    <row r="1671" spans="2:5">
      <c r="B1671" s="65" t="str">
        <f t="shared" si="26"/>
        <v>doc-1563a:4</v>
      </c>
      <c r="C1671" t="s">
        <v>9849</v>
      </c>
      <c r="D1671">
        <v>4</v>
      </c>
      <c r="E1671" t="s">
        <v>2849</v>
      </c>
    </row>
    <row r="1672" spans="2:5">
      <c r="B1672" s="65" t="str">
        <f t="shared" si="26"/>
        <v>doc-1563b:1</v>
      </c>
      <c r="C1672" t="s">
        <v>9850</v>
      </c>
      <c r="D1672">
        <v>1</v>
      </c>
      <c r="E1672" t="s">
        <v>2179</v>
      </c>
    </row>
    <row r="1673" spans="2:5">
      <c r="B1673" s="65" t="str">
        <f t="shared" si="26"/>
        <v>doc-1563b:2</v>
      </c>
      <c r="C1673" t="s">
        <v>9850</v>
      </c>
      <c r="D1673">
        <v>2</v>
      </c>
      <c r="E1673" t="s">
        <v>2121</v>
      </c>
    </row>
    <row r="1674" spans="2:5">
      <c r="B1674" s="65" t="str">
        <f t="shared" si="26"/>
        <v>doc-1563b:3</v>
      </c>
      <c r="C1674" t="s">
        <v>9850</v>
      </c>
      <c r="D1674">
        <v>3</v>
      </c>
      <c r="E1674" t="s">
        <v>2847</v>
      </c>
    </row>
    <row r="1675" spans="2:5">
      <c r="B1675" s="65" t="str">
        <f t="shared" si="26"/>
        <v>doc-1563b:4</v>
      </c>
      <c r="C1675" t="s">
        <v>9850</v>
      </c>
      <c r="D1675">
        <v>4</v>
      </c>
      <c r="E1675" t="s">
        <v>2849</v>
      </c>
    </row>
    <row r="1676" spans="2:5">
      <c r="B1676" s="65" t="str">
        <f t="shared" si="26"/>
        <v>doc-1564:1</v>
      </c>
      <c r="C1676" t="s">
        <v>9851</v>
      </c>
      <c r="D1676">
        <v>1</v>
      </c>
      <c r="E1676" t="s">
        <v>3061</v>
      </c>
    </row>
    <row r="1677" spans="2:5">
      <c r="B1677" s="65" t="str">
        <f t="shared" si="26"/>
        <v>doc-1564:2</v>
      </c>
      <c r="C1677" t="s">
        <v>9851</v>
      </c>
      <c r="D1677">
        <v>2</v>
      </c>
      <c r="E1677" t="s">
        <v>1197</v>
      </c>
    </row>
    <row r="1678" spans="2:5">
      <c r="B1678" s="65" t="str">
        <f t="shared" si="26"/>
        <v>doc-1564:3</v>
      </c>
      <c r="C1678" t="s">
        <v>9851</v>
      </c>
      <c r="D1678">
        <v>3</v>
      </c>
      <c r="E1678" t="s">
        <v>79</v>
      </c>
    </row>
    <row r="1679" spans="2:5">
      <c r="B1679" s="65" t="str">
        <f t="shared" si="26"/>
        <v>doc-1564:4</v>
      </c>
      <c r="C1679" t="s">
        <v>9851</v>
      </c>
      <c r="D1679">
        <v>4</v>
      </c>
      <c r="E1679" t="s">
        <v>3051</v>
      </c>
    </row>
    <row r="1680" spans="2:5">
      <c r="B1680" s="65" t="str">
        <f t="shared" si="26"/>
        <v>doc-1564:5</v>
      </c>
      <c r="C1680" t="s">
        <v>9851</v>
      </c>
      <c r="D1680">
        <v>5</v>
      </c>
      <c r="E1680" t="s">
        <v>1213</v>
      </c>
    </row>
    <row r="1681" spans="2:5">
      <c r="B1681" s="65" t="str">
        <f t="shared" si="26"/>
        <v>doc-1564:6</v>
      </c>
      <c r="C1681" t="s">
        <v>9851</v>
      </c>
      <c r="D1681">
        <v>6</v>
      </c>
      <c r="E1681" t="s">
        <v>3058</v>
      </c>
    </row>
    <row r="1682" spans="2:5">
      <c r="B1682" s="65" t="str">
        <f t="shared" si="26"/>
        <v>doc-1565:1</v>
      </c>
      <c r="C1682" t="s">
        <v>9852</v>
      </c>
      <c r="D1682">
        <v>1</v>
      </c>
      <c r="E1682" t="s">
        <v>1343</v>
      </c>
    </row>
    <row r="1683" spans="2:5">
      <c r="B1683" s="65" t="str">
        <f t="shared" si="26"/>
        <v>doc-1565:2</v>
      </c>
      <c r="C1683" t="s">
        <v>9852</v>
      </c>
      <c r="D1683">
        <v>2</v>
      </c>
      <c r="E1683" t="s">
        <v>92</v>
      </c>
    </row>
    <row r="1684" spans="2:5">
      <c r="B1684" s="65" t="str">
        <f t="shared" si="26"/>
        <v>doc-1566a:1</v>
      </c>
      <c r="C1684" t="s">
        <v>9853</v>
      </c>
      <c r="D1684">
        <v>1</v>
      </c>
      <c r="E1684" t="s">
        <v>3046</v>
      </c>
    </row>
    <row r="1685" spans="2:5">
      <c r="B1685" s="65" t="str">
        <f t="shared" si="26"/>
        <v>doc-1566a:2</v>
      </c>
      <c r="C1685" t="s">
        <v>9853</v>
      </c>
      <c r="D1685">
        <v>2</v>
      </c>
      <c r="E1685" t="s">
        <v>3071</v>
      </c>
    </row>
    <row r="1686" spans="2:5">
      <c r="B1686" s="65" t="str">
        <f t="shared" si="26"/>
        <v>doc-1566a:3</v>
      </c>
      <c r="C1686" t="s">
        <v>9853</v>
      </c>
      <c r="D1686">
        <v>3</v>
      </c>
      <c r="E1686" t="s">
        <v>3061</v>
      </c>
    </row>
    <row r="1687" spans="2:5">
      <c r="B1687" s="65" t="str">
        <f t="shared" si="26"/>
        <v>doc-1566a:4</v>
      </c>
      <c r="C1687" t="s">
        <v>9853</v>
      </c>
      <c r="D1687">
        <v>4</v>
      </c>
      <c r="E1687" t="s">
        <v>3058</v>
      </c>
    </row>
    <row r="1688" spans="2:5">
      <c r="B1688" s="65" t="str">
        <f t="shared" si="26"/>
        <v>doc-1566a:5</v>
      </c>
      <c r="C1688" t="s">
        <v>9853</v>
      </c>
      <c r="D1688">
        <v>5</v>
      </c>
      <c r="E1688" t="s">
        <v>3056</v>
      </c>
    </row>
    <row r="1689" spans="2:5">
      <c r="B1689" s="65" t="str">
        <f t="shared" si="26"/>
        <v>doc-1566a:6</v>
      </c>
      <c r="C1689" t="s">
        <v>9853</v>
      </c>
      <c r="D1689">
        <v>6</v>
      </c>
      <c r="E1689" t="s">
        <v>1127</v>
      </c>
    </row>
    <row r="1690" spans="2:5">
      <c r="B1690" s="65" t="str">
        <f t="shared" si="26"/>
        <v>doc-1566e:1</v>
      </c>
      <c r="C1690" t="s">
        <v>9854</v>
      </c>
      <c r="D1690">
        <v>1</v>
      </c>
      <c r="E1690" t="s">
        <v>3046</v>
      </c>
    </row>
    <row r="1691" spans="2:5">
      <c r="B1691" s="65" t="str">
        <f t="shared" si="26"/>
        <v>doc-1566e:2</v>
      </c>
      <c r="C1691" t="s">
        <v>9854</v>
      </c>
      <c r="D1691">
        <v>2</v>
      </c>
      <c r="E1691" t="s">
        <v>3071</v>
      </c>
    </row>
    <row r="1692" spans="2:5">
      <c r="B1692" s="65" t="str">
        <f t="shared" si="26"/>
        <v>doc-1566e:3</v>
      </c>
      <c r="C1692" t="s">
        <v>9854</v>
      </c>
      <c r="D1692">
        <v>3</v>
      </c>
      <c r="E1692" t="s">
        <v>3061</v>
      </c>
    </row>
    <row r="1693" spans="2:5">
      <c r="B1693" s="65" t="str">
        <f t="shared" si="26"/>
        <v>doc-1566e:4</v>
      </c>
      <c r="C1693" t="s">
        <v>9854</v>
      </c>
      <c r="D1693">
        <v>4</v>
      </c>
      <c r="E1693" t="s">
        <v>3058</v>
      </c>
    </row>
    <row r="1694" spans="2:5">
      <c r="B1694" s="65" t="str">
        <f t="shared" si="26"/>
        <v>doc-1566e:5</v>
      </c>
      <c r="C1694" t="s">
        <v>9854</v>
      </c>
      <c r="D1694">
        <v>5</v>
      </c>
      <c r="E1694" t="s">
        <v>3056</v>
      </c>
    </row>
    <row r="1695" spans="2:5">
      <c r="B1695" s="65" t="str">
        <f t="shared" si="26"/>
        <v>doc-1566e:6</v>
      </c>
      <c r="C1695" t="s">
        <v>9854</v>
      </c>
      <c r="D1695">
        <v>6</v>
      </c>
      <c r="E1695" t="s">
        <v>1127</v>
      </c>
    </row>
    <row r="1696" spans="2:5">
      <c r="B1696" s="65" t="str">
        <f t="shared" si="26"/>
        <v>doc-1567:1</v>
      </c>
      <c r="C1696" t="s">
        <v>9855</v>
      </c>
      <c r="D1696">
        <v>1</v>
      </c>
      <c r="E1696" t="s">
        <v>2089</v>
      </c>
    </row>
    <row r="1697" spans="2:5">
      <c r="B1697" s="65" t="str">
        <f t="shared" si="26"/>
        <v>doc-1567:2</v>
      </c>
      <c r="C1697" t="s">
        <v>9855</v>
      </c>
      <c r="D1697">
        <v>2</v>
      </c>
      <c r="E1697" t="s">
        <v>1833</v>
      </c>
    </row>
    <row r="1698" spans="2:5">
      <c r="B1698" s="65" t="str">
        <f t="shared" si="26"/>
        <v>doc-1568:1</v>
      </c>
      <c r="C1698" t="s">
        <v>9856</v>
      </c>
      <c r="D1698">
        <v>1</v>
      </c>
      <c r="E1698" t="s">
        <v>2609</v>
      </c>
    </row>
    <row r="1699" spans="2:5">
      <c r="B1699" s="65" t="str">
        <f t="shared" si="26"/>
        <v>doc-1568:2</v>
      </c>
      <c r="C1699" t="s">
        <v>9856</v>
      </c>
      <c r="D1699">
        <v>2</v>
      </c>
      <c r="E1699" t="s">
        <v>2664</v>
      </c>
    </row>
    <row r="1700" spans="2:5">
      <c r="B1700" s="65" t="str">
        <f t="shared" si="26"/>
        <v>doc-1570:1</v>
      </c>
      <c r="C1700" t="s">
        <v>9857</v>
      </c>
      <c r="D1700">
        <v>1</v>
      </c>
      <c r="E1700" t="s">
        <v>1343</v>
      </c>
    </row>
    <row r="1701" spans="2:5">
      <c r="B1701" s="65" t="str">
        <f t="shared" si="26"/>
        <v>doc-1570:2</v>
      </c>
      <c r="C1701" t="s">
        <v>9857</v>
      </c>
      <c r="D1701">
        <v>2</v>
      </c>
      <c r="E1701" t="s">
        <v>1673</v>
      </c>
    </row>
    <row r="1702" spans="2:5">
      <c r="B1702" s="65" t="str">
        <f t="shared" si="26"/>
        <v>doc-1570:3</v>
      </c>
      <c r="C1702" t="s">
        <v>9857</v>
      </c>
      <c r="D1702">
        <v>3</v>
      </c>
      <c r="E1702" t="s">
        <v>299</v>
      </c>
    </row>
    <row r="1703" spans="2:5">
      <c r="B1703" s="65" t="str">
        <f t="shared" si="26"/>
        <v>doc-1570:4</v>
      </c>
      <c r="C1703" t="s">
        <v>9857</v>
      </c>
      <c r="D1703">
        <v>4</v>
      </c>
      <c r="E1703" t="s">
        <v>1417</v>
      </c>
    </row>
    <row r="1704" spans="2:5">
      <c r="B1704" s="65" t="str">
        <f t="shared" si="26"/>
        <v>doc-1570:5</v>
      </c>
      <c r="C1704" t="s">
        <v>9857</v>
      </c>
      <c r="D1704">
        <v>5</v>
      </c>
      <c r="E1704" t="s">
        <v>73</v>
      </c>
    </row>
    <row r="1705" spans="2:5">
      <c r="B1705" s="65" t="str">
        <f t="shared" si="26"/>
        <v>doc-1576:1</v>
      </c>
      <c r="C1705" t="s">
        <v>9858</v>
      </c>
      <c r="D1705">
        <v>1</v>
      </c>
      <c r="E1705" t="s">
        <v>2411</v>
      </c>
    </row>
    <row r="1706" spans="2:5">
      <c r="B1706" s="65" t="str">
        <f t="shared" si="26"/>
        <v>doc-1576:2</v>
      </c>
      <c r="C1706" t="s">
        <v>9858</v>
      </c>
      <c r="D1706">
        <v>2</v>
      </c>
      <c r="E1706" t="s">
        <v>2414</v>
      </c>
    </row>
    <row r="1707" spans="2:5">
      <c r="B1707" s="65" t="str">
        <f t="shared" si="26"/>
        <v>doc-1578e:1</v>
      </c>
      <c r="C1707" t="s">
        <v>5903</v>
      </c>
      <c r="D1707">
        <v>1</v>
      </c>
      <c r="E1707" t="s">
        <v>2179</v>
      </c>
    </row>
    <row r="1708" spans="2:5">
      <c r="B1708" s="65" t="str">
        <f t="shared" si="26"/>
        <v>doc-1578e:2</v>
      </c>
      <c r="C1708" t="s">
        <v>5903</v>
      </c>
      <c r="D1708">
        <v>2</v>
      </c>
      <c r="E1708" t="s">
        <v>2121</v>
      </c>
    </row>
    <row r="1709" spans="2:5">
      <c r="B1709" s="65" t="str">
        <f t="shared" si="26"/>
        <v>doc-1578e:3</v>
      </c>
      <c r="C1709" t="s">
        <v>5903</v>
      </c>
      <c r="D1709">
        <v>3</v>
      </c>
      <c r="E1709" t="s">
        <v>2847</v>
      </c>
    </row>
    <row r="1710" spans="2:5">
      <c r="B1710" s="65" t="str">
        <f t="shared" si="26"/>
        <v>doc-1578e:4</v>
      </c>
      <c r="C1710" t="s">
        <v>5903</v>
      </c>
      <c r="D1710">
        <v>4</v>
      </c>
      <c r="E1710" t="s">
        <v>2849</v>
      </c>
    </row>
    <row r="1711" spans="2:5">
      <c r="B1711" s="65" t="str">
        <f t="shared" si="26"/>
        <v>doc-1581:1</v>
      </c>
      <c r="C1711" t="s">
        <v>9859</v>
      </c>
      <c r="D1711">
        <v>1</v>
      </c>
      <c r="E1711" t="s">
        <v>2698</v>
      </c>
    </row>
    <row r="1712" spans="2:5">
      <c r="B1712" s="65" t="str">
        <f t="shared" si="26"/>
        <v>doc-1581:2</v>
      </c>
      <c r="C1712" t="s">
        <v>9859</v>
      </c>
      <c r="D1712">
        <v>2</v>
      </c>
      <c r="E1712" t="s">
        <v>1833</v>
      </c>
    </row>
    <row r="1713" spans="2:5">
      <c r="B1713" s="65" t="str">
        <f t="shared" si="26"/>
        <v>doc-1583a:1</v>
      </c>
      <c r="C1713" t="s">
        <v>9860</v>
      </c>
      <c r="D1713">
        <v>1</v>
      </c>
      <c r="E1713" t="s">
        <v>1856</v>
      </c>
    </row>
    <row r="1714" spans="2:5">
      <c r="B1714" s="65" t="str">
        <f t="shared" si="26"/>
        <v>doc-1583a:2</v>
      </c>
      <c r="C1714" t="s">
        <v>9860</v>
      </c>
      <c r="D1714">
        <v>2</v>
      </c>
      <c r="E1714" t="s">
        <v>1825</v>
      </c>
    </row>
    <row r="1715" spans="2:5">
      <c r="B1715" s="65" t="str">
        <f t="shared" si="26"/>
        <v>doc-1583a:3</v>
      </c>
      <c r="C1715" t="s">
        <v>9860</v>
      </c>
      <c r="D1715">
        <v>3</v>
      </c>
      <c r="E1715" t="s">
        <v>1425</v>
      </c>
    </row>
    <row r="1716" spans="2:5">
      <c r="B1716" s="65" t="str">
        <f t="shared" si="26"/>
        <v>doc-1583a:4</v>
      </c>
      <c r="C1716" t="s">
        <v>9860</v>
      </c>
      <c r="D1716">
        <v>4</v>
      </c>
      <c r="E1716" t="s">
        <v>1349</v>
      </c>
    </row>
    <row r="1717" spans="2:5">
      <c r="B1717" s="65" t="str">
        <f t="shared" si="26"/>
        <v>doc-1583a:5</v>
      </c>
      <c r="C1717" t="s">
        <v>9860</v>
      </c>
      <c r="D1717">
        <v>5</v>
      </c>
      <c r="E1717" t="s">
        <v>1420</v>
      </c>
    </row>
    <row r="1718" spans="2:5">
      <c r="B1718" s="65" t="str">
        <f t="shared" si="26"/>
        <v>doc-1583a:6</v>
      </c>
      <c r="C1718" t="s">
        <v>9860</v>
      </c>
      <c r="D1718">
        <v>6</v>
      </c>
      <c r="E1718" t="s">
        <v>3056</v>
      </c>
    </row>
    <row r="1719" spans="2:5">
      <c r="B1719" s="65" t="str">
        <f t="shared" si="26"/>
        <v>doc-1584:1</v>
      </c>
      <c r="C1719" t="s">
        <v>6373</v>
      </c>
      <c r="D1719">
        <v>1</v>
      </c>
      <c r="E1719" t="s">
        <v>2407</v>
      </c>
    </row>
    <row r="1720" spans="2:5">
      <c r="B1720" s="65" t="str">
        <f t="shared" si="26"/>
        <v>doc-1584:2</v>
      </c>
      <c r="C1720" t="s">
        <v>6373</v>
      </c>
      <c r="D1720">
        <v>2</v>
      </c>
      <c r="E1720" t="s">
        <v>2394</v>
      </c>
    </row>
    <row r="1721" spans="2:5">
      <c r="B1721" s="65" t="str">
        <f t="shared" si="26"/>
        <v>doc-1584:3</v>
      </c>
      <c r="C1721" t="s">
        <v>6373</v>
      </c>
      <c r="D1721">
        <v>3</v>
      </c>
      <c r="E1721" t="s">
        <v>2508</v>
      </c>
    </row>
    <row r="1722" spans="2:5">
      <c r="B1722" s="65" t="str">
        <f t="shared" si="26"/>
        <v>doc-1585:1</v>
      </c>
      <c r="C1722" t="s">
        <v>9861</v>
      </c>
      <c r="D1722">
        <v>1</v>
      </c>
      <c r="E1722" t="s">
        <v>1506</v>
      </c>
    </row>
    <row r="1723" spans="2:5">
      <c r="B1723" s="65" t="str">
        <f t="shared" si="26"/>
        <v>doc-1585:2</v>
      </c>
      <c r="C1723" t="s">
        <v>9861</v>
      </c>
      <c r="D1723">
        <v>2</v>
      </c>
      <c r="E1723" t="s">
        <v>1512</v>
      </c>
    </row>
    <row r="1724" spans="2:5">
      <c r="B1724" s="65" t="str">
        <f t="shared" si="26"/>
        <v>doc-1585:3</v>
      </c>
      <c r="C1724" t="s">
        <v>9861</v>
      </c>
      <c r="D1724">
        <v>3</v>
      </c>
      <c r="E1724" t="s">
        <v>1494</v>
      </c>
    </row>
    <row r="1725" spans="2:5">
      <c r="B1725" s="65" t="str">
        <f t="shared" si="26"/>
        <v>doc-1587:1</v>
      </c>
      <c r="C1725" t="s">
        <v>9862</v>
      </c>
      <c r="D1725">
        <v>1</v>
      </c>
      <c r="E1725" t="s">
        <v>1491</v>
      </c>
    </row>
    <row r="1726" spans="2:5">
      <c r="B1726" s="65" t="str">
        <f t="shared" si="26"/>
        <v>doc-1587:2</v>
      </c>
      <c r="C1726" t="s">
        <v>9862</v>
      </c>
      <c r="D1726">
        <v>2</v>
      </c>
      <c r="E1726" t="s">
        <v>1509</v>
      </c>
    </row>
    <row r="1727" spans="2:5">
      <c r="B1727" s="65" t="str">
        <f t="shared" si="26"/>
        <v>doc-1590:1</v>
      </c>
      <c r="C1727" t="s">
        <v>9863</v>
      </c>
      <c r="D1727">
        <v>1</v>
      </c>
      <c r="E1727" t="s">
        <v>2950</v>
      </c>
    </row>
    <row r="1728" spans="2:5">
      <c r="B1728" s="65" t="str">
        <f t="shared" si="26"/>
        <v>doc-1590:2</v>
      </c>
      <c r="C1728" t="s">
        <v>9863</v>
      </c>
      <c r="D1728">
        <v>2</v>
      </c>
      <c r="E1728" t="s">
        <v>73</v>
      </c>
    </row>
    <row r="1729" spans="2:5">
      <c r="B1729" s="65" t="str">
        <f t="shared" si="26"/>
        <v>doc-1590:3</v>
      </c>
      <c r="C1729" t="s">
        <v>9863</v>
      </c>
      <c r="D1729">
        <v>3</v>
      </c>
      <c r="E1729" t="s">
        <v>90</v>
      </c>
    </row>
    <row r="1730" spans="2:5">
      <c r="B1730" s="65" t="str">
        <f t="shared" si="26"/>
        <v>doc-1659:1</v>
      </c>
      <c r="C1730" t="s">
        <v>9864</v>
      </c>
      <c r="D1730">
        <v>1</v>
      </c>
      <c r="E1730" t="s">
        <v>1795</v>
      </c>
    </row>
    <row r="1731" spans="2:5">
      <c r="B1731" s="65" t="str">
        <f t="shared" si="26"/>
        <v>doc-1659:2</v>
      </c>
      <c r="C1731" t="s">
        <v>9864</v>
      </c>
      <c r="D1731">
        <v>2</v>
      </c>
      <c r="E1731" t="s">
        <v>1763</v>
      </c>
    </row>
    <row r="1732" spans="2:5">
      <c r="B1732" s="65" t="str">
        <f t="shared" ref="B1732:B1795" si="27">$C1732&amp;":"&amp;$D1732</f>
        <v>doc-1659:3</v>
      </c>
      <c r="C1732" t="s">
        <v>9864</v>
      </c>
      <c r="D1732">
        <v>3</v>
      </c>
      <c r="E1732" t="s">
        <v>79</v>
      </c>
    </row>
    <row r="1733" spans="2:5">
      <c r="B1733" s="65" t="str">
        <f t="shared" si="27"/>
        <v>doc-1659:4</v>
      </c>
      <c r="C1733" t="s">
        <v>9864</v>
      </c>
      <c r="D1733">
        <v>4</v>
      </c>
      <c r="E1733" t="s">
        <v>82</v>
      </c>
    </row>
    <row r="1734" spans="2:5">
      <c r="B1734" s="65" t="str">
        <f t="shared" si="27"/>
        <v>doc-1668a:1</v>
      </c>
      <c r="C1734" t="s">
        <v>9865</v>
      </c>
      <c r="D1734">
        <v>1</v>
      </c>
      <c r="E1734" t="s">
        <v>2810</v>
      </c>
    </row>
    <row r="1735" spans="2:5">
      <c r="B1735" s="65" t="str">
        <f t="shared" si="27"/>
        <v>doc-1668a:2</v>
      </c>
      <c r="C1735" t="s">
        <v>9865</v>
      </c>
      <c r="D1735">
        <v>2</v>
      </c>
      <c r="E1735" t="s">
        <v>2820</v>
      </c>
    </row>
    <row r="1736" spans="2:5">
      <c r="B1736" s="65" t="str">
        <f t="shared" si="27"/>
        <v>doc-1668a:3</v>
      </c>
      <c r="C1736" t="s">
        <v>9865</v>
      </c>
      <c r="D1736">
        <v>3</v>
      </c>
      <c r="E1736" t="s">
        <v>2805</v>
      </c>
    </row>
    <row r="1737" spans="2:5">
      <c r="B1737" s="65" t="str">
        <f t="shared" si="27"/>
        <v>doc-1668a:4</v>
      </c>
      <c r="C1737" t="s">
        <v>9865</v>
      </c>
      <c r="D1737">
        <v>4</v>
      </c>
      <c r="E1737" t="s">
        <v>1941</v>
      </c>
    </row>
    <row r="1738" spans="2:5">
      <c r="B1738" s="65" t="str">
        <f t="shared" si="27"/>
        <v>doc-1668b:1</v>
      </c>
      <c r="C1738" t="s">
        <v>5956</v>
      </c>
      <c r="D1738">
        <v>1</v>
      </c>
      <c r="E1738" t="s">
        <v>2810</v>
      </c>
    </row>
    <row r="1739" spans="2:5">
      <c r="B1739" s="65" t="str">
        <f t="shared" si="27"/>
        <v>doc-1668b:2</v>
      </c>
      <c r="C1739" t="s">
        <v>5956</v>
      </c>
      <c r="D1739">
        <v>2</v>
      </c>
      <c r="E1739" t="s">
        <v>2820</v>
      </c>
    </row>
    <row r="1740" spans="2:5">
      <c r="B1740" s="65" t="str">
        <f t="shared" si="27"/>
        <v>doc-1668b:3</v>
      </c>
      <c r="C1740" t="s">
        <v>5956</v>
      </c>
      <c r="D1740">
        <v>3</v>
      </c>
      <c r="E1740" t="s">
        <v>2805</v>
      </c>
    </row>
    <row r="1741" spans="2:5">
      <c r="B1741" s="65" t="str">
        <f t="shared" si="27"/>
        <v>doc-1668b:4</v>
      </c>
      <c r="C1741" t="s">
        <v>5956</v>
      </c>
      <c r="D1741">
        <v>4</v>
      </c>
      <c r="E1741" t="s">
        <v>1941</v>
      </c>
    </row>
    <row r="1742" spans="2:5">
      <c r="B1742" s="65" t="str">
        <f t="shared" si="27"/>
        <v>doc-1669:1</v>
      </c>
      <c r="C1742" t="s">
        <v>9866</v>
      </c>
      <c r="D1742">
        <v>1</v>
      </c>
      <c r="E1742" t="s">
        <v>3032</v>
      </c>
    </row>
    <row r="1743" spans="2:5">
      <c r="B1743" s="65" t="str">
        <f t="shared" si="27"/>
        <v>doc-1669:2</v>
      </c>
      <c r="C1743" t="s">
        <v>9866</v>
      </c>
      <c r="D1743">
        <v>2</v>
      </c>
      <c r="E1743" t="s">
        <v>1941</v>
      </c>
    </row>
    <row r="1744" spans="2:5">
      <c r="B1744" s="65" t="str">
        <f t="shared" si="27"/>
        <v>doc-1670a:1</v>
      </c>
      <c r="C1744" t="s">
        <v>9867</v>
      </c>
      <c r="D1744">
        <v>1</v>
      </c>
      <c r="E1744" t="s">
        <v>79</v>
      </c>
    </row>
    <row r="1745" spans="2:5">
      <c r="B1745" s="65" t="str">
        <f t="shared" si="27"/>
        <v>doc-1672:1</v>
      </c>
      <c r="C1745" t="s">
        <v>9868</v>
      </c>
      <c r="D1745">
        <v>1</v>
      </c>
      <c r="E1745" t="s">
        <v>2302</v>
      </c>
    </row>
    <row r="1746" spans="2:5">
      <c r="B1746" s="65" t="str">
        <f t="shared" si="27"/>
        <v>doc-1672:2</v>
      </c>
      <c r="C1746" t="s">
        <v>9868</v>
      </c>
      <c r="D1746">
        <v>2</v>
      </c>
      <c r="E1746" t="s">
        <v>87</v>
      </c>
    </row>
    <row r="1747" spans="2:5">
      <c r="B1747" s="65" t="str">
        <f t="shared" si="27"/>
        <v>doc-1672:3</v>
      </c>
      <c r="C1747" t="s">
        <v>9868</v>
      </c>
      <c r="D1747">
        <v>3</v>
      </c>
      <c r="E1747" t="s">
        <v>1395</v>
      </c>
    </row>
    <row r="1748" spans="2:5">
      <c r="B1748" s="65" t="str">
        <f t="shared" si="27"/>
        <v>doc-1672:4</v>
      </c>
      <c r="C1748" t="s">
        <v>9868</v>
      </c>
      <c r="D1748">
        <v>4</v>
      </c>
      <c r="E1748" t="s">
        <v>1349</v>
      </c>
    </row>
    <row r="1749" spans="2:5">
      <c r="B1749" s="65" t="str">
        <f t="shared" si="27"/>
        <v>doc-1672:5</v>
      </c>
      <c r="C1749" t="s">
        <v>9868</v>
      </c>
      <c r="D1749">
        <v>5</v>
      </c>
      <c r="E1749" t="s">
        <v>73</v>
      </c>
    </row>
    <row r="1750" spans="2:5">
      <c r="B1750" s="65" t="str">
        <f t="shared" si="27"/>
        <v>doc-1672:6</v>
      </c>
      <c r="C1750" t="s">
        <v>9868</v>
      </c>
      <c r="D1750">
        <v>6</v>
      </c>
      <c r="E1750" t="s">
        <v>281</v>
      </c>
    </row>
    <row r="1751" spans="2:5">
      <c r="B1751" s="65" t="str">
        <f t="shared" si="27"/>
        <v>doc-1674:1</v>
      </c>
      <c r="C1751" t="s">
        <v>9869</v>
      </c>
      <c r="D1751">
        <v>1</v>
      </c>
      <c r="E1751" t="s">
        <v>87</v>
      </c>
    </row>
    <row r="1752" spans="2:5">
      <c r="B1752" s="65" t="str">
        <f t="shared" si="27"/>
        <v>doc-1674:2</v>
      </c>
      <c r="C1752" t="s">
        <v>9869</v>
      </c>
      <c r="D1752">
        <v>2</v>
      </c>
      <c r="E1752" t="s">
        <v>73</v>
      </c>
    </row>
    <row r="1753" spans="2:5">
      <c r="B1753" s="65" t="str">
        <f t="shared" si="27"/>
        <v>doc-1674:3</v>
      </c>
      <c r="C1753" t="s">
        <v>9869</v>
      </c>
      <c r="D1753">
        <v>3</v>
      </c>
      <c r="E1753" t="s">
        <v>2302</v>
      </c>
    </row>
    <row r="1754" spans="2:5">
      <c r="B1754" s="65" t="str">
        <f t="shared" si="27"/>
        <v>doc-1674:4</v>
      </c>
      <c r="C1754" t="s">
        <v>9869</v>
      </c>
      <c r="D1754">
        <v>4</v>
      </c>
      <c r="E1754" t="s">
        <v>281</v>
      </c>
    </row>
    <row r="1755" spans="2:5">
      <c r="B1755" s="65" t="str">
        <f t="shared" si="27"/>
        <v>doc-1674:5</v>
      </c>
      <c r="C1755" t="s">
        <v>9869</v>
      </c>
      <c r="D1755">
        <v>5</v>
      </c>
      <c r="E1755" t="s">
        <v>1349</v>
      </c>
    </row>
    <row r="1756" spans="2:5">
      <c r="B1756" s="65" t="str">
        <f t="shared" si="27"/>
        <v>doc-1676:1</v>
      </c>
      <c r="C1756" t="s">
        <v>9870</v>
      </c>
      <c r="D1756">
        <v>1</v>
      </c>
      <c r="E1756" t="s">
        <v>79</v>
      </c>
    </row>
    <row r="1757" spans="2:5">
      <c r="B1757" s="65" t="str">
        <f t="shared" si="27"/>
        <v>doc-1676:2</v>
      </c>
      <c r="C1757" t="s">
        <v>9870</v>
      </c>
      <c r="D1757">
        <v>2</v>
      </c>
      <c r="E1757" t="s">
        <v>82</v>
      </c>
    </row>
    <row r="1758" spans="2:5">
      <c r="B1758" s="65" t="str">
        <f t="shared" si="27"/>
        <v>doc-1676:3</v>
      </c>
      <c r="C1758" t="s">
        <v>9870</v>
      </c>
      <c r="D1758">
        <v>3</v>
      </c>
      <c r="E1758" t="s">
        <v>1203</v>
      </c>
    </row>
    <row r="1759" spans="2:5">
      <c r="B1759" s="65" t="str">
        <f t="shared" si="27"/>
        <v>doc-1676:4</v>
      </c>
      <c r="C1759" t="s">
        <v>9870</v>
      </c>
      <c r="D1759">
        <v>4</v>
      </c>
      <c r="E1759" t="s">
        <v>1227</v>
      </c>
    </row>
    <row r="1760" spans="2:5">
      <c r="B1760" s="65" t="str">
        <f t="shared" si="27"/>
        <v>doc-1676:5</v>
      </c>
      <c r="C1760" t="s">
        <v>9870</v>
      </c>
      <c r="D1760">
        <v>5</v>
      </c>
      <c r="E1760" t="s">
        <v>1221</v>
      </c>
    </row>
    <row r="1761" spans="2:5">
      <c r="B1761" s="65" t="str">
        <f t="shared" si="27"/>
        <v>doc-1677:1</v>
      </c>
      <c r="C1761" t="s">
        <v>9871</v>
      </c>
      <c r="D1761">
        <v>1</v>
      </c>
      <c r="E1761" t="s">
        <v>2954</v>
      </c>
    </row>
    <row r="1762" spans="2:5">
      <c r="B1762" s="65" t="str">
        <f t="shared" si="27"/>
        <v>doc-1677:2</v>
      </c>
      <c r="C1762" t="s">
        <v>9871</v>
      </c>
      <c r="D1762">
        <v>2</v>
      </c>
      <c r="E1762" t="s">
        <v>1795</v>
      </c>
    </row>
    <row r="1763" spans="2:5">
      <c r="B1763" s="65" t="str">
        <f t="shared" si="27"/>
        <v>doc-1677:3</v>
      </c>
      <c r="C1763" t="s">
        <v>9871</v>
      </c>
      <c r="D1763">
        <v>3</v>
      </c>
      <c r="E1763" t="s">
        <v>1941</v>
      </c>
    </row>
    <row r="1764" spans="2:5">
      <c r="B1764" s="65" t="str">
        <f t="shared" si="27"/>
        <v>doc-1678:1</v>
      </c>
      <c r="C1764" t="s">
        <v>9872</v>
      </c>
      <c r="D1764">
        <v>1</v>
      </c>
      <c r="E1764" t="s">
        <v>2954</v>
      </c>
    </row>
    <row r="1765" spans="2:5">
      <c r="B1765" s="65" t="str">
        <f t="shared" si="27"/>
        <v>doc-1678:2</v>
      </c>
      <c r="C1765" t="s">
        <v>9872</v>
      </c>
      <c r="D1765">
        <v>2</v>
      </c>
      <c r="E1765" t="s">
        <v>1833</v>
      </c>
    </row>
    <row r="1766" spans="2:5">
      <c r="B1766" s="65" t="str">
        <f t="shared" si="27"/>
        <v>doc-1678:3</v>
      </c>
      <c r="C1766" t="s">
        <v>9872</v>
      </c>
      <c r="D1766">
        <v>3</v>
      </c>
      <c r="E1766" t="s">
        <v>2926</v>
      </c>
    </row>
    <row r="1767" spans="2:5">
      <c r="B1767" s="65" t="str">
        <f t="shared" si="27"/>
        <v>doc-1678:4</v>
      </c>
      <c r="C1767" t="s">
        <v>9872</v>
      </c>
      <c r="D1767">
        <v>4</v>
      </c>
      <c r="E1767" t="s">
        <v>2960</v>
      </c>
    </row>
    <row r="1768" spans="2:5">
      <c r="B1768" s="65" t="str">
        <f t="shared" si="27"/>
        <v>doc-1678:5</v>
      </c>
      <c r="C1768" t="s">
        <v>9872</v>
      </c>
      <c r="D1768">
        <v>5</v>
      </c>
      <c r="E1768" t="s">
        <v>2664</v>
      </c>
    </row>
    <row r="1769" spans="2:5">
      <c r="B1769" s="65" t="str">
        <f t="shared" si="27"/>
        <v>doc-1678:6</v>
      </c>
      <c r="C1769" t="s">
        <v>9872</v>
      </c>
      <c r="D1769">
        <v>6</v>
      </c>
      <c r="E1769" t="s">
        <v>299</v>
      </c>
    </row>
    <row r="1770" spans="2:5">
      <c r="B1770" s="65" t="str">
        <f t="shared" si="27"/>
        <v>doc-1678:7</v>
      </c>
      <c r="C1770" t="s">
        <v>9872</v>
      </c>
      <c r="D1770">
        <v>7</v>
      </c>
      <c r="E1770" t="s">
        <v>1795</v>
      </c>
    </row>
    <row r="1771" spans="2:5">
      <c r="B1771" s="65" t="str">
        <f t="shared" si="27"/>
        <v>doc-1678:8</v>
      </c>
      <c r="C1771" t="s">
        <v>9872</v>
      </c>
      <c r="D1771">
        <v>8</v>
      </c>
      <c r="E1771" t="s">
        <v>1275</v>
      </c>
    </row>
    <row r="1772" spans="2:5">
      <c r="B1772" s="65" t="str">
        <f t="shared" si="27"/>
        <v>doc-1678:9</v>
      </c>
      <c r="C1772" t="s">
        <v>9872</v>
      </c>
      <c r="D1772">
        <v>9</v>
      </c>
      <c r="E1772" t="s">
        <v>254</v>
      </c>
    </row>
    <row r="1773" spans="2:5">
      <c r="B1773" s="65" t="str">
        <f t="shared" si="27"/>
        <v>doc-1678:10</v>
      </c>
      <c r="C1773" t="s">
        <v>9872</v>
      </c>
      <c r="D1773">
        <v>10</v>
      </c>
      <c r="E1773" t="s">
        <v>1108</v>
      </c>
    </row>
    <row r="1774" spans="2:5">
      <c r="B1774" s="65" t="str">
        <f t="shared" si="27"/>
        <v>doc-1679:1</v>
      </c>
      <c r="C1774" t="s">
        <v>9873</v>
      </c>
      <c r="D1774">
        <v>1</v>
      </c>
      <c r="E1774" t="s">
        <v>1283</v>
      </c>
    </row>
    <row r="1775" spans="2:5">
      <c r="B1775" s="65" t="str">
        <f t="shared" si="27"/>
        <v>doc-1679:2</v>
      </c>
      <c r="C1775" t="s">
        <v>9873</v>
      </c>
      <c r="D1775">
        <v>2</v>
      </c>
      <c r="E1775" t="s">
        <v>1275</v>
      </c>
    </row>
    <row r="1776" spans="2:5">
      <c r="B1776" s="65" t="str">
        <f t="shared" si="27"/>
        <v>doc-1679:3</v>
      </c>
      <c r="C1776" t="s">
        <v>9873</v>
      </c>
      <c r="D1776">
        <v>3</v>
      </c>
      <c r="E1776" t="s">
        <v>254</v>
      </c>
    </row>
    <row r="1777" spans="2:5">
      <c r="B1777" s="65" t="str">
        <f t="shared" si="27"/>
        <v>doc-1679:4</v>
      </c>
      <c r="C1777" t="s">
        <v>9873</v>
      </c>
      <c r="D1777">
        <v>4</v>
      </c>
      <c r="E1777" t="s">
        <v>299</v>
      </c>
    </row>
    <row r="1778" spans="2:5">
      <c r="B1778" s="65" t="str">
        <f t="shared" si="27"/>
        <v>doc-1680:1</v>
      </c>
      <c r="C1778" t="s">
        <v>9874</v>
      </c>
      <c r="D1778">
        <v>1</v>
      </c>
      <c r="E1778" t="s">
        <v>1795</v>
      </c>
    </row>
    <row r="1779" spans="2:5">
      <c r="B1779" s="65" t="str">
        <f t="shared" si="27"/>
        <v>doc-1680:2</v>
      </c>
      <c r="C1779" t="s">
        <v>9874</v>
      </c>
      <c r="D1779">
        <v>2</v>
      </c>
      <c r="E1779" t="s">
        <v>1941</v>
      </c>
    </row>
    <row r="1780" spans="2:5">
      <c r="B1780" s="65" t="str">
        <f t="shared" si="27"/>
        <v>doc-1680:3</v>
      </c>
      <c r="C1780" t="s">
        <v>9874</v>
      </c>
      <c r="D1780">
        <v>3</v>
      </c>
      <c r="E1780" t="s">
        <v>1575</v>
      </c>
    </row>
    <row r="1781" spans="2:5">
      <c r="B1781" s="65" t="str">
        <f t="shared" si="27"/>
        <v>doc-1681:1</v>
      </c>
      <c r="C1781" t="s">
        <v>9875</v>
      </c>
      <c r="D1781">
        <v>1</v>
      </c>
      <c r="E1781" t="s">
        <v>1283</v>
      </c>
    </row>
    <row r="1782" spans="2:5">
      <c r="B1782" s="65" t="str">
        <f t="shared" si="27"/>
        <v>doc-1681:2</v>
      </c>
      <c r="C1782" t="s">
        <v>9875</v>
      </c>
      <c r="D1782">
        <v>2</v>
      </c>
      <c r="E1782" t="s">
        <v>1275</v>
      </c>
    </row>
    <row r="1783" spans="2:5">
      <c r="B1783" s="65" t="str">
        <f t="shared" si="27"/>
        <v>doc-1681:3</v>
      </c>
      <c r="C1783" t="s">
        <v>9875</v>
      </c>
      <c r="D1783">
        <v>3</v>
      </c>
      <c r="E1783" t="s">
        <v>254</v>
      </c>
    </row>
    <row r="1784" spans="2:5">
      <c r="B1784" s="65" t="str">
        <f t="shared" si="27"/>
        <v>doc-1681:4</v>
      </c>
      <c r="C1784" t="s">
        <v>9875</v>
      </c>
      <c r="D1784">
        <v>4</v>
      </c>
      <c r="E1784" t="s">
        <v>299</v>
      </c>
    </row>
    <row r="1785" spans="2:5">
      <c r="B1785" s="65" t="str">
        <f t="shared" si="27"/>
        <v>doc-1682:1</v>
      </c>
      <c r="C1785" t="s">
        <v>5909</v>
      </c>
      <c r="D1785">
        <v>1</v>
      </c>
      <c r="E1785" t="s">
        <v>2895</v>
      </c>
    </row>
    <row r="1786" spans="2:5">
      <c r="B1786" s="65" t="str">
        <f t="shared" si="27"/>
        <v>doc-1682:2</v>
      </c>
      <c r="C1786" t="s">
        <v>5909</v>
      </c>
      <c r="D1786">
        <v>2</v>
      </c>
      <c r="E1786" t="s">
        <v>2023</v>
      </c>
    </row>
    <row r="1787" spans="2:5">
      <c r="B1787" s="65" t="str">
        <f t="shared" si="27"/>
        <v>doc-1682:3</v>
      </c>
      <c r="C1787" t="s">
        <v>5909</v>
      </c>
      <c r="D1787">
        <v>3</v>
      </c>
      <c r="E1787" t="s">
        <v>1833</v>
      </c>
    </row>
    <row r="1788" spans="2:5">
      <c r="B1788" s="65" t="str">
        <f t="shared" si="27"/>
        <v>doc-1682:4</v>
      </c>
      <c r="C1788" t="s">
        <v>5909</v>
      </c>
      <c r="D1788">
        <v>4</v>
      </c>
      <c r="E1788" t="s">
        <v>2847</v>
      </c>
    </row>
    <row r="1789" spans="2:5">
      <c r="B1789" s="65" t="str">
        <f t="shared" si="27"/>
        <v>doc-1682:5</v>
      </c>
      <c r="C1789" t="s">
        <v>5909</v>
      </c>
      <c r="D1789">
        <v>5</v>
      </c>
      <c r="E1789" t="s">
        <v>2833</v>
      </c>
    </row>
    <row r="1790" spans="2:5">
      <c r="B1790" s="65" t="str">
        <f t="shared" si="27"/>
        <v>doc-1682:6</v>
      </c>
      <c r="C1790" t="s">
        <v>5909</v>
      </c>
      <c r="D1790">
        <v>6</v>
      </c>
      <c r="E1790" t="s">
        <v>1108</v>
      </c>
    </row>
    <row r="1791" spans="2:5">
      <c r="B1791" s="65" t="str">
        <f t="shared" si="27"/>
        <v>doc-1682:7</v>
      </c>
      <c r="C1791" t="s">
        <v>5909</v>
      </c>
      <c r="D1791">
        <v>7</v>
      </c>
      <c r="E1791" t="s">
        <v>2849</v>
      </c>
    </row>
    <row r="1792" spans="2:5">
      <c r="B1792" s="65" t="str">
        <f t="shared" si="27"/>
        <v>doc-1683:1</v>
      </c>
      <c r="C1792" t="s">
        <v>9876</v>
      </c>
      <c r="D1792">
        <v>1</v>
      </c>
      <c r="E1792" t="s">
        <v>1275</v>
      </c>
    </row>
    <row r="1793" spans="2:5">
      <c r="B1793" s="65" t="str">
        <f t="shared" si="27"/>
        <v>doc-1683:2</v>
      </c>
      <c r="C1793" t="s">
        <v>9876</v>
      </c>
      <c r="D1793">
        <v>2</v>
      </c>
      <c r="E1793" t="s">
        <v>1283</v>
      </c>
    </row>
    <row r="1794" spans="2:5">
      <c r="B1794" s="65" t="str">
        <f t="shared" si="27"/>
        <v>doc-1683:3</v>
      </c>
      <c r="C1794" t="s">
        <v>9876</v>
      </c>
      <c r="D1794">
        <v>3</v>
      </c>
      <c r="E1794" t="s">
        <v>1293</v>
      </c>
    </row>
    <row r="1795" spans="2:5">
      <c r="B1795" s="65" t="str">
        <f t="shared" si="27"/>
        <v>doc-1683:4</v>
      </c>
      <c r="C1795" t="s">
        <v>9876</v>
      </c>
      <c r="D1795">
        <v>4</v>
      </c>
      <c r="E1795" t="s">
        <v>254</v>
      </c>
    </row>
    <row r="1796" spans="2:5">
      <c r="B1796" s="65" t="str">
        <f t="shared" ref="B1796:B1859" si="28">$C1796&amp;":"&amp;$D1796</f>
        <v>doc-1683:5</v>
      </c>
      <c r="C1796" t="s">
        <v>9876</v>
      </c>
      <c r="D1796">
        <v>5</v>
      </c>
      <c r="E1796" t="s">
        <v>1153</v>
      </c>
    </row>
    <row r="1797" spans="2:5">
      <c r="B1797" s="65" t="str">
        <f t="shared" si="28"/>
        <v>doc-1683:6</v>
      </c>
      <c r="C1797" t="s">
        <v>9876</v>
      </c>
      <c r="D1797">
        <v>6</v>
      </c>
      <c r="E1797" t="s">
        <v>3231</v>
      </c>
    </row>
    <row r="1798" spans="2:5">
      <c r="B1798" s="65" t="str">
        <f t="shared" si="28"/>
        <v>doc-1684:1</v>
      </c>
      <c r="C1798" t="s">
        <v>9877</v>
      </c>
      <c r="D1798">
        <v>1</v>
      </c>
      <c r="E1798" t="s">
        <v>1275</v>
      </c>
    </row>
    <row r="1799" spans="2:5">
      <c r="B1799" s="65" t="str">
        <f t="shared" si="28"/>
        <v>doc-1684:2</v>
      </c>
      <c r="C1799" t="s">
        <v>9877</v>
      </c>
      <c r="D1799">
        <v>2</v>
      </c>
      <c r="E1799" t="s">
        <v>254</v>
      </c>
    </row>
    <row r="1800" spans="2:5">
      <c r="B1800" s="65" t="str">
        <f t="shared" si="28"/>
        <v>doc-1684:3</v>
      </c>
      <c r="C1800" t="s">
        <v>9877</v>
      </c>
      <c r="D1800">
        <v>3</v>
      </c>
      <c r="E1800" t="s">
        <v>2943</v>
      </c>
    </row>
    <row r="1801" spans="2:5">
      <c r="B1801" s="65" t="str">
        <f t="shared" si="28"/>
        <v>doc-1684:4</v>
      </c>
      <c r="C1801" t="s">
        <v>9877</v>
      </c>
      <c r="D1801">
        <v>4</v>
      </c>
      <c r="E1801" t="s">
        <v>2954</v>
      </c>
    </row>
    <row r="1802" spans="2:5">
      <c r="B1802" s="65" t="str">
        <f t="shared" si="28"/>
        <v>doc-1684:5</v>
      </c>
      <c r="C1802" t="s">
        <v>9877</v>
      </c>
      <c r="D1802">
        <v>5</v>
      </c>
      <c r="E1802" t="s">
        <v>2960</v>
      </c>
    </row>
    <row r="1803" spans="2:5">
      <c r="B1803" s="65" t="str">
        <f t="shared" si="28"/>
        <v>doc-1684:6</v>
      </c>
      <c r="C1803" t="s">
        <v>9877</v>
      </c>
      <c r="D1803">
        <v>6</v>
      </c>
      <c r="E1803" t="s">
        <v>299</v>
      </c>
    </row>
    <row r="1804" spans="2:5">
      <c r="B1804" s="65" t="str">
        <f t="shared" si="28"/>
        <v>doc-1684:7</v>
      </c>
      <c r="C1804" t="s">
        <v>9877</v>
      </c>
      <c r="D1804">
        <v>7</v>
      </c>
      <c r="E1804" t="s">
        <v>2664</v>
      </c>
    </row>
    <row r="1805" spans="2:5">
      <c r="B1805" s="65" t="str">
        <f t="shared" si="28"/>
        <v>doc-1684:8</v>
      </c>
      <c r="C1805" t="s">
        <v>9877</v>
      </c>
      <c r="D1805">
        <v>8</v>
      </c>
      <c r="E1805" t="s">
        <v>1795</v>
      </c>
    </row>
    <row r="1806" spans="2:5">
      <c r="B1806" s="65" t="str">
        <f t="shared" si="28"/>
        <v>doc-1685:1</v>
      </c>
      <c r="C1806" t="s">
        <v>9878</v>
      </c>
      <c r="D1806">
        <v>1</v>
      </c>
      <c r="E1806" t="s">
        <v>2843</v>
      </c>
    </row>
    <row r="1807" spans="2:5">
      <c r="B1807" s="65" t="str">
        <f t="shared" si="28"/>
        <v>doc-1685:2</v>
      </c>
      <c r="C1807" t="s">
        <v>9878</v>
      </c>
      <c r="D1807">
        <v>2</v>
      </c>
      <c r="E1807" t="s">
        <v>2847</v>
      </c>
    </row>
    <row r="1808" spans="2:5">
      <c r="B1808" s="65" t="str">
        <f t="shared" si="28"/>
        <v>doc-1685:3</v>
      </c>
      <c r="C1808" t="s">
        <v>9878</v>
      </c>
      <c r="D1808">
        <v>3</v>
      </c>
      <c r="E1808" t="s">
        <v>2831</v>
      </c>
    </row>
    <row r="1809" spans="2:5">
      <c r="B1809" s="65" t="str">
        <f t="shared" si="28"/>
        <v>doc-1685:4</v>
      </c>
      <c r="C1809" t="s">
        <v>9878</v>
      </c>
      <c r="D1809">
        <v>4</v>
      </c>
      <c r="E1809" t="s">
        <v>2849</v>
      </c>
    </row>
    <row r="1810" spans="2:5">
      <c r="B1810" s="65" t="str">
        <f t="shared" si="28"/>
        <v>doc-1686:1</v>
      </c>
      <c r="C1810" t="s">
        <v>9879</v>
      </c>
      <c r="D1810">
        <v>1</v>
      </c>
      <c r="E1810" t="s">
        <v>2843</v>
      </c>
    </row>
    <row r="1811" spans="2:5">
      <c r="B1811" s="65" t="str">
        <f t="shared" si="28"/>
        <v>doc-1686:2</v>
      </c>
      <c r="C1811" t="s">
        <v>9879</v>
      </c>
      <c r="D1811">
        <v>2</v>
      </c>
      <c r="E1811" t="s">
        <v>2847</v>
      </c>
    </row>
    <row r="1812" spans="2:5">
      <c r="B1812" s="65" t="str">
        <f t="shared" si="28"/>
        <v>doc-1686:3</v>
      </c>
      <c r="C1812" t="s">
        <v>9879</v>
      </c>
      <c r="D1812">
        <v>3</v>
      </c>
      <c r="E1812" t="s">
        <v>2849</v>
      </c>
    </row>
    <row r="1813" spans="2:5">
      <c r="B1813" s="65" t="str">
        <f t="shared" si="28"/>
        <v>doc-1686:4</v>
      </c>
      <c r="C1813" t="s">
        <v>9879</v>
      </c>
      <c r="D1813">
        <v>4</v>
      </c>
      <c r="E1813" t="s">
        <v>3010</v>
      </c>
    </row>
    <row r="1814" spans="2:5">
      <c r="B1814" s="65" t="str">
        <f t="shared" si="28"/>
        <v>doc-1686:5</v>
      </c>
      <c r="C1814" t="s">
        <v>9879</v>
      </c>
      <c r="D1814">
        <v>5</v>
      </c>
      <c r="E1814" t="s">
        <v>296</v>
      </c>
    </row>
    <row r="1815" spans="2:5">
      <c r="B1815" s="65" t="str">
        <f t="shared" si="28"/>
        <v>doc-1722:1</v>
      </c>
      <c r="C1815" t="s">
        <v>9880</v>
      </c>
      <c r="D1815">
        <v>1</v>
      </c>
      <c r="E1815" t="s">
        <v>2847</v>
      </c>
    </row>
    <row r="1816" spans="2:5">
      <c r="B1816" s="65" t="str">
        <f t="shared" si="28"/>
        <v>doc-1722:2</v>
      </c>
      <c r="C1816" t="s">
        <v>9880</v>
      </c>
      <c r="D1816">
        <v>2</v>
      </c>
      <c r="E1816" t="s">
        <v>2889</v>
      </c>
    </row>
    <row r="1817" spans="2:5">
      <c r="B1817" s="65" t="str">
        <f t="shared" si="28"/>
        <v>doc-1722:3</v>
      </c>
      <c r="C1817" t="s">
        <v>9880</v>
      </c>
      <c r="D1817">
        <v>3</v>
      </c>
      <c r="E1817" t="s">
        <v>2849</v>
      </c>
    </row>
    <row r="1818" spans="2:5">
      <c r="B1818" s="65" t="str">
        <f t="shared" si="28"/>
        <v>doc-1722:4</v>
      </c>
      <c r="C1818" t="s">
        <v>9880</v>
      </c>
      <c r="D1818">
        <v>4</v>
      </c>
      <c r="E1818" t="s">
        <v>2887</v>
      </c>
    </row>
    <row r="1819" spans="2:5">
      <c r="B1819" s="65" t="str">
        <f t="shared" si="28"/>
        <v>doc-1722:5</v>
      </c>
      <c r="C1819" t="s">
        <v>9880</v>
      </c>
      <c r="D1819">
        <v>5</v>
      </c>
      <c r="E1819" t="s">
        <v>2179</v>
      </c>
    </row>
    <row r="1820" spans="2:5">
      <c r="B1820" s="65" t="str">
        <f t="shared" si="28"/>
        <v>doc-1722:6</v>
      </c>
      <c r="C1820" t="s">
        <v>9880</v>
      </c>
      <c r="D1820">
        <v>6</v>
      </c>
      <c r="E1820" t="s">
        <v>2121</v>
      </c>
    </row>
    <row r="1821" spans="2:5">
      <c r="B1821" s="65" t="str">
        <f t="shared" si="28"/>
        <v>doc-1723:1</v>
      </c>
      <c r="C1821" t="s">
        <v>9881</v>
      </c>
      <c r="D1821">
        <v>1</v>
      </c>
      <c r="E1821" t="s">
        <v>2073</v>
      </c>
    </row>
    <row r="1822" spans="2:5">
      <c r="B1822" s="65" t="str">
        <f t="shared" si="28"/>
        <v>doc-1723:2</v>
      </c>
      <c r="C1822" t="s">
        <v>9881</v>
      </c>
      <c r="D1822">
        <v>2</v>
      </c>
      <c r="E1822" t="s">
        <v>2847</v>
      </c>
    </row>
    <row r="1823" spans="2:5">
      <c r="B1823" s="65" t="str">
        <f t="shared" si="28"/>
        <v>doc-1723:3</v>
      </c>
      <c r="C1823" t="s">
        <v>9881</v>
      </c>
      <c r="D1823">
        <v>3</v>
      </c>
      <c r="E1823" t="s">
        <v>2121</v>
      </c>
    </row>
    <row r="1824" spans="2:5">
      <c r="B1824" s="65" t="str">
        <f t="shared" si="28"/>
        <v>doc-1726:1</v>
      </c>
      <c r="C1824" t="s">
        <v>9882</v>
      </c>
      <c r="D1824">
        <v>1</v>
      </c>
      <c r="E1824" t="s">
        <v>2073</v>
      </c>
    </row>
    <row r="1825" spans="2:5">
      <c r="B1825" s="65" t="str">
        <f t="shared" si="28"/>
        <v>doc-1726:2</v>
      </c>
      <c r="C1825" t="s">
        <v>9882</v>
      </c>
      <c r="D1825">
        <v>2</v>
      </c>
      <c r="E1825" t="s">
        <v>2847</v>
      </c>
    </row>
    <row r="1826" spans="2:5">
      <c r="B1826" s="65" t="str">
        <f t="shared" si="28"/>
        <v>doc-1726:3</v>
      </c>
      <c r="C1826" t="s">
        <v>9882</v>
      </c>
      <c r="D1826">
        <v>3</v>
      </c>
      <c r="E1826" t="s">
        <v>2121</v>
      </c>
    </row>
    <row r="1827" spans="2:5">
      <c r="B1827" s="65" t="str">
        <f t="shared" si="28"/>
        <v>doc-1728:1</v>
      </c>
      <c r="C1827" t="s">
        <v>9883</v>
      </c>
      <c r="D1827">
        <v>1</v>
      </c>
      <c r="E1827" t="s">
        <v>2954</v>
      </c>
    </row>
    <row r="1828" spans="2:5">
      <c r="B1828" s="65" t="str">
        <f t="shared" si="28"/>
        <v>doc-1728:2</v>
      </c>
      <c r="C1828" t="s">
        <v>9883</v>
      </c>
      <c r="D1828">
        <v>2</v>
      </c>
      <c r="E1828" t="s">
        <v>299</v>
      </c>
    </row>
    <row r="1829" spans="2:5">
      <c r="B1829" s="65" t="str">
        <f t="shared" si="28"/>
        <v>doc-1728:3</v>
      </c>
      <c r="C1829" t="s">
        <v>9883</v>
      </c>
      <c r="D1829">
        <v>3</v>
      </c>
      <c r="E1829" t="s">
        <v>2967</v>
      </c>
    </row>
    <row r="1830" spans="2:5">
      <c r="B1830" s="65" t="str">
        <f t="shared" si="28"/>
        <v>doc-1728:4</v>
      </c>
      <c r="C1830" t="s">
        <v>9883</v>
      </c>
      <c r="D1830">
        <v>4</v>
      </c>
      <c r="E1830" t="s">
        <v>254</v>
      </c>
    </row>
    <row r="1831" spans="2:5">
      <c r="B1831" s="65" t="str">
        <f t="shared" si="28"/>
        <v>doc-1732:1</v>
      </c>
      <c r="C1831" t="s">
        <v>9884</v>
      </c>
      <c r="D1831">
        <v>1</v>
      </c>
      <c r="E1831" t="s">
        <v>2325</v>
      </c>
    </row>
    <row r="1832" spans="2:5">
      <c r="B1832" s="65" t="str">
        <f t="shared" si="28"/>
        <v>doc-1732:2</v>
      </c>
      <c r="C1832" t="s">
        <v>9884</v>
      </c>
      <c r="D1832">
        <v>2</v>
      </c>
      <c r="E1832" t="s">
        <v>1905</v>
      </c>
    </row>
    <row r="1833" spans="2:5">
      <c r="B1833" s="65" t="str">
        <f t="shared" si="28"/>
        <v>doc-1735:1</v>
      </c>
      <c r="C1833" t="s">
        <v>9885</v>
      </c>
      <c r="D1833">
        <v>1</v>
      </c>
      <c r="E1833" t="s">
        <v>79</v>
      </c>
    </row>
    <row r="1834" spans="2:5">
      <c r="B1834" s="65" t="str">
        <f t="shared" si="28"/>
        <v>doc-1735:2</v>
      </c>
      <c r="C1834" t="s">
        <v>9885</v>
      </c>
      <c r="D1834">
        <v>2</v>
      </c>
      <c r="E1834" t="s">
        <v>82</v>
      </c>
    </row>
    <row r="1835" spans="2:5">
      <c r="B1835" s="65" t="str">
        <f t="shared" si="28"/>
        <v>doc-1735:3</v>
      </c>
      <c r="C1835" t="s">
        <v>9885</v>
      </c>
      <c r="D1835">
        <v>3</v>
      </c>
      <c r="E1835" t="s">
        <v>1203</v>
      </c>
    </row>
    <row r="1836" spans="2:5">
      <c r="B1836" s="65" t="str">
        <f t="shared" si="28"/>
        <v>doc-1737:1</v>
      </c>
      <c r="C1836" t="s">
        <v>9886</v>
      </c>
      <c r="D1836">
        <v>1</v>
      </c>
      <c r="E1836" t="s">
        <v>90</v>
      </c>
    </row>
    <row r="1837" spans="2:5">
      <c r="B1837" s="65" t="str">
        <f t="shared" si="28"/>
        <v>doc-1737:2</v>
      </c>
      <c r="C1837" t="s">
        <v>9886</v>
      </c>
      <c r="D1837">
        <v>2</v>
      </c>
      <c r="E1837" t="s">
        <v>107</v>
      </c>
    </row>
    <row r="1838" spans="2:5">
      <c r="B1838" s="65" t="str">
        <f t="shared" si="28"/>
        <v>doc-1737:3</v>
      </c>
      <c r="C1838" t="s">
        <v>9886</v>
      </c>
      <c r="D1838">
        <v>3</v>
      </c>
      <c r="E1838" t="s">
        <v>1127</v>
      </c>
    </row>
    <row r="1839" spans="2:5">
      <c r="B1839" s="65" t="str">
        <f t="shared" si="28"/>
        <v>doc-1737:4</v>
      </c>
      <c r="C1839" t="s">
        <v>9886</v>
      </c>
      <c r="D1839">
        <v>4</v>
      </c>
      <c r="E1839" t="s">
        <v>2967</v>
      </c>
    </row>
    <row r="1840" spans="2:5">
      <c r="B1840" s="65" t="str">
        <f t="shared" si="28"/>
        <v>doc-1737:5</v>
      </c>
      <c r="C1840" t="s">
        <v>9886</v>
      </c>
      <c r="D1840">
        <v>5</v>
      </c>
      <c r="E1840" t="s">
        <v>299</v>
      </c>
    </row>
    <row r="1841" spans="2:5">
      <c r="B1841" s="65" t="str">
        <f t="shared" si="28"/>
        <v>doc-1738:1</v>
      </c>
      <c r="C1841" t="s">
        <v>9887</v>
      </c>
      <c r="D1841">
        <v>1</v>
      </c>
      <c r="E1841" t="s">
        <v>90</v>
      </c>
    </row>
    <row r="1842" spans="2:5">
      <c r="B1842" s="65" t="str">
        <f t="shared" si="28"/>
        <v>doc-1738:2</v>
      </c>
      <c r="C1842" t="s">
        <v>9887</v>
      </c>
      <c r="D1842">
        <v>2</v>
      </c>
      <c r="E1842" t="s">
        <v>1747</v>
      </c>
    </row>
    <row r="1843" spans="2:5">
      <c r="B1843" s="65" t="str">
        <f t="shared" si="28"/>
        <v>doc-1738:3</v>
      </c>
      <c r="C1843" t="s">
        <v>9887</v>
      </c>
      <c r="D1843">
        <v>3</v>
      </c>
      <c r="E1843" t="s">
        <v>107</v>
      </c>
    </row>
    <row r="1844" spans="2:5">
      <c r="B1844" s="65" t="str">
        <f t="shared" si="28"/>
        <v>doc-1738:4</v>
      </c>
      <c r="C1844" t="s">
        <v>9887</v>
      </c>
      <c r="D1844">
        <v>4</v>
      </c>
      <c r="E1844" t="s">
        <v>2967</v>
      </c>
    </row>
    <row r="1845" spans="2:5">
      <c r="B1845" s="65" t="str">
        <f t="shared" si="28"/>
        <v>doc-1738:5</v>
      </c>
      <c r="C1845" t="s">
        <v>9887</v>
      </c>
      <c r="D1845">
        <v>5</v>
      </c>
      <c r="E1845" t="s">
        <v>299</v>
      </c>
    </row>
    <row r="1846" spans="2:5">
      <c r="B1846" s="65" t="str">
        <f t="shared" si="28"/>
        <v>doc-1739:1</v>
      </c>
      <c r="C1846" t="s">
        <v>9888</v>
      </c>
      <c r="D1846">
        <v>1</v>
      </c>
      <c r="E1846" t="s">
        <v>3061</v>
      </c>
    </row>
    <row r="1847" spans="2:5">
      <c r="B1847" s="65" t="str">
        <f t="shared" si="28"/>
        <v>doc-1739:2</v>
      </c>
      <c r="C1847" t="s">
        <v>9888</v>
      </c>
      <c r="D1847">
        <v>2</v>
      </c>
      <c r="E1847" t="s">
        <v>79</v>
      </c>
    </row>
    <row r="1848" spans="2:5">
      <c r="B1848" s="65" t="str">
        <f t="shared" si="28"/>
        <v>doc-1739:3</v>
      </c>
      <c r="C1848" t="s">
        <v>9888</v>
      </c>
      <c r="D1848">
        <v>3</v>
      </c>
      <c r="E1848" t="s">
        <v>73</v>
      </c>
    </row>
    <row r="1849" spans="2:5">
      <c r="B1849" s="65" t="str">
        <f t="shared" si="28"/>
        <v>doc-1739:4</v>
      </c>
      <c r="C1849" t="s">
        <v>9888</v>
      </c>
      <c r="D1849">
        <v>4</v>
      </c>
      <c r="E1849" t="s">
        <v>1203</v>
      </c>
    </row>
    <row r="1850" spans="2:5">
      <c r="B1850" s="65" t="str">
        <f t="shared" si="28"/>
        <v>doc-1739:5</v>
      </c>
      <c r="C1850" t="s">
        <v>9888</v>
      </c>
      <c r="D1850">
        <v>5</v>
      </c>
      <c r="E1850" t="s">
        <v>1227</v>
      </c>
    </row>
    <row r="1851" spans="2:5">
      <c r="B1851" s="65" t="str">
        <f t="shared" si="28"/>
        <v>doc-1739:6</v>
      </c>
      <c r="C1851" t="s">
        <v>9888</v>
      </c>
      <c r="D1851">
        <v>6</v>
      </c>
      <c r="E1851" t="s">
        <v>1221</v>
      </c>
    </row>
    <row r="1852" spans="2:5">
      <c r="B1852" s="65" t="str">
        <f t="shared" si="28"/>
        <v>doc-1742:1</v>
      </c>
      <c r="C1852" t="s">
        <v>9889</v>
      </c>
      <c r="D1852">
        <v>1</v>
      </c>
      <c r="E1852" t="s">
        <v>2170</v>
      </c>
    </row>
    <row r="1853" spans="2:5">
      <c r="B1853" s="65" t="str">
        <f t="shared" si="28"/>
        <v>doc-1742:2</v>
      </c>
      <c r="C1853" t="s">
        <v>9889</v>
      </c>
      <c r="D1853">
        <v>2</v>
      </c>
      <c r="E1853" t="s">
        <v>1854</v>
      </c>
    </row>
    <row r="1854" spans="2:5">
      <c r="B1854" s="65" t="str">
        <f t="shared" si="28"/>
        <v>doc-1742:3</v>
      </c>
      <c r="C1854" t="s">
        <v>9889</v>
      </c>
      <c r="D1854">
        <v>3</v>
      </c>
      <c r="E1854" t="s">
        <v>1968</v>
      </c>
    </row>
    <row r="1855" spans="2:5">
      <c r="B1855" s="65" t="str">
        <f t="shared" si="28"/>
        <v>doc-1742:4</v>
      </c>
      <c r="C1855" t="s">
        <v>9889</v>
      </c>
      <c r="D1855">
        <v>4</v>
      </c>
      <c r="E1855" t="s">
        <v>1747</v>
      </c>
    </row>
    <row r="1856" spans="2:5">
      <c r="B1856" s="65" t="str">
        <f t="shared" si="28"/>
        <v>doc-1742:5</v>
      </c>
      <c r="C1856" t="s">
        <v>9889</v>
      </c>
      <c r="D1856">
        <v>5</v>
      </c>
      <c r="E1856" t="s">
        <v>2137</v>
      </c>
    </row>
    <row r="1857" spans="2:5">
      <c r="B1857" s="65" t="str">
        <f t="shared" si="28"/>
        <v>doc-1743:1</v>
      </c>
      <c r="C1857" t="s">
        <v>9890</v>
      </c>
      <c r="D1857">
        <v>1</v>
      </c>
      <c r="E1857" t="s">
        <v>2485</v>
      </c>
    </row>
    <row r="1858" spans="2:5">
      <c r="B1858" s="65" t="str">
        <f t="shared" si="28"/>
        <v>doc-1743:2</v>
      </c>
      <c r="C1858" t="s">
        <v>9890</v>
      </c>
      <c r="D1858">
        <v>2</v>
      </c>
      <c r="E1858" t="s">
        <v>2422</v>
      </c>
    </row>
    <row r="1859" spans="2:5">
      <c r="B1859" s="65" t="str">
        <f t="shared" si="28"/>
        <v>doc-1743:3</v>
      </c>
      <c r="C1859" t="s">
        <v>9890</v>
      </c>
      <c r="D1859">
        <v>3</v>
      </c>
      <c r="E1859" t="s">
        <v>1968</v>
      </c>
    </row>
    <row r="1860" spans="2:5">
      <c r="B1860" s="65" t="str">
        <f t="shared" ref="B1860:B1923" si="29">$C1860&amp;":"&amp;$D1860</f>
        <v>doc-1743:4</v>
      </c>
      <c r="C1860" t="s">
        <v>9890</v>
      </c>
      <c r="D1860">
        <v>4</v>
      </c>
      <c r="E1860" t="s">
        <v>1343</v>
      </c>
    </row>
    <row r="1861" spans="2:5">
      <c r="B1861" s="65" t="str">
        <f t="shared" si="29"/>
        <v>doc-1744:1</v>
      </c>
      <c r="C1861" t="s">
        <v>9891</v>
      </c>
      <c r="D1861">
        <v>1</v>
      </c>
      <c r="E1861" t="s">
        <v>1763</v>
      </c>
    </row>
    <row r="1862" spans="2:5">
      <c r="B1862" s="65" t="str">
        <f t="shared" si="29"/>
        <v>doc-1744:2</v>
      </c>
      <c r="C1862" t="s">
        <v>9891</v>
      </c>
      <c r="D1862">
        <v>2</v>
      </c>
      <c r="E1862" t="s">
        <v>1737</v>
      </c>
    </row>
    <row r="1863" spans="2:5">
      <c r="B1863" s="65" t="str">
        <f t="shared" si="29"/>
        <v>doc-1744:3</v>
      </c>
      <c r="C1863" t="s">
        <v>9891</v>
      </c>
      <c r="D1863">
        <v>3</v>
      </c>
      <c r="E1863" t="s">
        <v>2485</v>
      </c>
    </row>
    <row r="1864" spans="2:5">
      <c r="B1864" s="65" t="str">
        <f t="shared" si="29"/>
        <v>doc-1744:4</v>
      </c>
      <c r="C1864" t="s">
        <v>9891</v>
      </c>
      <c r="D1864">
        <v>4</v>
      </c>
      <c r="E1864" t="s">
        <v>2422</v>
      </c>
    </row>
    <row r="1865" spans="2:5">
      <c r="B1865" s="65" t="str">
        <f t="shared" si="29"/>
        <v>doc-1744:5</v>
      </c>
      <c r="C1865" t="s">
        <v>9891</v>
      </c>
      <c r="D1865">
        <v>5</v>
      </c>
      <c r="E1865" t="s">
        <v>82</v>
      </c>
    </row>
    <row r="1866" spans="2:5">
      <c r="B1866" s="65" t="str">
        <f t="shared" si="29"/>
        <v>doc-1744:6</v>
      </c>
      <c r="C1866" t="s">
        <v>9891</v>
      </c>
      <c r="D1866">
        <v>6</v>
      </c>
      <c r="E1866" t="s">
        <v>79</v>
      </c>
    </row>
    <row r="1867" spans="2:5">
      <c r="B1867" s="65" t="str">
        <f t="shared" si="29"/>
        <v>doc-1744:7</v>
      </c>
      <c r="C1867" t="s">
        <v>9891</v>
      </c>
      <c r="D1867">
        <v>7</v>
      </c>
      <c r="E1867" t="s">
        <v>1790</v>
      </c>
    </row>
    <row r="1868" spans="2:5">
      <c r="B1868" s="65" t="str">
        <f t="shared" si="29"/>
        <v>doc-1744:8</v>
      </c>
      <c r="C1868" t="s">
        <v>9891</v>
      </c>
      <c r="D1868">
        <v>8</v>
      </c>
      <c r="E1868" t="s">
        <v>1747</v>
      </c>
    </row>
    <row r="1869" spans="2:5">
      <c r="B1869" s="65" t="str">
        <f t="shared" si="29"/>
        <v>doc-1746:1</v>
      </c>
      <c r="C1869" t="s">
        <v>9892</v>
      </c>
      <c r="D1869">
        <v>1</v>
      </c>
      <c r="E1869" t="s">
        <v>2983</v>
      </c>
    </row>
    <row r="1870" spans="2:5">
      <c r="B1870" s="65" t="str">
        <f t="shared" si="29"/>
        <v>doc-1746:2</v>
      </c>
      <c r="C1870" t="s">
        <v>9892</v>
      </c>
      <c r="D1870">
        <v>2</v>
      </c>
      <c r="E1870" t="s">
        <v>3010</v>
      </c>
    </row>
    <row r="1871" spans="2:5">
      <c r="B1871" s="65" t="str">
        <f t="shared" si="29"/>
        <v>doc-1746:3</v>
      </c>
      <c r="C1871" t="s">
        <v>9892</v>
      </c>
      <c r="D1871">
        <v>3</v>
      </c>
      <c r="E1871" t="s">
        <v>2849</v>
      </c>
    </row>
    <row r="1872" spans="2:5">
      <c r="B1872" s="65" t="str">
        <f t="shared" si="29"/>
        <v>doc-1747:1</v>
      </c>
      <c r="C1872" t="s">
        <v>9893</v>
      </c>
      <c r="D1872">
        <v>1</v>
      </c>
      <c r="E1872" t="s">
        <v>2911</v>
      </c>
    </row>
    <row r="1873" spans="2:5">
      <c r="B1873" s="65" t="str">
        <f t="shared" si="29"/>
        <v>doc-1747:2</v>
      </c>
      <c r="C1873" t="s">
        <v>9893</v>
      </c>
      <c r="D1873">
        <v>2</v>
      </c>
      <c r="E1873" t="s">
        <v>2860</v>
      </c>
    </row>
    <row r="1874" spans="2:5">
      <c r="B1874" s="65" t="str">
        <f t="shared" si="29"/>
        <v>doc-1747:3</v>
      </c>
      <c r="C1874" t="s">
        <v>9893</v>
      </c>
      <c r="D1874">
        <v>3</v>
      </c>
      <c r="E1874" t="s">
        <v>2849</v>
      </c>
    </row>
    <row r="1875" spans="2:5">
      <c r="B1875" s="65" t="str">
        <f t="shared" si="29"/>
        <v>doc-1748a:1</v>
      </c>
      <c r="C1875" t="s">
        <v>9894</v>
      </c>
      <c r="D1875">
        <v>1</v>
      </c>
      <c r="E1875" t="s">
        <v>2983</v>
      </c>
    </row>
    <row r="1876" spans="2:5">
      <c r="B1876" s="65" t="str">
        <f t="shared" si="29"/>
        <v>doc-1748a:2</v>
      </c>
      <c r="C1876" t="s">
        <v>9894</v>
      </c>
      <c r="D1876">
        <v>2</v>
      </c>
      <c r="E1876" t="s">
        <v>2825</v>
      </c>
    </row>
    <row r="1877" spans="2:5">
      <c r="B1877" s="65" t="str">
        <f t="shared" si="29"/>
        <v>doc-1748a:3</v>
      </c>
      <c r="C1877" t="s">
        <v>9894</v>
      </c>
      <c r="D1877">
        <v>3</v>
      </c>
      <c r="E1877" t="s">
        <v>2860</v>
      </c>
    </row>
    <row r="1878" spans="2:5">
      <c r="B1878" s="65" t="str">
        <f t="shared" si="29"/>
        <v>doc-1748a:4</v>
      </c>
      <c r="C1878" t="s">
        <v>9894</v>
      </c>
      <c r="D1878">
        <v>4</v>
      </c>
      <c r="E1878" t="s">
        <v>2849</v>
      </c>
    </row>
    <row r="1879" spans="2:5">
      <c r="B1879" s="65" t="str">
        <f t="shared" si="29"/>
        <v>doc-1748b:1</v>
      </c>
      <c r="C1879" t="s">
        <v>9895</v>
      </c>
      <c r="D1879">
        <v>1</v>
      </c>
      <c r="E1879" t="s">
        <v>2825</v>
      </c>
    </row>
    <row r="1880" spans="2:5">
      <c r="B1880" s="65" t="str">
        <f t="shared" si="29"/>
        <v>doc-1748b:2</v>
      </c>
      <c r="C1880" t="s">
        <v>9895</v>
      </c>
      <c r="D1880">
        <v>2</v>
      </c>
      <c r="E1880" t="s">
        <v>2983</v>
      </c>
    </row>
    <row r="1881" spans="2:5">
      <c r="B1881" s="65" t="str">
        <f t="shared" si="29"/>
        <v>doc-1748b:3</v>
      </c>
      <c r="C1881" t="s">
        <v>9895</v>
      </c>
      <c r="D1881">
        <v>3</v>
      </c>
      <c r="E1881" t="s">
        <v>2860</v>
      </c>
    </row>
    <row r="1882" spans="2:5">
      <c r="B1882" s="65" t="str">
        <f t="shared" si="29"/>
        <v>doc-1748b:4</v>
      </c>
      <c r="C1882" t="s">
        <v>9895</v>
      </c>
      <c r="D1882">
        <v>4</v>
      </c>
      <c r="E1882" t="s">
        <v>2849</v>
      </c>
    </row>
    <row r="1883" spans="2:5">
      <c r="B1883" s="65" t="str">
        <f t="shared" si="29"/>
        <v>doc-1749:1</v>
      </c>
      <c r="C1883" t="s">
        <v>5916</v>
      </c>
      <c r="D1883">
        <v>1</v>
      </c>
      <c r="E1883" t="s">
        <v>2895</v>
      </c>
    </row>
    <row r="1884" spans="2:5">
      <c r="B1884" s="65" t="str">
        <f t="shared" si="29"/>
        <v>doc-1749:2</v>
      </c>
      <c r="C1884" t="s">
        <v>5916</v>
      </c>
      <c r="D1884">
        <v>2</v>
      </c>
      <c r="E1884" t="s">
        <v>2023</v>
      </c>
    </row>
    <row r="1885" spans="2:5">
      <c r="B1885" s="65" t="str">
        <f t="shared" si="29"/>
        <v>doc-1749:3</v>
      </c>
      <c r="C1885" t="s">
        <v>5916</v>
      </c>
      <c r="D1885">
        <v>3</v>
      </c>
      <c r="E1885" t="s">
        <v>1833</v>
      </c>
    </row>
    <row r="1886" spans="2:5">
      <c r="B1886" s="65" t="str">
        <f t="shared" si="29"/>
        <v>doc-1749:4</v>
      </c>
      <c r="C1886" t="s">
        <v>5916</v>
      </c>
      <c r="D1886">
        <v>4</v>
      </c>
      <c r="E1886" t="s">
        <v>2847</v>
      </c>
    </row>
    <row r="1887" spans="2:5">
      <c r="B1887" s="65" t="str">
        <f t="shared" si="29"/>
        <v>doc-1749:5</v>
      </c>
      <c r="C1887" t="s">
        <v>5916</v>
      </c>
      <c r="D1887">
        <v>5</v>
      </c>
      <c r="E1887" t="s">
        <v>2833</v>
      </c>
    </row>
    <row r="1888" spans="2:5">
      <c r="B1888" s="65" t="str">
        <f t="shared" si="29"/>
        <v>doc-1749:6</v>
      </c>
      <c r="C1888" t="s">
        <v>5916</v>
      </c>
      <c r="D1888">
        <v>6</v>
      </c>
      <c r="E1888" t="s">
        <v>1108</v>
      </c>
    </row>
    <row r="1889" spans="2:5">
      <c r="B1889" s="65" t="str">
        <f t="shared" si="29"/>
        <v>doc-1749:7</v>
      </c>
      <c r="C1889" t="s">
        <v>5916</v>
      </c>
      <c r="D1889">
        <v>7</v>
      </c>
      <c r="E1889" t="s">
        <v>2849</v>
      </c>
    </row>
    <row r="1890" spans="2:5">
      <c r="B1890" s="65" t="str">
        <f t="shared" si="29"/>
        <v>doc-1750:1</v>
      </c>
      <c r="C1890" t="s">
        <v>9896</v>
      </c>
      <c r="D1890">
        <v>1</v>
      </c>
      <c r="E1890" t="s">
        <v>2810</v>
      </c>
    </row>
    <row r="1891" spans="2:5">
      <c r="B1891" s="65" t="str">
        <f t="shared" si="29"/>
        <v>doc-1750:2</v>
      </c>
      <c r="C1891" t="s">
        <v>9896</v>
      </c>
      <c r="D1891">
        <v>2</v>
      </c>
      <c r="E1891" t="s">
        <v>2820</v>
      </c>
    </row>
    <row r="1892" spans="2:5">
      <c r="B1892" s="65" t="str">
        <f t="shared" si="29"/>
        <v>doc-1750:3</v>
      </c>
      <c r="C1892" t="s">
        <v>9896</v>
      </c>
      <c r="D1892">
        <v>3</v>
      </c>
      <c r="E1892" t="s">
        <v>2805</v>
      </c>
    </row>
    <row r="1893" spans="2:5">
      <c r="B1893" s="65" t="str">
        <f t="shared" si="29"/>
        <v>doc-1750:4</v>
      </c>
      <c r="C1893" t="s">
        <v>9896</v>
      </c>
      <c r="D1893">
        <v>4</v>
      </c>
      <c r="E1893" t="s">
        <v>2799</v>
      </c>
    </row>
    <row r="1894" spans="2:5">
      <c r="B1894" s="65" t="str">
        <f t="shared" si="29"/>
        <v>doc-1753:1</v>
      </c>
      <c r="C1894" t="s">
        <v>6731</v>
      </c>
      <c r="D1894">
        <v>1</v>
      </c>
      <c r="E1894" t="s">
        <v>2342</v>
      </c>
    </row>
    <row r="1895" spans="2:5">
      <c r="B1895" s="65" t="str">
        <f t="shared" si="29"/>
        <v>doc-1753:2</v>
      </c>
      <c r="C1895" t="s">
        <v>6731</v>
      </c>
      <c r="D1895">
        <v>2</v>
      </c>
      <c r="E1895" t="s">
        <v>2331</v>
      </c>
    </row>
    <row r="1896" spans="2:5">
      <c r="B1896" s="65" t="str">
        <f t="shared" si="29"/>
        <v>doc-1753:3</v>
      </c>
      <c r="C1896" t="s">
        <v>6731</v>
      </c>
      <c r="D1896">
        <v>3</v>
      </c>
      <c r="E1896" t="s">
        <v>1813</v>
      </c>
    </row>
    <row r="1897" spans="2:5">
      <c r="B1897" s="65" t="str">
        <f t="shared" si="29"/>
        <v>doc-1753:4</v>
      </c>
      <c r="C1897" t="s">
        <v>6731</v>
      </c>
      <c r="D1897">
        <v>4</v>
      </c>
      <c r="E1897" t="s">
        <v>2305</v>
      </c>
    </row>
    <row r="1898" spans="2:5">
      <c r="B1898" s="65" t="str">
        <f t="shared" si="29"/>
        <v>doc-1753:5</v>
      </c>
      <c r="C1898" t="s">
        <v>6731</v>
      </c>
      <c r="D1898">
        <v>5</v>
      </c>
      <c r="E1898" t="s">
        <v>296</v>
      </c>
    </row>
    <row r="1899" spans="2:5">
      <c r="B1899" s="65" t="str">
        <f t="shared" si="29"/>
        <v>doc-1753:6</v>
      </c>
      <c r="C1899" t="s">
        <v>6731</v>
      </c>
      <c r="D1899">
        <v>6</v>
      </c>
      <c r="E1899" t="s">
        <v>281</v>
      </c>
    </row>
    <row r="1900" spans="2:5">
      <c r="B1900" s="65" t="str">
        <f t="shared" si="29"/>
        <v>doc-1754:1</v>
      </c>
      <c r="C1900" t="s">
        <v>9897</v>
      </c>
      <c r="D1900">
        <v>1</v>
      </c>
      <c r="E1900" t="s">
        <v>2342</v>
      </c>
    </row>
    <row r="1901" spans="2:5">
      <c r="B1901" s="65" t="str">
        <f t="shared" si="29"/>
        <v>doc-1754:2</v>
      </c>
      <c r="C1901" t="s">
        <v>9897</v>
      </c>
      <c r="D1901">
        <v>2</v>
      </c>
      <c r="E1901" t="s">
        <v>2331</v>
      </c>
    </row>
    <row r="1902" spans="2:5">
      <c r="B1902" s="65" t="str">
        <f t="shared" si="29"/>
        <v>doc-1754:3</v>
      </c>
      <c r="C1902" t="s">
        <v>9897</v>
      </c>
      <c r="D1902">
        <v>3</v>
      </c>
      <c r="E1902" t="s">
        <v>1813</v>
      </c>
    </row>
    <row r="1903" spans="2:5">
      <c r="B1903" s="65" t="str">
        <f t="shared" si="29"/>
        <v>doc-1754:4</v>
      </c>
      <c r="C1903" t="s">
        <v>9897</v>
      </c>
      <c r="D1903">
        <v>4</v>
      </c>
      <c r="E1903" t="s">
        <v>2305</v>
      </c>
    </row>
    <row r="1904" spans="2:5">
      <c r="B1904" s="65" t="str">
        <f t="shared" si="29"/>
        <v>doc-1754:5</v>
      </c>
      <c r="C1904" t="s">
        <v>9897</v>
      </c>
      <c r="D1904">
        <v>5</v>
      </c>
      <c r="E1904" t="s">
        <v>296</v>
      </c>
    </row>
    <row r="1905" spans="2:5">
      <c r="B1905" s="65" t="str">
        <f t="shared" si="29"/>
        <v>doc-1754:6</v>
      </c>
      <c r="C1905" t="s">
        <v>9897</v>
      </c>
      <c r="D1905">
        <v>6</v>
      </c>
      <c r="E1905" t="s">
        <v>281</v>
      </c>
    </row>
    <row r="1906" spans="2:5">
      <c r="B1906" s="65" t="str">
        <f t="shared" si="29"/>
        <v>doc-1755:1</v>
      </c>
      <c r="C1906" t="s">
        <v>9898</v>
      </c>
      <c r="D1906">
        <v>1</v>
      </c>
      <c r="E1906" t="s">
        <v>2342</v>
      </c>
    </row>
    <row r="1907" spans="2:5">
      <c r="B1907" s="65" t="str">
        <f t="shared" si="29"/>
        <v>doc-1755:2</v>
      </c>
      <c r="C1907" t="s">
        <v>9898</v>
      </c>
      <c r="D1907">
        <v>2</v>
      </c>
      <c r="E1907" t="s">
        <v>2148</v>
      </c>
    </row>
    <row r="1908" spans="2:5">
      <c r="B1908" s="65" t="str">
        <f t="shared" si="29"/>
        <v>doc-1755:3</v>
      </c>
      <c r="C1908" t="s">
        <v>9898</v>
      </c>
      <c r="D1908">
        <v>3</v>
      </c>
      <c r="E1908" t="s">
        <v>1813</v>
      </c>
    </row>
    <row r="1909" spans="2:5">
      <c r="B1909" s="65" t="str">
        <f t="shared" si="29"/>
        <v>doc-1755:4</v>
      </c>
      <c r="C1909" t="s">
        <v>9898</v>
      </c>
      <c r="D1909">
        <v>4</v>
      </c>
      <c r="E1909" t="s">
        <v>2064</v>
      </c>
    </row>
    <row r="1910" spans="2:5">
      <c r="B1910" s="65" t="str">
        <f t="shared" si="29"/>
        <v>doc-1755:5</v>
      </c>
      <c r="C1910" t="s">
        <v>9898</v>
      </c>
      <c r="D1910">
        <v>5</v>
      </c>
      <c r="E1910" t="s">
        <v>296</v>
      </c>
    </row>
    <row r="1911" spans="2:5">
      <c r="B1911" s="65" t="str">
        <f t="shared" si="29"/>
        <v>doc-1755:6</v>
      </c>
      <c r="C1911" t="s">
        <v>9898</v>
      </c>
      <c r="D1911">
        <v>6</v>
      </c>
      <c r="E1911" t="s">
        <v>281</v>
      </c>
    </row>
    <row r="1912" spans="2:5">
      <c r="B1912" s="65" t="str">
        <f t="shared" si="29"/>
        <v>doc-1757:1</v>
      </c>
      <c r="C1912" t="s">
        <v>9899</v>
      </c>
      <c r="D1912">
        <v>1</v>
      </c>
      <c r="E1912" t="s">
        <v>2933</v>
      </c>
    </row>
    <row r="1913" spans="2:5">
      <c r="B1913" s="65" t="str">
        <f t="shared" si="29"/>
        <v>doc-1757:2</v>
      </c>
      <c r="C1913" t="s">
        <v>9899</v>
      </c>
      <c r="D1913">
        <v>2</v>
      </c>
      <c r="E1913" t="s">
        <v>299</v>
      </c>
    </row>
    <row r="1914" spans="2:5">
      <c r="B1914" s="65" t="str">
        <f t="shared" si="29"/>
        <v>doc-1757:3</v>
      </c>
      <c r="C1914" t="s">
        <v>9899</v>
      </c>
      <c r="D1914">
        <v>3</v>
      </c>
      <c r="E1914" t="s">
        <v>1417</v>
      </c>
    </row>
    <row r="1915" spans="2:5">
      <c r="B1915" s="65" t="str">
        <f t="shared" si="29"/>
        <v>doc-1758a:1</v>
      </c>
      <c r="C1915" t="s">
        <v>9900</v>
      </c>
      <c r="D1915">
        <v>1</v>
      </c>
      <c r="E1915" t="s">
        <v>2933</v>
      </c>
    </row>
    <row r="1916" spans="2:5">
      <c r="B1916" s="65" t="str">
        <f t="shared" si="29"/>
        <v>doc-1759:1</v>
      </c>
      <c r="C1916" t="s">
        <v>9901</v>
      </c>
      <c r="D1916">
        <v>1</v>
      </c>
      <c r="E1916" t="s">
        <v>2148</v>
      </c>
    </row>
    <row r="1917" spans="2:5">
      <c r="B1917" s="65" t="str">
        <f t="shared" si="29"/>
        <v>doc-1759:2</v>
      </c>
      <c r="C1917" t="s">
        <v>9901</v>
      </c>
      <c r="D1917">
        <v>2</v>
      </c>
      <c r="E1917" t="s">
        <v>2064</v>
      </c>
    </row>
    <row r="1918" spans="2:5">
      <c r="B1918" s="65" t="str">
        <f t="shared" si="29"/>
        <v>doc-1759:3</v>
      </c>
      <c r="C1918" t="s">
        <v>9901</v>
      </c>
      <c r="D1918">
        <v>3</v>
      </c>
      <c r="E1918" t="s">
        <v>1813</v>
      </c>
    </row>
    <row r="1919" spans="2:5">
      <c r="B1919" s="65" t="str">
        <f t="shared" si="29"/>
        <v>doc-1760:1</v>
      </c>
      <c r="C1919" t="s">
        <v>9902</v>
      </c>
      <c r="D1919">
        <v>1</v>
      </c>
      <c r="E1919" t="s">
        <v>2148</v>
      </c>
    </row>
    <row r="1920" spans="2:5">
      <c r="B1920" s="65" t="str">
        <f t="shared" si="29"/>
        <v>doc-1760:2</v>
      </c>
      <c r="C1920" t="s">
        <v>9902</v>
      </c>
      <c r="D1920">
        <v>2</v>
      </c>
      <c r="E1920" t="s">
        <v>2064</v>
      </c>
    </row>
    <row r="1921" spans="2:5">
      <c r="B1921" s="65" t="str">
        <f t="shared" si="29"/>
        <v>doc-1760:3</v>
      </c>
      <c r="C1921" t="s">
        <v>9902</v>
      </c>
      <c r="D1921">
        <v>3</v>
      </c>
      <c r="E1921" t="s">
        <v>1813</v>
      </c>
    </row>
    <row r="1922" spans="2:5">
      <c r="B1922" s="65" t="str">
        <f t="shared" si="29"/>
        <v>doc-1760:4</v>
      </c>
      <c r="C1922" t="s">
        <v>9902</v>
      </c>
      <c r="D1922">
        <v>4</v>
      </c>
      <c r="E1922" t="s">
        <v>2012</v>
      </c>
    </row>
    <row r="1923" spans="2:5">
      <c r="B1923" s="65" t="str">
        <f t="shared" si="29"/>
        <v>doc-1769:1</v>
      </c>
      <c r="C1923" t="s">
        <v>9903</v>
      </c>
      <c r="D1923">
        <v>1</v>
      </c>
      <c r="E1923" t="s">
        <v>1434</v>
      </c>
    </row>
    <row r="1924" spans="2:5">
      <c r="B1924" s="65" t="str">
        <f t="shared" ref="B1924:B1987" si="30">$C1924&amp;":"&amp;$D1924</f>
        <v>doc-1769:2</v>
      </c>
      <c r="C1924" t="s">
        <v>9903</v>
      </c>
      <c r="D1924">
        <v>2</v>
      </c>
      <c r="E1924" t="s">
        <v>1343</v>
      </c>
    </row>
    <row r="1925" spans="2:5">
      <c r="B1925" s="65" t="str">
        <f t="shared" si="30"/>
        <v>doc-1769:3</v>
      </c>
      <c r="C1925" t="s">
        <v>9903</v>
      </c>
      <c r="D1925">
        <v>3</v>
      </c>
      <c r="E1925" t="s">
        <v>92</v>
      </c>
    </row>
    <row r="1926" spans="2:5">
      <c r="B1926" s="65" t="str">
        <f t="shared" si="30"/>
        <v>doc-1772:1</v>
      </c>
      <c r="C1926" t="s">
        <v>9904</v>
      </c>
      <c r="D1926">
        <v>1</v>
      </c>
      <c r="E1926" t="s">
        <v>3112</v>
      </c>
    </row>
    <row r="1927" spans="2:5">
      <c r="B1927" s="65" t="str">
        <f t="shared" si="30"/>
        <v>doc-1772:2</v>
      </c>
      <c r="C1927" t="s">
        <v>9904</v>
      </c>
      <c r="D1927">
        <v>2</v>
      </c>
      <c r="E1927" t="s">
        <v>1813</v>
      </c>
    </row>
    <row r="1928" spans="2:5">
      <c r="B1928" s="65" t="str">
        <f t="shared" si="30"/>
        <v>doc-1772:3</v>
      </c>
      <c r="C1928" t="s">
        <v>9904</v>
      </c>
      <c r="D1928">
        <v>3</v>
      </c>
      <c r="E1928" t="s">
        <v>1886</v>
      </c>
    </row>
    <row r="1929" spans="2:5">
      <c r="B1929" s="65" t="str">
        <f t="shared" si="30"/>
        <v>doc-1772:4</v>
      </c>
      <c r="C1929" t="s">
        <v>9904</v>
      </c>
      <c r="D1929">
        <v>4</v>
      </c>
      <c r="E1929" t="s">
        <v>1944</v>
      </c>
    </row>
    <row r="1930" spans="2:5">
      <c r="B1930" s="65" t="str">
        <f t="shared" si="30"/>
        <v>doc-1772:5</v>
      </c>
      <c r="C1930" t="s">
        <v>9904</v>
      </c>
      <c r="D1930">
        <v>5</v>
      </c>
      <c r="E1930" t="s">
        <v>1911</v>
      </c>
    </row>
    <row r="1931" spans="2:5">
      <c r="B1931" s="65" t="str">
        <f t="shared" si="30"/>
        <v>doc-1773:1</v>
      </c>
      <c r="C1931" t="s">
        <v>9905</v>
      </c>
      <c r="D1931">
        <v>1</v>
      </c>
      <c r="E1931" t="s">
        <v>2983</v>
      </c>
    </row>
    <row r="1932" spans="2:5">
      <c r="B1932" s="65" t="str">
        <f t="shared" si="30"/>
        <v>doc-1773:2</v>
      </c>
      <c r="C1932" t="s">
        <v>9905</v>
      </c>
      <c r="D1932">
        <v>2</v>
      </c>
      <c r="E1932" t="s">
        <v>3010</v>
      </c>
    </row>
    <row r="1933" spans="2:5">
      <c r="B1933" s="65" t="str">
        <f t="shared" si="30"/>
        <v>doc-1773:3</v>
      </c>
      <c r="C1933" t="s">
        <v>9905</v>
      </c>
      <c r="D1933">
        <v>3</v>
      </c>
      <c r="E1933" t="s">
        <v>2849</v>
      </c>
    </row>
    <row r="1934" spans="2:5">
      <c r="B1934" s="65" t="str">
        <f t="shared" si="30"/>
        <v>doc-1774:1</v>
      </c>
      <c r="C1934" t="s">
        <v>9906</v>
      </c>
      <c r="D1934">
        <v>1</v>
      </c>
      <c r="E1934" t="s">
        <v>3061</v>
      </c>
    </row>
    <row r="1935" spans="2:5">
      <c r="B1935" s="65" t="str">
        <f t="shared" si="30"/>
        <v>doc-1776:1</v>
      </c>
      <c r="C1935" t="s">
        <v>9907</v>
      </c>
      <c r="D1935">
        <v>1</v>
      </c>
      <c r="E1935" t="s">
        <v>3244</v>
      </c>
    </row>
    <row r="1936" spans="2:5">
      <c r="B1936" s="65" t="str">
        <f t="shared" si="30"/>
        <v>doc-1776:2</v>
      </c>
      <c r="C1936" t="s">
        <v>9907</v>
      </c>
      <c r="D1936">
        <v>2</v>
      </c>
      <c r="E1936" t="s">
        <v>1409</v>
      </c>
    </row>
    <row r="1937" spans="2:5">
      <c r="B1937" s="65" t="str">
        <f t="shared" si="30"/>
        <v>doc-1776:3</v>
      </c>
      <c r="C1937" t="s">
        <v>9907</v>
      </c>
      <c r="D1937">
        <v>3</v>
      </c>
      <c r="E1937" t="s">
        <v>1515</v>
      </c>
    </row>
    <row r="1938" spans="2:5">
      <c r="B1938" s="65" t="str">
        <f t="shared" si="30"/>
        <v>doc-1778:1</v>
      </c>
      <c r="C1938" t="s">
        <v>9908</v>
      </c>
      <c r="D1938">
        <v>1</v>
      </c>
      <c r="E1938" t="s">
        <v>2057</v>
      </c>
    </row>
    <row r="1939" spans="2:5">
      <c r="B1939" s="65" t="str">
        <f t="shared" si="30"/>
        <v>doc-1778:2</v>
      </c>
      <c r="C1939" t="s">
        <v>9908</v>
      </c>
      <c r="D1939">
        <v>2</v>
      </c>
      <c r="E1939" t="s">
        <v>1409</v>
      </c>
    </row>
    <row r="1940" spans="2:5">
      <c r="B1940" s="65" t="str">
        <f t="shared" si="30"/>
        <v>doc-1778:3</v>
      </c>
      <c r="C1940" t="s">
        <v>9908</v>
      </c>
      <c r="D1940">
        <v>3</v>
      </c>
      <c r="E1940" t="s">
        <v>1159</v>
      </c>
    </row>
    <row r="1941" spans="2:5">
      <c r="B1941" s="65" t="str">
        <f t="shared" si="30"/>
        <v>doc-1779:1</v>
      </c>
      <c r="C1941" t="s">
        <v>9909</v>
      </c>
      <c r="D1941">
        <v>1</v>
      </c>
      <c r="E1941" t="s">
        <v>2799</v>
      </c>
    </row>
    <row r="1942" spans="2:5">
      <c r="B1942" s="65" t="str">
        <f t="shared" si="30"/>
        <v>doc-1779:2</v>
      </c>
      <c r="C1942" t="s">
        <v>9909</v>
      </c>
      <c r="D1942">
        <v>2</v>
      </c>
      <c r="E1942" t="s">
        <v>2784</v>
      </c>
    </row>
    <row r="1943" spans="2:5">
      <c r="B1943" s="65" t="str">
        <f t="shared" si="30"/>
        <v>doc-1799:1</v>
      </c>
      <c r="C1943" t="s">
        <v>9910</v>
      </c>
      <c r="D1943">
        <v>1</v>
      </c>
      <c r="E1943" t="s">
        <v>1929</v>
      </c>
    </row>
    <row r="1944" spans="2:5">
      <c r="B1944" s="65" t="str">
        <f t="shared" si="30"/>
        <v>doc-1799:2</v>
      </c>
      <c r="C1944" t="s">
        <v>9910</v>
      </c>
      <c r="D1944">
        <v>2</v>
      </c>
      <c r="E1944" t="s">
        <v>1905</v>
      </c>
    </row>
    <row r="1945" spans="2:5">
      <c r="B1945" s="65" t="str">
        <f t="shared" si="30"/>
        <v>doc-1799:3</v>
      </c>
      <c r="C1945" t="s">
        <v>9910</v>
      </c>
      <c r="D1945">
        <v>3</v>
      </c>
      <c r="E1945" t="s">
        <v>2003</v>
      </c>
    </row>
    <row r="1946" spans="2:5">
      <c r="B1946" s="65" t="str">
        <f t="shared" si="30"/>
        <v>doc-1799:4</v>
      </c>
      <c r="C1946" t="s">
        <v>9910</v>
      </c>
      <c r="D1946">
        <v>4</v>
      </c>
      <c r="E1946" t="s">
        <v>2061</v>
      </c>
    </row>
    <row r="1947" spans="2:5">
      <c r="B1947" s="65" t="str">
        <f t="shared" si="30"/>
        <v>doc-1800:1</v>
      </c>
      <c r="C1947" t="s">
        <v>9911</v>
      </c>
      <c r="D1947">
        <v>1</v>
      </c>
      <c r="E1947" t="s">
        <v>2112</v>
      </c>
    </row>
    <row r="1948" spans="2:5">
      <c r="B1948" s="65" t="str">
        <f t="shared" si="30"/>
        <v>doc-1800:2</v>
      </c>
      <c r="C1948" t="s">
        <v>9911</v>
      </c>
      <c r="D1948">
        <v>2</v>
      </c>
      <c r="E1948" t="s">
        <v>2061</v>
      </c>
    </row>
    <row r="1949" spans="2:5">
      <c r="B1949" s="65" t="str">
        <f t="shared" si="30"/>
        <v>doc-1800:3</v>
      </c>
      <c r="C1949" t="s">
        <v>9911</v>
      </c>
      <c r="D1949">
        <v>3</v>
      </c>
      <c r="E1949" t="s">
        <v>2092</v>
      </c>
    </row>
    <row r="1950" spans="2:5">
      <c r="B1950" s="65" t="str">
        <f t="shared" si="30"/>
        <v>doc-1800:4</v>
      </c>
      <c r="C1950" t="s">
        <v>9911</v>
      </c>
      <c r="D1950">
        <v>4</v>
      </c>
      <c r="E1950" t="s">
        <v>2124</v>
      </c>
    </row>
    <row r="1951" spans="2:5">
      <c r="B1951" s="65" t="str">
        <f t="shared" si="30"/>
        <v>doc-1800:5</v>
      </c>
      <c r="C1951" t="s">
        <v>9911</v>
      </c>
      <c r="D1951">
        <v>5</v>
      </c>
      <c r="E1951" t="s">
        <v>1905</v>
      </c>
    </row>
    <row r="1952" spans="2:5">
      <c r="B1952" s="65" t="str">
        <f t="shared" si="30"/>
        <v>doc-1801:1</v>
      </c>
      <c r="C1952" t="s">
        <v>9912</v>
      </c>
      <c r="D1952">
        <v>1</v>
      </c>
      <c r="E1952" t="s">
        <v>2151</v>
      </c>
    </row>
    <row r="1953" spans="2:5">
      <c r="B1953" s="65" t="str">
        <f t="shared" si="30"/>
        <v>doc-1801:2</v>
      </c>
      <c r="C1953" t="s">
        <v>9912</v>
      </c>
      <c r="D1953">
        <v>2</v>
      </c>
      <c r="E1953" t="s">
        <v>1905</v>
      </c>
    </row>
    <row r="1954" spans="2:5">
      <c r="B1954" s="65" t="str">
        <f t="shared" si="30"/>
        <v>doc-1801:3</v>
      </c>
      <c r="C1954" t="s">
        <v>9912</v>
      </c>
      <c r="D1954">
        <v>3</v>
      </c>
      <c r="E1954" t="s">
        <v>2092</v>
      </c>
    </row>
    <row r="1955" spans="2:5">
      <c r="B1955" s="65" t="str">
        <f t="shared" si="30"/>
        <v>doc-1801:4</v>
      </c>
      <c r="C1955" t="s">
        <v>9912</v>
      </c>
      <c r="D1955">
        <v>4</v>
      </c>
      <c r="E1955" t="s">
        <v>2061</v>
      </c>
    </row>
    <row r="1956" spans="2:5">
      <c r="B1956" s="65" t="str">
        <f t="shared" si="30"/>
        <v>doc-1801:5</v>
      </c>
      <c r="C1956" t="s">
        <v>9912</v>
      </c>
      <c r="D1956">
        <v>5</v>
      </c>
      <c r="E1956" t="s">
        <v>2137</v>
      </c>
    </row>
    <row r="1957" spans="2:5">
      <c r="B1957" s="65" t="str">
        <f t="shared" si="30"/>
        <v>doc-1802:1</v>
      </c>
      <c r="C1957" t="s">
        <v>9913</v>
      </c>
      <c r="D1957">
        <v>1</v>
      </c>
      <c r="E1957" t="s">
        <v>2151</v>
      </c>
    </row>
    <row r="1958" spans="2:5">
      <c r="B1958" s="65" t="str">
        <f t="shared" si="30"/>
        <v>doc-1802:2</v>
      </c>
      <c r="C1958" t="s">
        <v>9913</v>
      </c>
      <c r="D1958">
        <v>2</v>
      </c>
      <c r="E1958" t="s">
        <v>1905</v>
      </c>
    </row>
    <row r="1959" spans="2:5">
      <c r="B1959" s="65" t="str">
        <f t="shared" si="30"/>
        <v>doc-1802:3</v>
      </c>
      <c r="C1959" t="s">
        <v>9913</v>
      </c>
      <c r="D1959">
        <v>3</v>
      </c>
      <c r="E1959" t="s">
        <v>2092</v>
      </c>
    </row>
    <row r="1960" spans="2:5">
      <c r="B1960" s="65" t="str">
        <f t="shared" si="30"/>
        <v>doc-1802:4</v>
      </c>
      <c r="C1960" t="s">
        <v>9913</v>
      </c>
      <c r="D1960">
        <v>4</v>
      </c>
      <c r="E1960" t="s">
        <v>2061</v>
      </c>
    </row>
    <row r="1961" spans="2:5">
      <c r="B1961" s="65" t="str">
        <f t="shared" si="30"/>
        <v>doc-1802:5</v>
      </c>
      <c r="C1961" t="s">
        <v>9913</v>
      </c>
      <c r="D1961">
        <v>5</v>
      </c>
      <c r="E1961" t="s">
        <v>2137</v>
      </c>
    </row>
    <row r="1962" spans="2:5">
      <c r="B1962" s="65" t="str">
        <f t="shared" si="30"/>
        <v>doc-1803:1</v>
      </c>
      <c r="C1962" t="s">
        <v>9914</v>
      </c>
      <c r="D1962">
        <v>1</v>
      </c>
      <c r="E1962" t="s">
        <v>1888</v>
      </c>
    </row>
    <row r="1963" spans="2:5">
      <c r="B1963" s="65" t="str">
        <f t="shared" si="30"/>
        <v>doc-1803:2</v>
      </c>
      <c r="C1963" t="s">
        <v>9914</v>
      </c>
      <c r="D1963">
        <v>2</v>
      </c>
      <c r="E1963" t="s">
        <v>1962</v>
      </c>
    </row>
    <row r="1964" spans="2:5">
      <c r="B1964" s="65" t="str">
        <f t="shared" si="30"/>
        <v>doc-1803:3</v>
      </c>
      <c r="C1964" t="s">
        <v>9914</v>
      </c>
      <c r="D1964">
        <v>3</v>
      </c>
      <c r="E1964" t="s">
        <v>1905</v>
      </c>
    </row>
    <row r="1965" spans="2:5">
      <c r="B1965" s="65" t="str">
        <f t="shared" si="30"/>
        <v>doc-1803:4</v>
      </c>
      <c r="C1965" t="s">
        <v>9914</v>
      </c>
      <c r="D1965">
        <v>4</v>
      </c>
      <c r="E1965" t="s">
        <v>2132</v>
      </c>
    </row>
    <row r="1966" spans="2:5">
      <c r="B1966" s="65" t="str">
        <f t="shared" si="30"/>
        <v>doc-1803:5</v>
      </c>
      <c r="C1966" t="s">
        <v>9914</v>
      </c>
      <c r="D1966">
        <v>5</v>
      </c>
      <c r="E1966" t="s">
        <v>2061</v>
      </c>
    </row>
    <row r="1967" spans="2:5">
      <c r="B1967" s="65" t="str">
        <f t="shared" si="30"/>
        <v>doc-1803:6</v>
      </c>
      <c r="C1967" t="s">
        <v>9914</v>
      </c>
      <c r="D1967">
        <v>6</v>
      </c>
      <c r="E1967" t="s">
        <v>2378</v>
      </c>
    </row>
    <row r="1968" spans="2:5">
      <c r="B1968" s="65" t="str">
        <f t="shared" si="30"/>
        <v>doc-1806:1</v>
      </c>
      <c r="C1968" t="s">
        <v>9915</v>
      </c>
      <c r="D1968">
        <v>1</v>
      </c>
      <c r="E1968" t="s">
        <v>2510</v>
      </c>
    </row>
    <row r="1969" spans="2:5">
      <c r="B1969" s="65" t="str">
        <f t="shared" si="30"/>
        <v>doc-1806:2</v>
      </c>
      <c r="C1969" t="s">
        <v>9915</v>
      </c>
      <c r="D1969">
        <v>2</v>
      </c>
      <c r="E1969" t="s">
        <v>2517</v>
      </c>
    </row>
    <row r="1970" spans="2:5">
      <c r="B1970" s="65" t="str">
        <f t="shared" si="30"/>
        <v>doc-1806:3</v>
      </c>
      <c r="C1970" t="s">
        <v>9915</v>
      </c>
      <c r="D1970">
        <v>3</v>
      </c>
      <c r="E1970" t="s">
        <v>2515</v>
      </c>
    </row>
    <row r="1971" spans="2:5">
      <c r="B1971" s="65" t="str">
        <f t="shared" si="30"/>
        <v>doc-1806:4</v>
      </c>
      <c r="C1971" t="s">
        <v>9915</v>
      </c>
      <c r="D1971">
        <v>4</v>
      </c>
      <c r="E1971" t="s">
        <v>1168</v>
      </c>
    </row>
    <row r="1972" spans="2:5">
      <c r="B1972" s="65" t="str">
        <f t="shared" si="30"/>
        <v>doc-1806:5</v>
      </c>
      <c r="C1972" t="s">
        <v>9915</v>
      </c>
      <c r="D1972">
        <v>5</v>
      </c>
      <c r="E1972" t="s">
        <v>1171</v>
      </c>
    </row>
    <row r="1973" spans="2:5">
      <c r="B1973" s="65" t="str">
        <f t="shared" si="30"/>
        <v>doc-1809:1</v>
      </c>
      <c r="C1973" t="s">
        <v>9916</v>
      </c>
      <c r="D1973">
        <v>1</v>
      </c>
      <c r="E1973" t="s">
        <v>1171</v>
      </c>
    </row>
    <row r="1974" spans="2:5">
      <c r="B1974" s="65" t="str">
        <f t="shared" si="30"/>
        <v>doc-1809:2</v>
      </c>
      <c r="C1974" t="s">
        <v>9916</v>
      </c>
      <c r="D1974">
        <v>2</v>
      </c>
      <c r="E1974" t="s">
        <v>1179</v>
      </c>
    </row>
    <row r="1975" spans="2:5">
      <c r="B1975" s="65" t="str">
        <f t="shared" si="30"/>
        <v>doc-1809:3</v>
      </c>
      <c r="C1975" t="s">
        <v>9916</v>
      </c>
      <c r="D1975">
        <v>3</v>
      </c>
      <c r="E1975" t="s">
        <v>296</v>
      </c>
    </row>
    <row r="1976" spans="2:5">
      <c r="B1976" s="65" t="str">
        <f t="shared" si="30"/>
        <v>doc-1809:4</v>
      </c>
      <c r="C1976" t="s">
        <v>9916</v>
      </c>
      <c r="D1976">
        <v>4</v>
      </c>
      <c r="E1976" t="s">
        <v>2849</v>
      </c>
    </row>
    <row r="1977" spans="2:5">
      <c r="B1977" s="65" t="str">
        <f t="shared" si="30"/>
        <v>doc-1816:1</v>
      </c>
      <c r="C1977" t="s">
        <v>9917</v>
      </c>
      <c r="D1977">
        <v>1</v>
      </c>
      <c r="E1977" t="s">
        <v>2101</v>
      </c>
    </row>
    <row r="1978" spans="2:5">
      <c r="B1978" s="65" t="str">
        <f t="shared" si="30"/>
        <v>doc-1816:2</v>
      </c>
      <c r="C1978" t="s">
        <v>9917</v>
      </c>
      <c r="D1978">
        <v>2</v>
      </c>
      <c r="E1978" t="s">
        <v>1833</v>
      </c>
    </row>
    <row r="1979" spans="2:5">
      <c r="B1979" s="65" t="str">
        <f t="shared" si="30"/>
        <v>doc-1835:1</v>
      </c>
      <c r="C1979" t="s">
        <v>9918</v>
      </c>
      <c r="D1979">
        <v>1</v>
      </c>
      <c r="E1979" t="s">
        <v>1833</v>
      </c>
    </row>
    <row r="1980" spans="2:5">
      <c r="B1980" s="65" t="str">
        <f t="shared" si="30"/>
        <v>doc-1835:2</v>
      </c>
      <c r="C1980" t="s">
        <v>9918</v>
      </c>
      <c r="D1980">
        <v>2</v>
      </c>
      <c r="E1980" t="s">
        <v>2954</v>
      </c>
    </row>
    <row r="1981" spans="2:5">
      <c r="B1981" s="65" t="str">
        <f t="shared" si="30"/>
        <v>doc-1835:3</v>
      </c>
      <c r="C1981" t="s">
        <v>9918</v>
      </c>
      <c r="D1981">
        <v>3</v>
      </c>
      <c r="E1981" t="s">
        <v>299</v>
      </c>
    </row>
    <row r="1982" spans="2:5">
      <c r="B1982" s="65" t="str">
        <f t="shared" si="30"/>
        <v>doc-1835:4</v>
      </c>
      <c r="C1982" t="s">
        <v>9918</v>
      </c>
      <c r="D1982">
        <v>4</v>
      </c>
      <c r="E1982" t="s">
        <v>2664</v>
      </c>
    </row>
    <row r="1983" spans="2:5">
      <c r="B1983" s="65" t="str">
        <f t="shared" si="30"/>
        <v>doc-1836:1</v>
      </c>
      <c r="C1983" t="s">
        <v>5917</v>
      </c>
      <c r="D1983">
        <v>1</v>
      </c>
      <c r="E1983" t="s">
        <v>2933</v>
      </c>
    </row>
    <row r="1984" spans="2:5">
      <c r="B1984" s="65" t="str">
        <f t="shared" si="30"/>
        <v>doc-1836:2</v>
      </c>
      <c r="C1984" t="s">
        <v>5917</v>
      </c>
      <c r="D1984">
        <v>2</v>
      </c>
      <c r="E1984" t="s">
        <v>299</v>
      </c>
    </row>
    <row r="1985" spans="2:5">
      <c r="B1985" s="65" t="str">
        <f t="shared" si="30"/>
        <v>doc-1836:3</v>
      </c>
      <c r="C1985" t="s">
        <v>5917</v>
      </c>
      <c r="D1985">
        <v>3</v>
      </c>
      <c r="E1985" t="s">
        <v>2954</v>
      </c>
    </row>
    <row r="1986" spans="2:5">
      <c r="B1986" s="65" t="str">
        <f t="shared" si="30"/>
        <v>doc-1836:4</v>
      </c>
      <c r="C1986" t="s">
        <v>5917</v>
      </c>
      <c r="D1986">
        <v>4</v>
      </c>
      <c r="E1986" t="s">
        <v>1417</v>
      </c>
    </row>
    <row r="1987" spans="2:5">
      <c r="B1987" s="65" t="str">
        <f t="shared" si="30"/>
        <v>doc-1838:1</v>
      </c>
      <c r="C1987" t="s">
        <v>9919</v>
      </c>
      <c r="D1987">
        <v>1</v>
      </c>
      <c r="E1987" t="s">
        <v>2933</v>
      </c>
    </row>
    <row r="1988" spans="2:5">
      <c r="B1988" s="65" t="str">
        <f t="shared" ref="B1988:B2051" si="31">$C1988&amp;":"&amp;$D1988</f>
        <v>doc-1838:2</v>
      </c>
      <c r="C1988" t="s">
        <v>9919</v>
      </c>
      <c r="D1988">
        <v>2</v>
      </c>
      <c r="E1988" t="s">
        <v>299</v>
      </c>
    </row>
    <row r="1989" spans="2:5">
      <c r="B1989" s="65" t="str">
        <f t="shared" si="31"/>
        <v>doc-1838:3</v>
      </c>
      <c r="C1989" t="s">
        <v>9919</v>
      </c>
      <c r="D1989">
        <v>3</v>
      </c>
      <c r="E1989" t="s">
        <v>2954</v>
      </c>
    </row>
    <row r="1990" spans="2:5">
      <c r="B1990" s="65" t="str">
        <f t="shared" si="31"/>
        <v>doc-1838:4</v>
      </c>
      <c r="C1990" t="s">
        <v>9919</v>
      </c>
      <c r="D1990">
        <v>4</v>
      </c>
      <c r="E1990" t="s">
        <v>1417</v>
      </c>
    </row>
    <row r="1991" spans="2:5">
      <c r="B1991" s="65" t="str">
        <f t="shared" si="31"/>
        <v>doc-1839:1</v>
      </c>
      <c r="C1991" t="s">
        <v>9920</v>
      </c>
      <c r="D1991">
        <v>1</v>
      </c>
      <c r="E1991" t="s">
        <v>2954</v>
      </c>
    </row>
    <row r="1992" spans="2:5">
      <c r="B1992" s="65" t="str">
        <f t="shared" si="31"/>
        <v>doc-1839:2</v>
      </c>
      <c r="C1992" t="s">
        <v>9920</v>
      </c>
      <c r="D1992">
        <v>2</v>
      </c>
      <c r="E1992" t="s">
        <v>1795</v>
      </c>
    </row>
    <row r="1993" spans="2:5">
      <c r="B1993" s="65" t="str">
        <f t="shared" si="31"/>
        <v>doc-1839:3</v>
      </c>
      <c r="C1993" t="s">
        <v>9920</v>
      </c>
      <c r="D1993">
        <v>3</v>
      </c>
      <c r="E1993" t="s">
        <v>1941</v>
      </c>
    </row>
    <row r="1994" spans="2:5">
      <c r="B1994" s="65" t="str">
        <f t="shared" si="31"/>
        <v>doc-1839:4</v>
      </c>
      <c r="C1994" t="s">
        <v>9920</v>
      </c>
      <c r="D1994">
        <v>4</v>
      </c>
      <c r="E1994" t="s">
        <v>2943</v>
      </c>
    </row>
    <row r="1995" spans="2:5">
      <c r="B1995" s="65" t="str">
        <f t="shared" si="31"/>
        <v>doc-1840:1</v>
      </c>
      <c r="C1995" t="s">
        <v>5923</v>
      </c>
      <c r="D1995">
        <v>1</v>
      </c>
      <c r="E1995" t="s">
        <v>2954</v>
      </c>
    </row>
    <row r="1996" spans="2:5">
      <c r="B1996" s="65" t="str">
        <f t="shared" si="31"/>
        <v>doc-1840:2</v>
      </c>
      <c r="C1996" t="s">
        <v>5923</v>
      </c>
      <c r="D1996">
        <v>2</v>
      </c>
      <c r="E1996" t="s">
        <v>299</v>
      </c>
    </row>
    <row r="1997" spans="2:5">
      <c r="B1997" s="65" t="str">
        <f t="shared" si="31"/>
        <v>doc-1840:3</v>
      </c>
      <c r="C1997" t="s">
        <v>5923</v>
      </c>
      <c r="D1997">
        <v>3</v>
      </c>
      <c r="E1997" t="s">
        <v>2967</v>
      </c>
    </row>
    <row r="1998" spans="2:5">
      <c r="B1998" s="65" t="str">
        <f t="shared" si="31"/>
        <v>doc-1840:4</v>
      </c>
      <c r="C1998" t="s">
        <v>5923</v>
      </c>
      <c r="D1998">
        <v>4</v>
      </c>
      <c r="E1998" t="s">
        <v>254</v>
      </c>
    </row>
    <row r="1999" spans="2:5">
      <c r="B1999" s="65" t="str">
        <f t="shared" si="31"/>
        <v>doc-1842:1</v>
      </c>
      <c r="C1999" t="s">
        <v>9921</v>
      </c>
      <c r="D1999">
        <v>1</v>
      </c>
      <c r="E1999" t="s">
        <v>2954</v>
      </c>
    </row>
    <row r="2000" spans="2:5">
      <c r="B2000" s="65" t="str">
        <f t="shared" si="31"/>
        <v>doc-1842:2</v>
      </c>
      <c r="C2000" t="s">
        <v>9921</v>
      </c>
      <c r="D2000">
        <v>2</v>
      </c>
      <c r="E2000" t="s">
        <v>2943</v>
      </c>
    </row>
    <row r="2001" spans="2:5">
      <c r="B2001" s="65" t="str">
        <f t="shared" si="31"/>
        <v>doc-1842:3</v>
      </c>
      <c r="C2001" t="s">
        <v>9921</v>
      </c>
      <c r="D2001">
        <v>3</v>
      </c>
      <c r="E2001" t="s">
        <v>1795</v>
      </c>
    </row>
    <row r="2002" spans="2:5">
      <c r="B2002" s="65" t="str">
        <f t="shared" si="31"/>
        <v>doc-1842:4</v>
      </c>
      <c r="C2002" t="s">
        <v>9921</v>
      </c>
      <c r="D2002">
        <v>4</v>
      </c>
      <c r="E2002" t="s">
        <v>1941</v>
      </c>
    </row>
    <row r="2003" spans="2:5">
      <c r="B2003" s="65" t="str">
        <f t="shared" si="31"/>
        <v>doc-1842:5</v>
      </c>
      <c r="C2003" t="s">
        <v>9921</v>
      </c>
      <c r="D2003">
        <v>5</v>
      </c>
      <c r="E2003" t="s">
        <v>1275</v>
      </c>
    </row>
    <row r="2004" spans="2:5">
      <c r="B2004" s="65" t="str">
        <f t="shared" si="31"/>
        <v>doc-1847:1</v>
      </c>
      <c r="C2004" t="s">
        <v>9922</v>
      </c>
      <c r="D2004">
        <v>1</v>
      </c>
      <c r="E2004" t="s">
        <v>73</v>
      </c>
    </row>
    <row r="2005" spans="2:5">
      <c r="B2005" s="65" t="str">
        <f t="shared" si="31"/>
        <v>doc-1847:2</v>
      </c>
      <c r="C2005" t="s">
        <v>9922</v>
      </c>
      <c r="D2005">
        <v>2</v>
      </c>
      <c r="E2005" t="s">
        <v>87</v>
      </c>
    </row>
    <row r="2006" spans="2:5">
      <c r="B2006" s="65" t="str">
        <f t="shared" si="31"/>
        <v>doc-1849a:1</v>
      </c>
      <c r="C2006" t="s">
        <v>9923</v>
      </c>
      <c r="D2006">
        <v>1</v>
      </c>
      <c r="E2006" t="s">
        <v>2302</v>
      </c>
    </row>
    <row r="2007" spans="2:5">
      <c r="B2007" s="65" t="str">
        <f t="shared" si="31"/>
        <v>doc-1849a:2</v>
      </c>
      <c r="C2007" t="s">
        <v>9923</v>
      </c>
      <c r="D2007">
        <v>2</v>
      </c>
      <c r="E2007" t="s">
        <v>281</v>
      </c>
    </row>
    <row r="2008" spans="2:5">
      <c r="B2008" s="65" t="str">
        <f t="shared" si="31"/>
        <v>doc-1849a:3</v>
      </c>
      <c r="C2008" t="s">
        <v>9923</v>
      </c>
      <c r="D2008">
        <v>3</v>
      </c>
      <c r="E2008" t="s">
        <v>87</v>
      </c>
    </row>
    <row r="2009" spans="2:5">
      <c r="B2009" s="65" t="str">
        <f t="shared" si="31"/>
        <v>doc-1849a:4</v>
      </c>
      <c r="C2009" t="s">
        <v>9923</v>
      </c>
      <c r="D2009">
        <v>4</v>
      </c>
      <c r="E2009" t="s">
        <v>73</v>
      </c>
    </row>
    <row r="2010" spans="2:5">
      <c r="B2010" s="65" t="str">
        <f t="shared" si="31"/>
        <v>doc-1849a:5</v>
      </c>
      <c r="C2010" t="s">
        <v>9923</v>
      </c>
      <c r="D2010">
        <v>5</v>
      </c>
      <c r="E2010" t="s">
        <v>2664</v>
      </c>
    </row>
    <row r="2011" spans="2:5">
      <c r="B2011" s="65" t="str">
        <f t="shared" si="31"/>
        <v>doc-1849c:1</v>
      </c>
      <c r="C2011" t="s">
        <v>9924</v>
      </c>
      <c r="D2011">
        <v>1</v>
      </c>
      <c r="E2011" t="s">
        <v>2302</v>
      </c>
    </row>
    <row r="2012" spans="2:5">
      <c r="B2012" s="65" t="str">
        <f t="shared" si="31"/>
        <v>doc-1849c:2</v>
      </c>
      <c r="C2012" t="s">
        <v>9924</v>
      </c>
      <c r="D2012">
        <v>2</v>
      </c>
      <c r="E2012" t="s">
        <v>281</v>
      </c>
    </row>
    <row r="2013" spans="2:5">
      <c r="B2013" s="65" t="str">
        <f t="shared" si="31"/>
        <v>doc-1849c:3</v>
      </c>
      <c r="C2013" t="s">
        <v>9924</v>
      </c>
      <c r="D2013">
        <v>3</v>
      </c>
      <c r="E2013" t="s">
        <v>87</v>
      </c>
    </row>
    <row r="2014" spans="2:5">
      <c r="B2014" s="65" t="str">
        <f t="shared" si="31"/>
        <v>doc-1849c:4</v>
      </c>
      <c r="C2014" t="s">
        <v>9924</v>
      </c>
      <c r="D2014">
        <v>4</v>
      </c>
      <c r="E2014" t="s">
        <v>73</v>
      </c>
    </row>
    <row r="2015" spans="2:5">
      <c r="B2015" s="65" t="str">
        <f t="shared" si="31"/>
        <v>doc-1849c:5</v>
      </c>
      <c r="C2015" t="s">
        <v>9924</v>
      </c>
      <c r="D2015">
        <v>5</v>
      </c>
      <c r="E2015" t="s">
        <v>2664</v>
      </c>
    </row>
    <row r="2016" spans="2:5">
      <c r="B2016" s="65" t="str">
        <f t="shared" si="31"/>
        <v>doc-1855a:1</v>
      </c>
      <c r="C2016" t="s">
        <v>119</v>
      </c>
      <c r="D2016">
        <v>1</v>
      </c>
      <c r="E2016" t="s">
        <v>73</v>
      </c>
    </row>
    <row r="2017" spans="2:5">
      <c r="B2017" s="65" t="str">
        <f t="shared" si="31"/>
        <v>doc-1855a:2</v>
      </c>
      <c r="C2017" t="s">
        <v>119</v>
      </c>
      <c r="D2017">
        <v>2</v>
      </c>
      <c r="E2017" t="s">
        <v>87</v>
      </c>
    </row>
    <row r="2018" spans="2:5">
      <c r="B2018" s="65" t="str">
        <f t="shared" si="31"/>
        <v>doc-1855a:3</v>
      </c>
      <c r="C2018" t="s">
        <v>119</v>
      </c>
      <c r="D2018">
        <v>3</v>
      </c>
      <c r="E2018" t="s">
        <v>79</v>
      </c>
    </row>
    <row r="2019" spans="2:5">
      <c r="B2019" s="65" t="str">
        <f t="shared" si="31"/>
        <v>doc-1855a:4</v>
      </c>
      <c r="C2019" t="s">
        <v>119</v>
      </c>
      <c r="D2019">
        <v>4</v>
      </c>
      <c r="E2019" t="s">
        <v>82</v>
      </c>
    </row>
    <row r="2020" spans="2:5">
      <c r="B2020" s="65" t="str">
        <f t="shared" si="31"/>
        <v>doc-1855c:1</v>
      </c>
      <c r="C2020" t="s">
        <v>124</v>
      </c>
      <c r="D2020">
        <v>1</v>
      </c>
      <c r="E2020" t="s">
        <v>73</v>
      </c>
    </row>
    <row r="2021" spans="2:5">
      <c r="B2021" s="65" t="str">
        <f t="shared" si="31"/>
        <v>doc-1855c:2</v>
      </c>
      <c r="C2021" t="s">
        <v>124</v>
      </c>
      <c r="D2021">
        <v>2</v>
      </c>
      <c r="E2021" t="s">
        <v>87</v>
      </c>
    </row>
    <row r="2022" spans="2:5">
      <c r="B2022" s="65" t="str">
        <f t="shared" si="31"/>
        <v>doc-1855c:3</v>
      </c>
      <c r="C2022" t="s">
        <v>124</v>
      </c>
      <c r="D2022">
        <v>3</v>
      </c>
      <c r="E2022" t="s">
        <v>79</v>
      </c>
    </row>
    <row r="2023" spans="2:5">
      <c r="B2023" s="65" t="str">
        <f t="shared" si="31"/>
        <v>doc-1855c:4</v>
      </c>
      <c r="C2023" t="s">
        <v>124</v>
      </c>
      <c r="D2023">
        <v>4</v>
      </c>
      <c r="E2023" t="s">
        <v>82</v>
      </c>
    </row>
    <row r="2024" spans="2:5">
      <c r="B2024" s="65" t="str">
        <f t="shared" si="31"/>
        <v>doc-1857:1</v>
      </c>
      <c r="C2024" t="s">
        <v>9925</v>
      </c>
      <c r="D2024">
        <v>1</v>
      </c>
      <c r="E2024" t="s">
        <v>1275</v>
      </c>
    </row>
    <row r="2025" spans="2:5">
      <c r="B2025" s="65" t="str">
        <f t="shared" si="31"/>
        <v>doc-1857:2</v>
      </c>
      <c r="C2025" t="s">
        <v>9925</v>
      </c>
      <c r="D2025">
        <v>2</v>
      </c>
      <c r="E2025" t="s">
        <v>1283</v>
      </c>
    </row>
    <row r="2026" spans="2:5">
      <c r="B2026" s="65" t="str">
        <f t="shared" si="31"/>
        <v>doc-1857:3</v>
      </c>
      <c r="C2026" t="s">
        <v>9925</v>
      </c>
      <c r="D2026">
        <v>3</v>
      </c>
      <c r="E2026" t="s">
        <v>1293</v>
      </c>
    </row>
    <row r="2027" spans="2:5">
      <c r="B2027" s="65" t="str">
        <f t="shared" si="31"/>
        <v>doc-1857:4</v>
      </c>
      <c r="C2027" t="s">
        <v>9925</v>
      </c>
      <c r="D2027">
        <v>4</v>
      </c>
      <c r="E2027" t="s">
        <v>254</v>
      </c>
    </row>
    <row r="2028" spans="2:5">
      <c r="B2028" s="65" t="str">
        <f t="shared" si="31"/>
        <v>doc-1857:5</v>
      </c>
      <c r="C2028" t="s">
        <v>9925</v>
      </c>
      <c r="D2028">
        <v>5</v>
      </c>
      <c r="E2028" t="s">
        <v>1153</v>
      </c>
    </row>
    <row r="2029" spans="2:5">
      <c r="B2029" s="65" t="str">
        <f t="shared" si="31"/>
        <v>doc-1857:6</v>
      </c>
      <c r="C2029" t="s">
        <v>9925</v>
      </c>
      <c r="D2029">
        <v>6</v>
      </c>
      <c r="E2029" t="s">
        <v>1150</v>
      </c>
    </row>
    <row r="2030" spans="2:5">
      <c r="B2030" s="65" t="str">
        <f t="shared" si="31"/>
        <v>doc-1857:7</v>
      </c>
      <c r="C2030" t="s">
        <v>9925</v>
      </c>
      <c r="D2030">
        <v>7</v>
      </c>
      <c r="E2030" t="s">
        <v>3231</v>
      </c>
    </row>
    <row r="2031" spans="2:5">
      <c r="B2031" s="65" t="str">
        <f t="shared" si="31"/>
        <v>doc-1858:1</v>
      </c>
      <c r="C2031" t="s">
        <v>9926</v>
      </c>
      <c r="D2031">
        <v>1</v>
      </c>
      <c r="E2031" t="s">
        <v>1108</v>
      </c>
    </row>
    <row r="2032" spans="2:5">
      <c r="B2032" s="65" t="str">
        <f t="shared" si="31"/>
        <v>doc-1858:2</v>
      </c>
      <c r="C2032" t="s">
        <v>9926</v>
      </c>
      <c r="D2032">
        <v>2</v>
      </c>
      <c r="E2032" t="s">
        <v>2720</v>
      </c>
    </row>
    <row r="2033" spans="2:5">
      <c r="B2033" s="65" t="str">
        <f t="shared" si="31"/>
        <v>doc-1858:3</v>
      </c>
      <c r="C2033" t="s">
        <v>9926</v>
      </c>
      <c r="D2033">
        <v>3</v>
      </c>
      <c r="E2033" t="s">
        <v>1833</v>
      </c>
    </row>
    <row r="2034" spans="2:5">
      <c r="B2034" s="65" t="str">
        <f t="shared" si="31"/>
        <v>doc-1860:1</v>
      </c>
      <c r="C2034" t="s">
        <v>9927</v>
      </c>
      <c r="D2034">
        <v>1</v>
      </c>
      <c r="E2034" t="s">
        <v>2148</v>
      </c>
    </row>
    <row r="2035" spans="2:5">
      <c r="B2035" s="65" t="str">
        <f t="shared" si="31"/>
        <v>doc-1860:2</v>
      </c>
      <c r="C2035" t="s">
        <v>9927</v>
      </c>
      <c r="D2035">
        <v>2</v>
      </c>
      <c r="E2035" t="s">
        <v>2064</v>
      </c>
    </row>
    <row r="2036" spans="2:5">
      <c r="B2036" s="65" t="str">
        <f t="shared" si="31"/>
        <v>doc-1860:3</v>
      </c>
      <c r="C2036" t="s">
        <v>9927</v>
      </c>
      <c r="D2036">
        <v>3</v>
      </c>
      <c r="E2036" t="s">
        <v>1813</v>
      </c>
    </row>
    <row r="2037" spans="2:5">
      <c r="B2037" s="65" t="str">
        <f t="shared" si="31"/>
        <v>doc-1861:1</v>
      </c>
      <c r="C2037" t="s">
        <v>9928</v>
      </c>
      <c r="D2037">
        <v>1</v>
      </c>
      <c r="E2037" t="s">
        <v>2926</v>
      </c>
    </row>
    <row r="2038" spans="2:5">
      <c r="B2038" s="65" t="str">
        <f t="shared" si="31"/>
        <v>doc-1861:2</v>
      </c>
      <c r="C2038" t="s">
        <v>9928</v>
      </c>
      <c r="D2038">
        <v>2</v>
      </c>
      <c r="E2038" t="s">
        <v>2960</v>
      </c>
    </row>
    <row r="2039" spans="2:5">
      <c r="B2039" s="65" t="str">
        <f t="shared" si="31"/>
        <v>doc-1862:1</v>
      </c>
      <c r="C2039" t="s">
        <v>9929</v>
      </c>
      <c r="D2039">
        <v>1</v>
      </c>
      <c r="E2039" t="s">
        <v>1275</v>
      </c>
    </row>
    <row r="2040" spans="2:5">
      <c r="B2040" s="65" t="str">
        <f t="shared" si="31"/>
        <v>doc-1862:2</v>
      </c>
      <c r="C2040" t="s">
        <v>9929</v>
      </c>
      <c r="D2040">
        <v>2</v>
      </c>
      <c r="E2040" t="s">
        <v>1257</v>
      </c>
    </row>
    <row r="2041" spans="2:5">
      <c r="B2041" s="65" t="str">
        <f t="shared" si="31"/>
        <v>doc-1862:3</v>
      </c>
      <c r="C2041" t="s">
        <v>9929</v>
      </c>
      <c r="D2041">
        <v>3</v>
      </c>
      <c r="E2041" t="s">
        <v>254</v>
      </c>
    </row>
    <row r="2042" spans="2:5">
      <c r="B2042" s="65" t="str">
        <f t="shared" si="31"/>
        <v>doc-1862:4</v>
      </c>
      <c r="C2042" t="s">
        <v>9929</v>
      </c>
      <c r="D2042">
        <v>4</v>
      </c>
      <c r="E2042" t="s">
        <v>1260</v>
      </c>
    </row>
    <row r="2043" spans="2:5">
      <c r="B2043" s="65" t="str">
        <f t="shared" si="31"/>
        <v>doc-1862:5</v>
      </c>
      <c r="C2043" t="s">
        <v>9929</v>
      </c>
      <c r="D2043">
        <v>5</v>
      </c>
      <c r="E2043" t="s">
        <v>3228</v>
      </c>
    </row>
    <row r="2044" spans="2:5">
      <c r="B2044" s="65" t="str">
        <f t="shared" si="31"/>
        <v>doc-1862:6</v>
      </c>
      <c r="C2044" t="s">
        <v>9929</v>
      </c>
      <c r="D2044">
        <v>6</v>
      </c>
      <c r="E2044" t="s">
        <v>3239</v>
      </c>
    </row>
    <row r="2045" spans="2:5">
      <c r="B2045" s="65" t="str">
        <f t="shared" si="31"/>
        <v>doc-1862:7</v>
      </c>
      <c r="C2045" t="s">
        <v>9929</v>
      </c>
      <c r="D2045">
        <v>7</v>
      </c>
      <c r="E2045" t="s">
        <v>1156</v>
      </c>
    </row>
    <row r="2046" spans="2:5">
      <c r="B2046" s="65" t="str">
        <f t="shared" si="31"/>
        <v>doc-1863:1</v>
      </c>
      <c r="C2046" t="s">
        <v>9930</v>
      </c>
      <c r="D2046">
        <v>1</v>
      </c>
      <c r="E2046" t="s">
        <v>1275</v>
      </c>
    </row>
    <row r="2047" spans="2:5">
      <c r="B2047" s="65" t="str">
        <f t="shared" si="31"/>
        <v>doc-1863:2</v>
      </c>
      <c r="C2047" t="s">
        <v>9930</v>
      </c>
      <c r="D2047">
        <v>2</v>
      </c>
      <c r="E2047" t="s">
        <v>2960</v>
      </c>
    </row>
    <row r="2048" spans="2:5">
      <c r="B2048" s="65" t="str">
        <f t="shared" si="31"/>
        <v>doc-1863:3</v>
      </c>
      <c r="C2048" t="s">
        <v>9930</v>
      </c>
      <c r="D2048">
        <v>3</v>
      </c>
      <c r="E2048" t="s">
        <v>2967</v>
      </c>
    </row>
    <row r="2049" spans="2:5">
      <c r="B2049" s="65" t="str">
        <f t="shared" si="31"/>
        <v>doc-1863:4</v>
      </c>
      <c r="C2049" t="s">
        <v>9930</v>
      </c>
      <c r="D2049">
        <v>4</v>
      </c>
      <c r="E2049" t="s">
        <v>2213</v>
      </c>
    </row>
    <row r="2050" spans="2:5">
      <c r="B2050" s="65" t="str">
        <f t="shared" si="31"/>
        <v>doc-1864:1</v>
      </c>
      <c r="C2050" t="s">
        <v>9931</v>
      </c>
      <c r="D2050">
        <v>1</v>
      </c>
      <c r="E2050" t="s">
        <v>1275</v>
      </c>
    </row>
    <row r="2051" spans="2:5">
      <c r="B2051" s="65" t="str">
        <f t="shared" si="31"/>
        <v>doc-1864:2</v>
      </c>
      <c r="C2051" t="s">
        <v>9931</v>
      </c>
      <c r="D2051">
        <v>2</v>
      </c>
      <c r="E2051" t="s">
        <v>2954</v>
      </c>
    </row>
    <row r="2052" spans="2:5">
      <c r="B2052" s="65" t="str">
        <f t="shared" ref="B2052:B2115" si="32">$C2052&amp;":"&amp;$D2052</f>
        <v>doc-1866:1</v>
      </c>
      <c r="C2052" t="s">
        <v>9932</v>
      </c>
      <c r="D2052">
        <v>1</v>
      </c>
      <c r="E2052" t="s">
        <v>2023</v>
      </c>
    </row>
    <row r="2053" spans="2:5">
      <c r="B2053" s="65" t="str">
        <f t="shared" si="32"/>
        <v>doc-1866:2</v>
      </c>
      <c r="C2053" t="s">
        <v>9932</v>
      </c>
      <c r="D2053">
        <v>2</v>
      </c>
      <c r="E2053" t="s">
        <v>2847</v>
      </c>
    </row>
    <row r="2054" spans="2:5">
      <c r="B2054" s="65" t="str">
        <f t="shared" si="32"/>
        <v>doc-1866:3</v>
      </c>
      <c r="C2054" t="s">
        <v>9932</v>
      </c>
      <c r="D2054">
        <v>3</v>
      </c>
      <c r="E2054" t="s">
        <v>1994</v>
      </c>
    </row>
    <row r="2055" spans="2:5">
      <c r="B2055" s="65" t="str">
        <f t="shared" si="32"/>
        <v>doc-1866:4</v>
      </c>
      <c r="C2055" t="s">
        <v>9932</v>
      </c>
      <c r="D2055">
        <v>4</v>
      </c>
      <c r="E2055" t="s">
        <v>2849</v>
      </c>
    </row>
    <row r="2056" spans="2:5">
      <c r="B2056" s="65" t="str">
        <f t="shared" si="32"/>
        <v>doc-1870:1</v>
      </c>
      <c r="C2056" t="s">
        <v>9933</v>
      </c>
      <c r="D2056">
        <v>1</v>
      </c>
      <c r="E2056" t="s">
        <v>1763</v>
      </c>
    </row>
    <row r="2057" spans="2:5">
      <c r="B2057" s="65" t="str">
        <f t="shared" si="32"/>
        <v>doc-1870:2</v>
      </c>
      <c r="C2057" t="s">
        <v>9933</v>
      </c>
      <c r="D2057">
        <v>2</v>
      </c>
      <c r="E2057" t="s">
        <v>1941</v>
      </c>
    </row>
    <row r="2058" spans="2:5">
      <c r="B2058" s="65" t="str">
        <f t="shared" si="32"/>
        <v>doc-1870:3</v>
      </c>
      <c r="C2058" t="s">
        <v>9933</v>
      </c>
      <c r="D2058">
        <v>3</v>
      </c>
      <c r="E2058" t="s">
        <v>2805</v>
      </c>
    </row>
    <row r="2059" spans="2:5">
      <c r="B2059" s="65" t="str">
        <f t="shared" si="32"/>
        <v>doc-1872:1</v>
      </c>
      <c r="C2059" t="s">
        <v>9934</v>
      </c>
      <c r="D2059">
        <v>1</v>
      </c>
      <c r="E2059" t="s">
        <v>2828</v>
      </c>
    </row>
    <row r="2060" spans="2:5">
      <c r="B2060" s="65" t="str">
        <f t="shared" si="32"/>
        <v>doc-1872:2</v>
      </c>
      <c r="C2060" t="s">
        <v>9934</v>
      </c>
      <c r="D2060">
        <v>2</v>
      </c>
      <c r="E2060" t="s">
        <v>2847</v>
      </c>
    </row>
    <row r="2061" spans="2:5">
      <c r="B2061" s="65" t="str">
        <f t="shared" si="32"/>
        <v>doc-1872:3</v>
      </c>
      <c r="C2061" t="s">
        <v>9934</v>
      </c>
      <c r="D2061">
        <v>3</v>
      </c>
      <c r="E2061" t="s">
        <v>2857</v>
      </c>
    </row>
    <row r="2062" spans="2:5">
      <c r="B2062" s="65" t="str">
        <f t="shared" si="32"/>
        <v>doc-1872:4</v>
      </c>
      <c r="C2062" t="s">
        <v>9934</v>
      </c>
      <c r="D2062">
        <v>4</v>
      </c>
      <c r="E2062" t="s">
        <v>2849</v>
      </c>
    </row>
    <row r="2063" spans="2:5">
      <c r="B2063" s="65" t="str">
        <f t="shared" si="32"/>
        <v>doc-1873:1</v>
      </c>
      <c r="C2063" t="s">
        <v>5930</v>
      </c>
      <c r="D2063">
        <v>1</v>
      </c>
      <c r="E2063" t="s">
        <v>2179</v>
      </c>
    </row>
    <row r="2064" spans="2:5">
      <c r="B2064" s="65" t="str">
        <f t="shared" si="32"/>
        <v>doc-1873:2</v>
      </c>
      <c r="C2064" t="s">
        <v>5930</v>
      </c>
      <c r="D2064">
        <v>2</v>
      </c>
      <c r="E2064" t="s">
        <v>2121</v>
      </c>
    </row>
    <row r="2065" spans="2:5">
      <c r="B2065" s="65" t="str">
        <f t="shared" si="32"/>
        <v>doc-1873:3</v>
      </c>
      <c r="C2065" t="s">
        <v>5930</v>
      </c>
      <c r="D2065">
        <v>3</v>
      </c>
      <c r="E2065" t="s">
        <v>2847</v>
      </c>
    </row>
    <row r="2066" spans="2:5">
      <c r="B2066" s="65" t="str">
        <f t="shared" si="32"/>
        <v>doc-1873:4</v>
      </c>
      <c r="C2066" t="s">
        <v>5930</v>
      </c>
      <c r="D2066">
        <v>4</v>
      </c>
      <c r="E2066" t="s">
        <v>2849</v>
      </c>
    </row>
    <row r="2067" spans="2:5">
      <c r="B2067" s="65" t="str">
        <f t="shared" si="32"/>
        <v>doc-1874:1</v>
      </c>
      <c r="C2067" t="s">
        <v>9935</v>
      </c>
      <c r="D2067">
        <v>1</v>
      </c>
      <c r="E2067" t="s">
        <v>2132</v>
      </c>
    </row>
    <row r="2068" spans="2:5">
      <c r="B2068" s="65" t="str">
        <f t="shared" si="32"/>
        <v>doc-1874:2</v>
      </c>
      <c r="C2068" t="s">
        <v>9935</v>
      </c>
      <c r="D2068">
        <v>2</v>
      </c>
      <c r="E2068" t="s">
        <v>1890</v>
      </c>
    </row>
    <row r="2069" spans="2:5">
      <c r="B2069" s="65" t="str">
        <f t="shared" si="32"/>
        <v>doc-1874:3</v>
      </c>
      <c r="C2069" t="s">
        <v>9935</v>
      </c>
      <c r="D2069">
        <v>3</v>
      </c>
      <c r="E2069" t="s">
        <v>1905</v>
      </c>
    </row>
    <row r="2070" spans="2:5">
      <c r="B2070" s="65" t="str">
        <f t="shared" si="32"/>
        <v>doc-1874:4</v>
      </c>
      <c r="C2070" t="s">
        <v>9935</v>
      </c>
      <c r="D2070">
        <v>4</v>
      </c>
      <c r="E2070" t="s">
        <v>1962</v>
      </c>
    </row>
    <row r="2071" spans="2:5">
      <c r="B2071" s="65" t="str">
        <f t="shared" si="32"/>
        <v>doc-1874:5</v>
      </c>
      <c r="C2071" t="s">
        <v>9935</v>
      </c>
      <c r="D2071">
        <v>5</v>
      </c>
      <c r="E2071" t="s">
        <v>2061</v>
      </c>
    </row>
    <row r="2072" spans="2:5">
      <c r="B2072" s="65" t="str">
        <f t="shared" si="32"/>
        <v>doc-1875:1</v>
      </c>
      <c r="C2072" t="s">
        <v>9936</v>
      </c>
      <c r="D2072">
        <v>1</v>
      </c>
      <c r="E2072" t="s">
        <v>1890</v>
      </c>
    </row>
    <row r="2073" spans="2:5">
      <c r="B2073" s="65" t="str">
        <f t="shared" si="32"/>
        <v>doc-1875:2</v>
      </c>
      <c r="C2073" t="s">
        <v>9936</v>
      </c>
      <c r="D2073">
        <v>2</v>
      </c>
      <c r="E2073" t="s">
        <v>2132</v>
      </c>
    </row>
    <row r="2074" spans="2:5">
      <c r="B2074" s="65" t="str">
        <f t="shared" si="32"/>
        <v>doc-1875:3</v>
      </c>
      <c r="C2074" t="s">
        <v>9936</v>
      </c>
      <c r="D2074">
        <v>3</v>
      </c>
      <c r="E2074" t="s">
        <v>2378</v>
      </c>
    </row>
    <row r="2075" spans="2:5">
      <c r="B2075" s="65" t="str">
        <f t="shared" si="32"/>
        <v>doc-1875:4</v>
      </c>
      <c r="C2075" t="s">
        <v>9936</v>
      </c>
      <c r="D2075">
        <v>4</v>
      </c>
      <c r="E2075" t="s">
        <v>1962</v>
      </c>
    </row>
    <row r="2076" spans="2:5">
      <c r="B2076" s="65" t="str">
        <f t="shared" si="32"/>
        <v>doc-1875:5</v>
      </c>
      <c r="C2076" t="s">
        <v>9936</v>
      </c>
      <c r="D2076">
        <v>5</v>
      </c>
      <c r="E2076" t="s">
        <v>1905</v>
      </c>
    </row>
    <row r="2077" spans="2:5">
      <c r="B2077" s="65" t="str">
        <f t="shared" si="32"/>
        <v>doc-1875:6</v>
      </c>
      <c r="C2077" t="s">
        <v>9936</v>
      </c>
      <c r="D2077">
        <v>6</v>
      </c>
      <c r="E2077" t="s">
        <v>2061</v>
      </c>
    </row>
    <row r="2078" spans="2:5">
      <c r="B2078" s="65" t="str">
        <f t="shared" si="32"/>
        <v>doc-1877:1</v>
      </c>
      <c r="C2078" t="s">
        <v>9937</v>
      </c>
      <c r="D2078">
        <v>1</v>
      </c>
      <c r="E2078" t="s">
        <v>2720</v>
      </c>
    </row>
    <row r="2079" spans="2:5">
      <c r="B2079" s="65" t="str">
        <f t="shared" si="32"/>
        <v>doc-1877:2</v>
      </c>
      <c r="C2079" t="s">
        <v>9937</v>
      </c>
      <c r="D2079">
        <v>2</v>
      </c>
      <c r="E2079" t="s">
        <v>2749</v>
      </c>
    </row>
    <row r="2080" spans="2:5">
      <c r="B2080" s="65" t="str">
        <f t="shared" si="32"/>
        <v>doc-1877:3</v>
      </c>
      <c r="C2080" t="s">
        <v>9937</v>
      </c>
      <c r="D2080">
        <v>3</v>
      </c>
      <c r="E2080" t="s">
        <v>2633</v>
      </c>
    </row>
    <row r="2081" spans="2:5">
      <c r="B2081" s="65" t="str">
        <f t="shared" si="32"/>
        <v>doc-1877:4</v>
      </c>
      <c r="C2081" t="s">
        <v>9937</v>
      </c>
      <c r="D2081">
        <v>4</v>
      </c>
      <c r="E2081" t="s">
        <v>2651</v>
      </c>
    </row>
    <row r="2082" spans="2:5">
      <c r="B2082" s="65" t="str">
        <f t="shared" si="32"/>
        <v>doc-1877:5</v>
      </c>
      <c r="C2082" t="s">
        <v>9937</v>
      </c>
      <c r="D2082">
        <v>5</v>
      </c>
      <c r="E2082" t="s">
        <v>2664</v>
      </c>
    </row>
    <row r="2083" spans="2:5">
      <c r="B2083" s="65" t="str">
        <f t="shared" si="32"/>
        <v>doc-1880:1</v>
      </c>
      <c r="C2083" t="s">
        <v>5936</v>
      </c>
      <c r="D2083">
        <v>1</v>
      </c>
      <c r="E2083" t="s">
        <v>3061</v>
      </c>
    </row>
    <row r="2084" spans="2:5">
      <c r="B2084" s="65" t="str">
        <f t="shared" si="32"/>
        <v>doc-1881:1</v>
      </c>
      <c r="C2084" t="s">
        <v>9938</v>
      </c>
      <c r="D2084">
        <v>1</v>
      </c>
      <c r="E2084" t="s">
        <v>3061</v>
      </c>
    </row>
    <row r="2085" spans="2:5">
      <c r="B2085" s="65" t="str">
        <f t="shared" si="32"/>
        <v>doc-1881:2</v>
      </c>
      <c r="C2085" t="s">
        <v>9938</v>
      </c>
      <c r="D2085">
        <v>2</v>
      </c>
      <c r="E2085" t="s">
        <v>3058</v>
      </c>
    </row>
    <row r="2086" spans="2:5">
      <c r="B2086" s="65" t="str">
        <f t="shared" si="32"/>
        <v>doc-1890:1</v>
      </c>
      <c r="C2086" t="s">
        <v>5943</v>
      </c>
      <c r="D2086">
        <v>1</v>
      </c>
      <c r="E2086" t="s">
        <v>1833</v>
      </c>
    </row>
    <row r="2087" spans="2:5">
      <c r="B2087" s="65" t="str">
        <f t="shared" si="32"/>
        <v>doc-1890:2</v>
      </c>
      <c r="C2087" t="s">
        <v>5943</v>
      </c>
      <c r="D2087">
        <v>2</v>
      </c>
      <c r="E2087" t="s">
        <v>1108</v>
      </c>
    </row>
    <row r="2088" spans="2:5">
      <c r="B2088" s="65" t="str">
        <f t="shared" si="32"/>
        <v>doc-1890:3</v>
      </c>
      <c r="C2088" t="s">
        <v>5943</v>
      </c>
      <c r="D2088">
        <v>3</v>
      </c>
      <c r="E2088" t="s">
        <v>2664</v>
      </c>
    </row>
    <row r="2089" spans="2:5">
      <c r="B2089" s="65" t="str">
        <f t="shared" si="32"/>
        <v>doc-1892:1</v>
      </c>
      <c r="C2089" t="s">
        <v>9939</v>
      </c>
      <c r="D2089">
        <v>1</v>
      </c>
      <c r="E2089" t="s">
        <v>2930</v>
      </c>
    </row>
    <row r="2090" spans="2:5">
      <c r="B2090" s="65" t="str">
        <f t="shared" si="32"/>
        <v>doc-1895:1</v>
      </c>
      <c r="C2090" t="s">
        <v>9940</v>
      </c>
      <c r="D2090">
        <v>1</v>
      </c>
      <c r="E2090" t="s">
        <v>1795</v>
      </c>
    </row>
    <row r="2091" spans="2:5">
      <c r="B2091" s="65" t="str">
        <f t="shared" si="32"/>
        <v>doc-1895:2</v>
      </c>
      <c r="C2091" t="s">
        <v>9940</v>
      </c>
      <c r="D2091">
        <v>2</v>
      </c>
      <c r="E2091" t="s">
        <v>1275</v>
      </c>
    </row>
    <row r="2092" spans="2:5">
      <c r="B2092" s="65" t="str">
        <f t="shared" si="32"/>
        <v>doc-1895:3</v>
      </c>
      <c r="C2092" t="s">
        <v>9940</v>
      </c>
      <c r="D2092">
        <v>3</v>
      </c>
      <c r="E2092" t="s">
        <v>2954</v>
      </c>
    </row>
    <row r="2093" spans="2:5">
      <c r="B2093" s="65" t="str">
        <f t="shared" si="32"/>
        <v>doc-1895:4</v>
      </c>
      <c r="C2093" t="s">
        <v>9940</v>
      </c>
      <c r="D2093">
        <v>4</v>
      </c>
      <c r="E2093" t="s">
        <v>2943</v>
      </c>
    </row>
    <row r="2094" spans="2:5">
      <c r="B2094" s="65" t="str">
        <f t="shared" si="32"/>
        <v>doc-1896:1</v>
      </c>
      <c r="C2094" t="s">
        <v>9941</v>
      </c>
      <c r="D2094">
        <v>1</v>
      </c>
      <c r="E2094" t="s">
        <v>1795</v>
      </c>
    </row>
    <row r="2095" spans="2:5">
      <c r="B2095" s="65" t="str">
        <f t="shared" si="32"/>
        <v>doc-1896:2</v>
      </c>
      <c r="C2095" t="s">
        <v>9941</v>
      </c>
      <c r="D2095">
        <v>2</v>
      </c>
      <c r="E2095" t="s">
        <v>1275</v>
      </c>
    </row>
    <row r="2096" spans="2:5">
      <c r="B2096" s="65" t="str">
        <f t="shared" si="32"/>
        <v>doc-1896:3</v>
      </c>
      <c r="C2096" t="s">
        <v>9941</v>
      </c>
      <c r="D2096">
        <v>3</v>
      </c>
      <c r="E2096" t="s">
        <v>2954</v>
      </c>
    </row>
    <row r="2097" spans="2:5">
      <c r="B2097" s="65" t="str">
        <f t="shared" si="32"/>
        <v>doc-1896:4</v>
      </c>
      <c r="C2097" t="s">
        <v>9941</v>
      </c>
      <c r="D2097">
        <v>4</v>
      </c>
      <c r="E2097" t="s">
        <v>2943</v>
      </c>
    </row>
    <row r="2098" spans="2:5">
      <c r="B2098" s="65" t="str">
        <f t="shared" si="32"/>
        <v>doc-1897:1</v>
      </c>
      <c r="C2098" t="s">
        <v>9942</v>
      </c>
      <c r="D2098">
        <v>1</v>
      </c>
      <c r="E2098" t="s">
        <v>2302</v>
      </c>
    </row>
    <row r="2099" spans="2:5">
      <c r="B2099" s="65" t="str">
        <f t="shared" si="32"/>
        <v>doc-1897:2</v>
      </c>
      <c r="C2099" t="s">
        <v>9942</v>
      </c>
      <c r="D2099">
        <v>2</v>
      </c>
      <c r="E2099" t="s">
        <v>281</v>
      </c>
    </row>
    <row r="2100" spans="2:5">
      <c r="B2100" s="65" t="str">
        <f t="shared" si="32"/>
        <v>doc-1897:3</v>
      </c>
      <c r="C2100" t="s">
        <v>9942</v>
      </c>
      <c r="D2100">
        <v>3</v>
      </c>
      <c r="E2100" t="s">
        <v>2664</v>
      </c>
    </row>
    <row r="2101" spans="2:5">
      <c r="B2101" s="65" t="str">
        <f t="shared" si="32"/>
        <v>doc-1900:1</v>
      </c>
      <c r="C2101" t="s">
        <v>5950</v>
      </c>
      <c r="D2101">
        <v>1</v>
      </c>
      <c r="E2101" t="s">
        <v>2810</v>
      </c>
    </row>
    <row r="2102" spans="2:5">
      <c r="B2102" s="65" t="str">
        <f t="shared" si="32"/>
        <v>doc-1900:2</v>
      </c>
      <c r="C2102" t="s">
        <v>5950</v>
      </c>
      <c r="D2102">
        <v>2</v>
      </c>
      <c r="E2102" t="s">
        <v>2820</v>
      </c>
    </row>
    <row r="2103" spans="2:5">
      <c r="B2103" s="65" t="str">
        <f t="shared" si="32"/>
        <v>doc-1900:3</v>
      </c>
      <c r="C2103" t="s">
        <v>5950</v>
      </c>
      <c r="D2103">
        <v>3</v>
      </c>
      <c r="E2103" t="s">
        <v>2805</v>
      </c>
    </row>
    <row r="2104" spans="2:5">
      <c r="B2104" s="65" t="str">
        <f t="shared" si="32"/>
        <v>doc-1900:4</v>
      </c>
      <c r="C2104" t="s">
        <v>5950</v>
      </c>
      <c r="D2104">
        <v>4</v>
      </c>
      <c r="E2104" t="s">
        <v>1941</v>
      </c>
    </row>
    <row r="2105" spans="2:5">
      <c r="B2105" s="65" t="str">
        <f t="shared" si="32"/>
        <v>doc-1901:1</v>
      </c>
      <c r="C2105" t="s">
        <v>9943</v>
      </c>
      <c r="D2105">
        <v>1</v>
      </c>
      <c r="E2105" t="s">
        <v>1941</v>
      </c>
    </row>
    <row r="2106" spans="2:5">
      <c r="B2106" s="65" t="str">
        <f t="shared" si="32"/>
        <v>doc-1901:2</v>
      </c>
      <c r="C2106" t="s">
        <v>9943</v>
      </c>
      <c r="D2106">
        <v>2</v>
      </c>
      <c r="E2106" t="s">
        <v>2805</v>
      </c>
    </row>
    <row r="2107" spans="2:5">
      <c r="B2107" s="65" t="str">
        <f t="shared" si="32"/>
        <v>doc-1902:1</v>
      </c>
      <c r="C2107" t="s">
        <v>6170</v>
      </c>
      <c r="D2107">
        <v>1</v>
      </c>
      <c r="E2107" t="s">
        <v>2342</v>
      </c>
    </row>
    <row r="2108" spans="2:5">
      <c r="B2108" s="65" t="str">
        <f t="shared" si="32"/>
        <v>doc-1902:2</v>
      </c>
      <c r="C2108" t="s">
        <v>6170</v>
      </c>
      <c r="D2108">
        <v>2</v>
      </c>
      <c r="E2108" t="s">
        <v>1813</v>
      </c>
    </row>
    <row r="2109" spans="2:5">
      <c r="B2109" s="65" t="str">
        <f t="shared" si="32"/>
        <v>doc-1902:3</v>
      </c>
      <c r="C2109" t="s">
        <v>6170</v>
      </c>
      <c r="D2109">
        <v>3</v>
      </c>
      <c r="E2109" t="s">
        <v>2305</v>
      </c>
    </row>
    <row r="2110" spans="2:5">
      <c r="B2110" s="65" t="str">
        <f t="shared" si="32"/>
        <v>doc-1902:4</v>
      </c>
      <c r="C2110" t="s">
        <v>6170</v>
      </c>
      <c r="D2110">
        <v>4</v>
      </c>
      <c r="E2110" t="s">
        <v>296</v>
      </c>
    </row>
    <row r="2111" spans="2:5">
      <c r="B2111" s="65" t="str">
        <f t="shared" si="32"/>
        <v>doc-1902:5</v>
      </c>
      <c r="C2111" t="s">
        <v>6170</v>
      </c>
      <c r="D2111">
        <v>5</v>
      </c>
      <c r="E2111" t="s">
        <v>281</v>
      </c>
    </row>
    <row r="2112" spans="2:5">
      <c r="B2112" s="65" t="str">
        <f t="shared" si="32"/>
        <v>doc-1903:1</v>
      </c>
      <c r="C2112" t="s">
        <v>9944</v>
      </c>
      <c r="D2112">
        <v>1</v>
      </c>
      <c r="E2112" t="s">
        <v>2836</v>
      </c>
    </row>
    <row r="2113" spans="2:5">
      <c r="B2113" s="65" t="str">
        <f t="shared" si="32"/>
        <v>doc-1903:2</v>
      </c>
      <c r="C2113" t="s">
        <v>9944</v>
      </c>
      <c r="D2113">
        <v>2</v>
      </c>
      <c r="E2113" t="s">
        <v>2847</v>
      </c>
    </row>
    <row r="2114" spans="2:5">
      <c r="B2114" s="65" t="str">
        <f t="shared" si="32"/>
        <v>doc-1903:3</v>
      </c>
      <c r="C2114" t="s">
        <v>9944</v>
      </c>
      <c r="D2114">
        <v>3</v>
      </c>
      <c r="E2114" t="s">
        <v>2849</v>
      </c>
    </row>
    <row r="2115" spans="2:5">
      <c r="B2115" s="65" t="str">
        <f t="shared" si="32"/>
        <v>doc-1907:1</v>
      </c>
      <c r="C2115" t="s">
        <v>9945</v>
      </c>
      <c r="D2115">
        <v>1</v>
      </c>
      <c r="E2115" t="s">
        <v>82</v>
      </c>
    </row>
    <row r="2116" spans="2:5">
      <c r="B2116" s="65" t="str">
        <f t="shared" ref="B2116:B2179" si="33">$C2116&amp;":"&amp;$D2116</f>
        <v>doc-1908:1</v>
      </c>
      <c r="C2116" t="s">
        <v>5957</v>
      </c>
      <c r="D2116">
        <v>1</v>
      </c>
      <c r="E2116" t="s">
        <v>3178</v>
      </c>
    </row>
    <row r="2117" spans="2:5">
      <c r="B2117" s="65" t="str">
        <f t="shared" si="33"/>
        <v>doc-1908:2</v>
      </c>
      <c r="C2117" t="s">
        <v>5957</v>
      </c>
      <c r="D2117">
        <v>2</v>
      </c>
      <c r="E2117" t="s">
        <v>3176</v>
      </c>
    </row>
    <row r="2118" spans="2:5">
      <c r="B2118" s="65" t="str">
        <f t="shared" si="33"/>
        <v>doc-1908:3</v>
      </c>
      <c r="C2118" t="s">
        <v>5957</v>
      </c>
      <c r="D2118">
        <v>3</v>
      </c>
      <c r="E2118" t="s">
        <v>2324</v>
      </c>
    </row>
    <row r="2119" spans="2:5">
      <c r="B2119" s="65" t="str">
        <f t="shared" si="33"/>
        <v>doc-1908:4</v>
      </c>
      <c r="C2119" t="s">
        <v>5957</v>
      </c>
      <c r="D2119">
        <v>4</v>
      </c>
      <c r="E2119" t="s">
        <v>2300</v>
      </c>
    </row>
    <row r="2120" spans="2:5">
      <c r="B2120" s="65" t="str">
        <f t="shared" si="33"/>
        <v>doc-1908:5</v>
      </c>
      <c r="C2120" t="s">
        <v>5957</v>
      </c>
      <c r="D2120">
        <v>5</v>
      </c>
      <c r="E2120" t="s">
        <v>2295</v>
      </c>
    </row>
    <row r="2121" spans="2:5">
      <c r="B2121" s="65" t="str">
        <f t="shared" si="33"/>
        <v>doc-1909:1</v>
      </c>
      <c r="C2121" t="s">
        <v>9946</v>
      </c>
      <c r="D2121">
        <v>1</v>
      </c>
      <c r="E2121" t="s">
        <v>82</v>
      </c>
    </row>
    <row r="2122" spans="2:5">
      <c r="B2122" s="65" t="str">
        <f t="shared" si="33"/>
        <v>doc-1910:1</v>
      </c>
      <c r="C2122" t="s">
        <v>5963</v>
      </c>
      <c r="D2122">
        <v>1</v>
      </c>
      <c r="E2122" t="s">
        <v>1343</v>
      </c>
    </row>
    <row r="2123" spans="2:5">
      <c r="B2123" s="65" t="str">
        <f t="shared" si="33"/>
        <v>doc-1910:2</v>
      </c>
      <c r="C2123" t="s">
        <v>5963</v>
      </c>
      <c r="D2123">
        <v>2</v>
      </c>
      <c r="E2123" t="s">
        <v>2194</v>
      </c>
    </row>
    <row r="2124" spans="2:5">
      <c r="B2124" s="65" t="str">
        <f t="shared" si="33"/>
        <v>doc-1913:1</v>
      </c>
      <c r="C2124" t="s">
        <v>9947</v>
      </c>
      <c r="D2124">
        <v>1</v>
      </c>
      <c r="E2124" t="s">
        <v>82</v>
      </c>
    </row>
    <row r="2125" spans="2:5">
      <c r="B2125" s="65" t="str">
        <f t="shared" si="33"/>
        <v>doc-1913:2</v>
      </c>
      <c r="C2125" t="s">
        <v>9947</v>
      </c>
      <c r="D2125">
        <v>2</v>
      </c>
      <c r="E2125" t="s">
        <v>79</v>
      </c>
    </row>
    <row r="2126" spans="2:5">
      <c r="B2126" s="65" t="str">
        <f t="shared" si="33"/>
        <v>doc-1913:3</v>
      </c>
      <c r="C2126" t="s">
        <v>9947</v>
      </c>
      <c r="D2126">
        <v>3</v>
      </c>
      <c r="E2126" t="s">
        <v>1227</v>
      </c>
    </row>
    <row r="2127" spans="2:5">
      <c r="B2127" s="65" t="str">
        <f t="shared" si="33"/>
        <v>doc-1921:1</v>
      </c>
      <c r="C2127" t="s">
        <v>9948</v>
      </c>
      <c r="D2127">
        <v>1</v>
      </c>
      <c r="E2127" t="s">
        <v>1905</v>
      </c>
    </row>
    <row r="2128" spans="2:5">
      <c r="B2128" s="65" t="str">
        <f t="shared" si="33"/>
        <v>doc-1921:2</v>
      </c>
      <c r="C2128" t="s">
        <v>9948</v>
      </c>
      <c r="D2128">
        <v>2</v>
      </c>
      <c r="E2128" t="s">
        <v>2112</v>
      </c>
    </row>
    <row r="2129" spans="2:5">
      <c r="B2129" s="65" t="str">
        <f t="shared" si="33"/>
        <v>doc-1921:3</v>
      </c>
      <c r="C2129" t="s">
        <v>9948</v>
      </c>
      <c r="D2129">
        <v>3</v>
      </c>
      <c r="E2129" t="s">
        <v>2061</v>
      </c>
    </row>
    <row r="2130" spans="2:5">
      <c r="B2130" s="65" t="str">
        <f t="shared" si="33"/>
        <v>doc-1921:4</v>
      </c>
      <c r="C2130" t="s">
        <v>9948</v>
      </c>
      <c r="D2130">
        <v>4</v>
      </c>
      <c r="E2130" t="s">
        <v>1877</v>
      </c>
    </row>
    <row r="2131" spans="2:5">
      <c r="B2131" s="65" t="str">
        <f t="shared" si="33"/>
        <v>doc-1923:1</v>
      </c>
      <c r="C2131" t="s">
        <v>5969</v>
      </c>
      <c r="D2131">
        <v>1</v>
      </c>
      <c r="E2131" t="s">
        <v>1711</v>
      </c>
    </row>
    <row r="2132" spans="2:5">
      <c r="B2132" s="65" t="str">
        <f t="shared" si="33"/>
        <v>doc-1923:2</v>
      </c>
      <c r="C2132" t="s">
        <v>5969</v>
      </c>
      <c r="D2132">
        <v>2</v>
      </c>
      <c r="E2132" t="s">
        <v>2825</v>
      </c>
    </row>
    <row r="2133" spans="2:5">
      <c r="B2133" s="65" t="str">
        <f t="shared" si="33"/>
        <v>doc-1923:3</v>
      </c>
      <c r="C2133" t="s">
        <v>5969</v>
      </c>
      <c r="D2133">
        <v>3</v>
      </c>
      <c r="E2133" t="s">
        <v>1717</v>
      </c>
    </row>
    <row r="2134" spans="2:5">
      <c r="B2134" s="65" t="str">
        <f t="shared" si="33"/>
        <v>doc-1923:4</v>
      </c>
      <c r="C2134" t="s">
        <v>5969</v>
      </c>
      <c r="D2134">
        <v>4</v>
      </c>
      <c r="E2134" t="s">
        <v>1708</v>
      </c>
    </row>
    <row r="2135" spans="2:5">
      <c r="B2135" s="65" t="str">
        <f t="shared" si="33"/>
        <v>doc-1923:5</v>
      </c>
      <c r="C2135" t="s">
        <v>5969</v>
      </c>
      <c r="D2135">
        <v>5</v>
      </c>
      <c r="E2135" t="s">
        <v>1714</v>
      </c>
    </row>
    <row r="2136" spans="2:5">
      <c r="B2136" s="65" t="str">
        <f t="shared" si="33"/>
        <v>doc-1923:6</v>
      </c>
      <c r="C2136" t="s">
        <v>5969</v>
      </c>
      <c r="D2136">
        <v>6</v>
      </c>
      <c r="E2136" t="s">
        <v>2860</v>
      </c>
    </row>
    <row r="2137" spans="2:5">
      <c r="B2137" s="65" t="str">
        <f t="shared" si="33"/>
        <v>doc-1924:1</v>
      </c>
      <c r="C2137" t="s">
        <v>9949</v>
      </c>
      <c r="D2137">
        <v>1</v>
      </c>
      <c r="E2137" t="s">
        <v>2825</v>
      </c>
    </row>
    <row r="2138" spans="2:5">
      <c r="B2138" s="65" t="str">
        <f t="shared" si="33"/>
        <v>doc-1924:2</v>
      </c>
      <c r="C2138" t="s">
        <v>9949</v>
      </c>
      <c r="D2138">
        <v>2</v>
      </c>
      <c r="E2138" t="s">
        <v>2860</v>
      </c>
    </row>
    <row r="2139" spans="2:5">
      <c r="B2139" s="65" t="str">
        <f t="shared" si="33"/>
        <v>doc-1924:3</v>
      </c>
      <c r="C2139" t="s">
        <v>9949</v>
      </c>
      <c r="D2139">
        <v>3</v>
      </c>
      <c r="E2139" t="s">
        <v>2847</v>
      </c>
    </row>
    <row r="2140" spans="2:5">
      <c r="B2140" s="65" t="str">
        <f t="shared" si="33"/>
        <v>doc-1924:4</v>
      </c>
      <c r="C2140" t="s">
        <v>9949</v>
      </c>
      <c r="D2140">
        <v>4</v>
      </c>
      <c r="E2140" t="s">
        <v>2524</v>
      </c>
    </row>
    <row r="2141" spans="2:5">
      <c r="B2141" s="65" t="str">
        <f t="shared" si="33"/>
        <v>doc-1925:1</v>
      </c>
      <c r="C2141" t="s">
        <v>9950</v>
      </c>
      <c r="D2141">
        <v>1</v>
      </c>
      <c r="E2141" t="s">
        <v>2911</v>
      </c>
    </row>
    <row r="2142" spans="2:5">
      <c r="B2142" s="65" t="str">
        <f t="shared" si="33"/>
        <v>doc-1925:2</v>
      </c>
      <c r="C2142" t="s">
        <v>9950</v>
      </c>
      <c r="D2142">
        <v>2</v>
      </c>
      <c r="E2142" t="s">
        <v>2860</v>
      </c>
    </row>
    <row r="2143" spans="2:5">
      <c r="B2143" s="65" t="str">
        <f t="shared" si="33"/>
        <v>doc-1925:3</v>
      </c>
      <c r="C2143" t="s">
        <v>9950</v>
      </c>
      <c r="D2143">
        <v>3</v>
      </c>
      <c r="E2143" t="s">
        <v>2849</v>
      </c>
    </row>
    <row r="2144" spans="2:5">
      <c r="B2144" s="65" t="str">
        <f t="shared" si="33"/>
        <v>doc-1926:1</v>
      </c>
      <c r="C2144" t="s">
        <v>9951</v>
      </c>
      <c r="D2144">
        <v>1</v>
      </c>
      <c r="E2144" t="s">
        <v>1221</v>
      </c>
    </row>
    <row r="2145" spans="2:5">
      <c r="B2145" s="65" t="str">
        <f t="shared" si="33"/>
        <v>doc-1926:2</v>
      </c>
      <c r="C2145" t="s">
        <v>9951</v>
      </c>
      <c r="D2145">
        <v>2</v>
      </c>
      <c r="E2145" t="s">
        <v>82</v>
      </c>
    </row>
    <row r="2146" spans="2:5">
      <c r="B2146" s="65" t="str">
        <f t="shared" si="33"/>
        <v>doc-1926:3</v>
      </c>
      <c r="C2146" t="s">
        <v>9951</v>
      </c>
      <c r="D2146">
        <v>3</v>
      </c>
      <c r="E2146" t="s">
        <v>79</v>
      </c>
    </row>
    <row r="2147" spans="2:5">
      <c r="B2147" s="65" t="str">
        <f t="shared" si="33"/>
        <v>doc-1926:4</v>
      </c>
      <c r="C2147" t="s">
        <v>9951</v>
      </c>
      <c r="D2147">
        <v>4</v>
      </c>
      <c r="E2147" t="s">
        <v>1227</v>
      </c>
    </row>
    <row r="2148" spans="2:5">
      <c r="B2148" s="65" t="str">
        <f t="shared" si="33"/>
        <v>doc-1926:5</v>
      </c>
      <c r="C2148" t="s">
        <v>9951</v>
      </c>
      <c r="D2148">
        <v>5</v>
      </c>
      <c r="E2148" t="s">
        <v>1203</v>
      </c>
    </row>
    <row r="2149" spans="2:5">
      <c r="B2149" s="65" t="str">
        <f t="shared" si="33"/>
        <v>doc-1926:6</v>
      </c>
      <c r="C2149" t="s">
        <v>9951</v>
      </c>
      <c r="D2149">
        <v>6</v>
      </c>
      <c r="E2149" t="s">
        <v>1078</v>
      </c>
    </row>
    <row r="2150" spans="2:5">
      <c r="B2150" s="65" t="str">
        <f t="shared" si="33"/>
        <v>doc-1926:7</v>
      </c>
      <c r="C2150" t="s">
        <v>9951</v>
      </c>
      <c r="D2150">
        <v>7</v>
      </c>
      <c r="E2150" t="s">
        <v>107</v>
      </c>
    </row>
    <row r="2151" spans="2:5">
      <c r="B2151" s="65" t="str">
        <f t="shared" si="33"/>
        <v>doc-1927:1</v>
      </c>
      <c r="C2151" t="s">
        <v>9952</v>
      </c>
      <c r="D2151">
        <v>1</v>
      </c>
      <c r="E2151" t="s">
        <v>1108</v>
      </c>
    </row>
    <row r="2152" spans="2:5">
      <c r="B2152" s="65" t="str">
        <f t="shared" si="33"/>
        <v>doc-1927:2</v>
      </c>
      <c r="C2152" t="s">
        <v>9952</v>
      </c>
      <c r="D2152">
        <v>2</v>
      </c>
      <c r="E2152" t="s">
        <v>2720</v>
      </c>
    </row>
    <row r="2153" spans="2:5">
      <c r="B2153" s="65" t="str">
        <f t="shared" si="33"/>
        <v>doc-1927:3</v>
      </c>
      <c r="C2153" t="s">
        <v>9952</v>
      </c>
      <c r="D2153">
        <v>3</v>
      </c>
      <c r="E2153" t="s">
        <v>1833</v>
      </c>
    </row>
    <row r="2154" spans="2:5">
      <c r="B2154" s="65" t="str">
        <f t="shared" si="33"/>
        <v>doc-1928:1</v>
      </c>
      <c r="C2154" t="s">
        <v>9953</v>
      </c>
      <c r="D2154">
        <v>1</v>
      </c>
      <c r="E2154" t="s">
        <v>2720</v>
      </c>
    </row>
    <row r="2155" spans="2:5">
      <c r="B2155" s="65" t="str">
        <f t="shared" si="33"/>
        <v>doc-1928:2</v>
      </c>
      <c r="C2155" t="s">
        <v>9953</v>
      </c>
      <c r="D2155">
        <v>2</v>
      </c>
      <c r="E2155" t="s">
        <v>2651</v>
      </c>
    </row>
    <row r="2156" spans="2:5">
      <c r="B2156" s="65" t="str">
        <f t="shared" si="33"/>
        <v>doc-1928:3</v>
      </c>
      <c r="C2156" t="s">
        <v>9953</v>
      </c>
      <c r="D2156">
        <v>3</v>
      </c>
      <c r="E2156" t="s">
        <v>2664</v>
      </c>
    </row>
    <row r="2157" spans="2:5">
      <c r="B2157" s="65" t="str">
        <f t="shared" si="33"/>
        <v>doc-1928:4</v>
      </c>
      <c r="C2157" t="s">
        <v>9953</v>
      </c>
      <c r="D2157">
        <v>4</v>
      </c>
      <c r="E2157" t="s">
        <v>1833</v>
      </c>
    </row>
    <row r="2158" spans="2:5">
      <c r="B2158" s="65" t="str">
        <f t="shared" si="33"/>
        <v>doc-1928:5</v>
      </c>
      <c r="C2158" t="s">
        <v>9953</v>
      </c>
      <c r="D2158">
        <v>5</v>
      </c>
      <c r="E2158" t="s">
        <v>1108</v>
      </c>
    </row>
    <row r="2159" spans="2:5">
      <c r="B2159" s="65" t="str">
        <f t="shared" si="33"/>
        <v>doc-1929:1</v>
      </c>
      <c r="C2159" t="s">
        <v>9954</v>
      </c>
      <c r="D2159">
        <v>1</v>
      </c>
      <c r="E2159" t="s">
        <v>2238</v>
      </c>
    </row>
    <row r="2160" spans="2:5">
      <c r="B2160" s="65" t="str">
        <f t="shared" si="33"/>
        <v>doc-1929:2</v>
      </c>
      <c r="C2160" t="s">
        <v>9954</v>
      </c>
      <c r="D2160">
        <v>2</v>
      </c>
      <c r="E2160" t="s">
        <v>2061</v>
      </c>
    </row>
    <row r="2161" spans="2:5">
      <c r="B2161" s="65" t="str">
        <f t="shared" si="33"/>
        <v>doc-1929:3</v>
      </c>
      <c r="C2161" t="s">
        <v>9954</v>
      </c>
      <c r="D2161">
        <v>3</v>
      </c>
      <c r="E2161" t="s">
        <v>3004</v>
      </c>
    </row>
    <row r="2162" spans="2:5">
      <c r="B2162" s="65" t="str">
        <f t="shared" si="33"/>
        <v>doc-1930:1</v>
      </c>
      <c r="C2162" t="s">
        <v>9955</v>
      </c>
      <c r="D2162">
        <v>1</v>
      </c>
      <c r="E2162" t="s">
        <v>2836</v>
      </c>
    </row>
    <row r="2163" spans="2:5">
      <c r="B2163" s="65" t="str">
        <f t="shared" si="33"/>
        <v>doc-1930:2</v>
      </c>
      <c r="C2163" t="s">
        <v>9955</v>
      </c>
      <c r="D2163">
        <v>2</v>
      </c>
      <c r="E2163" t="s">
        <v>2847</v>
      </c>
    </row>
    <row r="2164" spans="2:5">
      <c r="B2164" s="65" t="str">
        <f t="shared" si="33"/>
        <v>doc-1930:3</v>
      </c>
      <c r="C2164" t="s">
        <v>9955</v>
      </c>
      <c r="D2164">
        <v>3</v>
      </c>
      <c r="E2164" t="s">
        <v>2849</v>
      </c>
    </row>
    <row r="2165" spans="2:5">
      <c r="B2165" s="65" t="str">
        <f t="shared" si="33"/>
        <v>doc-1931:1</v>
      </c>
      <c r="C2165" t="s">
        <v>9956</v>
      </c>
      <c r="D2165">
        <v>1</v>
      </c>
      <c r="E2165" t="s">
        <v>1227</v>
      </c>
    </row>
    <row r="2166" spans="2:5">
      <c r="B2166" s="65" t="str">
        <f t="shared" si="33"/>
        <v>doc-1931:2</v>
      </c>
      <c r="C2166" t="s">
        <v>9956</v>
      </c>
      <c r="D2166">
        <v>2</v>
      </c>
      <c r="E2166" t="s">
        <v>79</v>
      </c>
    </row>
    <row r="2167" spans="2:5">
      <c r="B2167" s="65" t="str">
        <f t="shared" si="33"/>
        <v>doc-1933:1</v>
      </c>
      <c r="C2167" t="s">
        <v>9957</v>
      </c>
      <c r="D2167">
        <v>1</v>
      </c>
      <c r="E2167" t="s">
        <v>1321</v>
      </c>
    </row>
    <row r="2168" spans="2:5">
      <c r="B2168" s="65" t="str">
        <f t="shared" si="33"/>
        <v>doc-1933:2</v>
      </c>
      <c r="C2168" t="s">
        <v>9957</v>
      </c>
      <c r="D2168">
        <v>2</v>
      </c>
      <c r="E2168" t="s">
        <v>254</v>
      </c>
    </row>
    <row r="2169" spans="2:5">
      <c r="B2169" s="65" t="str">
        <f t="shared" si="33"/>
        <v>doc-1933:3</v>
      </c>
      <c r="C2169" t="s">
        <v>9957</v>
      </c>
      <c r="D2169">
        <v>3</v>
      </c>
      <c r="E2169" t="s">
        <v>2954</v>
      </c>
    </row>
    <row r="2170" spans="2:5">
      <c r="B2170" s="65" t="str">
        <f t="shared" si="33"/>
        <v>doc-1933:4</v>
      </c>
      <c r="C2170" t="s">
        <v>9957</v>
      </c>
      <c r="D2170">
        <v>4</v>
      </c>
      <c r="E2170" t="s">
        <v>2943</v>
      </c>
    </row>
    <row r="2171" spans="2:5">
      <c r="B2171" s="65" t="str">
        <f t="shared" si="33"/>
        <v>doc-1934:1</v>
      </c>
      <c r="C2171" t="s">
        <v>9958</v>
      </c>
      <c r="D2171">
        <v>1</v>
      </c>
      <c r="E2171" t="s">
        <v>2494</v>
      </c>
    </row>
    <row r="2172" spans="2:5">
      <c r="B2172" s="65" t="str">
        <f t="shared" si="33"/>
        <v>doc-1934:2</v>
      </c>
      <c r="C2172" t="s">
        <v>9958</v>
      </c>
      <c r="D2172">
        <v>2</v>
      </c>
      <c r="E2172" t="s">
        <v>2422</v>
      </c>
    </row>
    <row r="2173" spans="2:5">
      <c r="B2173" s="65" t="str">
        <f t="shared" si="33"/>
        <v>doc-1936:1</v>
      </c>
      <c r="C2173" t="s">
        <v>9959</v>
      </c>
      <c r="D2173">
        <v>1</v>
      </c>
      <c r="E2173" t="s">
        <v>2435</v>
      </c>
    </row>
    <row r="2174" spans="2:5">
      <c r="B2174" s="65" t="str">
        <f t="shared" si="33"/>
        <v>doc-1936:2</v>
      </c>
      <c r="C2174" t="s">
        <v>9959</v>
      </c>
      <c r="D2174">
        <v>2</v>
      </c>
      <c r="E2174" t="s">
        <v>2422</v>
      </c>
    </row>
    <row r="2175" spans="2:5">
      <c r="B2175" s="65" t="str">
        <f t="shared" si="33"/>
        <v>doc-1939:1</v>
      </c>
      <c r="C2175" t="s">
        <v>9960</v>
      </c>
      <c r="D2175">
        <v>1</v>
      </c>
      <c r="E2175" t="s">
        <v>1179</v>
      </c>
    </row>
    <row r="2176" spans="2:5">
      <c r="B2176" s="65" t="str">
        <f t="shared" si="33"/>
        <v>doc-1939:2</v>
      </c>
      <c r="C2176" t="s">
        <v>9960</v>
      </c>
      <c r="D2176">
        <v>2</v>
      </c>
      <c r="E2176" t="s">
        <v>2849</v>
      </c>
    </row>
    <row r="2177" spans="2:5">
      <c r="B2177" s="65" t="str">
        <f t="shared" si="33"/>
        <v>doc-1939:3</v>
      </c>
      <c r="C2177" t="s">
        <v>9960</v>
      </c>
      <c r="D2177">
        <v>3</v>
      </c>
      <c r="E2177" t="s">
        <v>1171</v>
      </c>
    </row>
    <row r="2178" spans="2:5">
      <c r="B2178" s="65" t="str">
        <f t="shared" si="33"/>
        <v>doc-1939:4</v>
      </c>
      <c r="C2178" t="s">
        <v>9960</v>
      </c>
      <c r="D2178">
        <v>4</v>
      </c>
      <c r="E2178" t="s">
        <v>2510</v>
      </c>
    </row>
    <row r="2179" spans="2:5">
      <c r="B2179" s="65" t="str">
        <f t="shared" si="33"/>
        <v>doc-1939:5</v>
      </c>
      <c r="C2179" t="s">
        <v>9960</v>
      </c>
      <c r="D2179">
        <v>5</v>
      </c>
      <c r="E2179" t="s">
        <v>2519</v>
      </c>
    </row>
    <row r="2180" spans="2:5">
      <c r="B2180" s="65" t="str">
        <f t="shared" ref="B2180:B2243" si="34">$C2180&amp;":"&amp;$D2180</f>
        <v>doc-1939:6</v>
      </c>
      <c r="C2180" t="s">
        <v>9960</v>
      </c>
      <c r="D2180">
        <v>6</v>
      </c>
      <c r="E2180" t="s">
        <v>1858</v>
      </c>
    </row>
    <row r="2181" spans="2:5">
      <c r="B2181" s="65" t="str">
        <f t="shared" si="34"/>
        <v>doc-1939:7</v>
      </c>
      <c r="C2181" t="s">
        <v>9960</v>
      </c>
      <c r="D2181">
        <v>7</v>
      </c>
      <c r="E2181" t="s">
        <v>2515</v>
      </c>
    </row>
    <row r="2182" spans="2:5">
      <c r="B2182" s="65" t="str">
        <f t="shared" si="34"/>
        <v>doc-1939:8</v>
      </c>
      <c r="C2182" t="s">
        <v>9960</v>
      </c>
      <c r="D2182">
        <v>8</v>
      </c>
      <c r="E2182" t="s">
        <v>2860</v>
      </c>
    </row>
    <row r="2183" spans="2:5">
      <c r="B2183" s="65" t="str">
        <f t="shared" si="34"/>
        <v>doc-1941:1</v>
      </c>
      <c r="C2183" t="s">
        <v>6072</v>
      </c>
      <c r="D2183">
        <v>1</v>
      </c>
      <c r="E2183" t="s">
        <v>1401</v>
      </c>
    </row>
    <row r="2184" spans="2:5">
      <c r="B2184" s="65" t="str">
        <f t="shared" si="34"/>
        <v>doc-1941:2</v>
      </c>
      <c r="C2184" t="s">
        <v>6072</v>
      </c>
      <c r="D2184">
        <v>2</v>
      </c>
      <c r="E2184" t="s">
        <v>1378</v>
      </c>
    </row>
    <row r="2185" spans="2:5">
      <c r="B2185" s="65" t="str">
        <f t="shared" si="34"/>
        <v>doc-1952a:1</v>
      </c>
      <c r="C2185" t="s">
        <v>9961</v>
      </c>
      <c r="D2185">
        <v>1</v>
      </c>
      <c r="E2185" t="s">
        <v>73</v>
      </c>
    </row>
    <row r="2186" spans="2:5">
      <c r="B2186" s="65" t="str">
        <f t="shared" si="34"/>
        <v>doc-1952a:2</v>
      </c>
      <c r="C2186" t="s">
        <v>9961</v>
      </c>
      <c r="D2186">
        <v>2</v>
      </c>
      <c r="E2186" t="s">
        <v>87</v>
      </c>
    </row>
    <row r="2187" spans="2:5">
      <c r="B2187" s="65" t="str">
        <f t="shared" si="34"/>
        <v>doc-1952a:3</v>
      </c>
      <c r="C2187" t="s">
        <v>9961</v>
      </c>
      <c r="D2187">
        <v>3</v>
      </c>
      <c r="E2187" t="s">
        <v>79</v>
      </c>
    </row>
    <row r="2188" spans="2:5">
      <c r="B2188" s="65" t="str">
        <f t="shared" si="34"/>
        <v>doc-1952a:4</v>
      </c>
      <c r="C2188" t="s">
        <v>9961</v>
      </c>
      <c r="D2188">
        <v>4</v>
      </c>
      <c r="E2188" t="s">
        <v>82</v>
      </c>
    </row>
    <row r="2189" spans="2:5">
      <c r="B2189" s="65" t="str">
        <f t="shared" si="34"/>
        <v>doc-1952a:5</v>
      </c>
      <c r="C2189" t="s">
        <v>9961</v>
      </c>
      <c r="D2189">
        <v>5</v>
      </c>
      <c r="E2189" t="s">
        <v>90</v>
      </c>
    </row>
    <row r="2190" spans="2:5">
      <c r="B2190" s="65" t="str">
        <f t="shared" si="34"/>
        <v>doc-1952a:6</v>
      </c>
      <c r="C2190" t="s">
        <v>9961</v>
      </c>
      <c r="D2190">
        <v>6</v>
      </c>
      <c r="E2190" t="s">
        <v>107</v>
      </c>
    </row>
    <row r="2191" spans="2:5">
      <c r="B2191" s="65" t="str">
        <f t="shared" si="34"/>
        <v>doc-1954:1</v>
      </c>
      <c r="C2191" t="s">
        <v>9962</v>
      </c>
      <c r="D2191">
        <v>1</v>
      </c>
      <c r="E2191" t="s">
        <v>2720</v>
      </c>
    </row>
    <row r="2192" spans="2:5">
      <c r="B2192" s="65" t="str">
        <f t="shared" si="34"/>
        <v>doc-1954:2</v>
      </c>
      <c r="C2192" t="s">
        <v>9962</v>
      </c>
      <c r="D2192">
        <v>2</v>
      </c>
      <c r="E2192" t="s">
        <v>2651</v>
      </c>
    </row>
    <row r="2193" spans="2:5">
      <c r="B2193" s="65" t="str">
        <f t="shared" si="34"/>
        <v>doc-1954:3</v>
      </c>
      <c r="C2193" t="s">
        <v>9962</v>
      </c>
      <c r="D2193">
        <v>3</v>
      </c>
      <c r="E2193" t="s">
        <v>2664</v>
      </c>
    </row>
    <row r="2194" spans="2:5">
      <c r="B2194" s="65" t="str">
        <f t="shared" si="34"/>
        <v>doc-1954:4</v>
      </c>
      <c r="C2194" t="s">
        <v>9962</v>
      </c>
      <c r="D2194">
        <v>4</v>
      </c>
      <c r="E2194" t="s">
        <v>1833</v>
      </c>
    </row>
    <row r="2195" spans="2:5">
      <c r="B2195" s="65" t="str">
        <f t="shared" si="34"/>
        <v>doc-1954:5</v>
      </c>
      <c r="C2195" t="s">
        <v>9962</v>
      </c>
      <c r="D2195">
        <v>5</v>
      </c>
      <c r="E2195" t="s">
        <v>1108</v>
      </c>
    </row>
    <row r="2196" spans="2:5">
      <c r="B2196" s="65" t="str">
        <f t="shared" si="34"/>
        <v>doc-1959:1</v>
      </c>
      <c r="C2196" t="s">
        <v>9963</v>
      </c>
      <c r="D2196">
        <v>1</v>
      </c>
      <c r="E2196" t="s">
        <v>3061</v>
      </c>
    </row>
    <row r="2197" spans="2:5">
      <c r="B2197" s="65" t="str">
        <f t="shared" si="34"/>
        <v>doc-1990:1</v>
      </c>
      <c r="C2197" t="s">
        <v>9964</v>
      </c>
      <c r="D2197">
        <v>1</v>
      </c>
      <c r="E2197" t="s">
        <v>82</v>
      </c>
    </row>
    <row r="2198" spans="2:5">
      <c r="B2198" s="65" t="str">
        <f t="shared" si="34"/>
        <v>doc-1996:1</v>
      </c>
      <c r="C2198" t="s">
        <v>5975</v>
      </c>
      <c r="D2198">
        <v>1</v>
      </c>
      <c r="E2198" t="s">
        <v>2501</v>
      </c>
    </row>
    <row r="2199" spans="2:5">
      <c r="B2199" s="65" t="str">
        <f t="shared" si="34"/>
        <v>doc-1996:2</v>
      </c>
      <c r="C2199" t="s">
        <v>5975</v>
      </c>
      <c r="D2199">
        <v>2</v>
      </c>
      <c r="E2199" t="s">
        <v>2435</v>
      </c>
    </row>
    <row r="2200" spans="2:5">
      <c r="B2200" s="65" t="str">
        <f t="shared" si="34"/>
        <v>doc-1996:3</v>
      </c>
      <c r="C2200" t="s">
        <v>5975</v>
      </c>
      <c r="D2200">
        <v>3</v>
      </c>
      <c r="E2200" t="s">
        <v>2422</v>
      </c>
    </row>
    <row r="2201" spans="2:5">
      <c r="B2201" s="65" t="str">
        <f t="shared" si="34"/>
        <v>doc-1997:1</v>
      </c>
      <c r="C2201" t="s">
        <v>9965</v>
      </c>
      <c r="D2201">
        <v>1</v>
      </c>
      <c r="E2201" t="s">
        <v>2302</v>
      </c>
    </row>
    <row r="2202" spans="2:5">
      <c r="B2202" s="65" t="str">
        <f t="shared" si="34"/>
        <v>doc-1997:2</v>
      </c>
      <c r="C2202" t="s">
        <v>9965</v>
      </c>
      <c r="D2202">
        <v>2</v>
      </c>
      <c r="E2202" t="s">
        <v>1395</v>
      </c>
    </row>
    <row r="2203" spans="2:5">
      <c r="B2203" s="65" t="str">
        <f t="shared" si="34"/>
        <v>doc-1997:3</v>
      </c>
      <c r="C2203" t="s">
        <v>9965</v>
      </c>
      <c r="D2203">
        <v>3</v>
      </c>
      <c r="E2203" t="s">
        <v>1349</v>
      </c>
    </row>
    <row r="2204" spans="2:5">
      <c r="B2204" s="65" t="str">
        <f t="shared" si="34"/>
        <v>doc-1997:4</v>
      </c>
      <c r="C2204" t="s">
        <v>9965</v>
      </c>
      <c r="D2204">
        <v>4</v>
      </c>
      <c r="E2204" t="s">
        <v>281</v>
      </c>
    </row>
    <row r="2205" spans="2:5">
      <c r="B2205" s="65" t="str">
        <f t="shared" si="34"/>
        <v>doc-1998:1</v>
      </c>
      <c r="C2205" t="s">
        <v>9966</v>
      </c>
      <c r="D2205">
        <v>1</v>
      </c>
      <c r="E2205" t="s">
        <v>3061</v>
      </c>
    </row>
    <row r="2206" spans="2:5">
      <c r="B2206" s="65" t="str">
        <f t="shared" si="34"/>
        <v>doc-1999:1</v>
      </c>
      <c r="C2206" t="s">
        <v>9967</v>
      </c>
      <c r="D2206">
        <v>1</v>
      </c>
      <c r="E2206" t="s">
        <v>3061</v>
      </c>
    </row>
    <row r="2207" spans="2:5">
      <c r="B2207" s="65" t="str">
        <f t="shared" si="34"/>
        <v>doc-1999:2</v>
      </c>
      <c r="C2207" t="s">
        <v>9967</v>
      </c>
      <c r="D2207">
        <v>2</v>
      </c>
      <c r="E2207" t="s">
        <v>254</v>
      </c>
    </row>
    <row r="2208" spans="2:5">
      <c r="B2208" s="65" t="str">
        <f t="shared" si="34"/>
        <v>doc-1999:3</v>
      </c>
      <c r="C2208" t="s">
        <v>9967</v>
      </c>
      <c r="D2208">
        <v>3</v>
      </c>
      <c r="E2208" t="s">
        <v>1790</v>
      </c>
    </row>
    <row r="2209" spans="2:5">
      <c r="B2209" s="65" t="str">
        <f t="shared" si="34"/>
        <v>doc-2001:1</v>
      </c>
      <c r="C2209" t="s">
        <v>5983</v>
      </c>
      <c r="D2209">
        <v>1</v>
      </c>
      <c r="E2209" t="s">
        <v>3061</v>
      </c>
    </row>
    <row r="2210" spans="2:5">
      <c r="B2210" s="65" t="str">
        <f t="shared" si="34"/>
        <v>doc-2001:2</v>
      </c>
      <c r="C2210" t="s">
        <v>5983</v>
      </c>
      <c r="D2210">
        <v>2</v>
      </c>
      <c r="E2210" t="s">
        <v>254</v>
      </c>
    </row>
    <row r="2211" spans="2:5">
      <c r="B2211" s="65" t="str">
        <f t="shared" si="34"/>
        <v>doc-2003:1</v>
      </c>
      <c r="C2211" t="s">
        <v>9968</v>
      </c>
      <c r="D2211">
        <v>1</v>
      </c>
      <c r="E2211" t="s">
        <v>2810</v>
      </c>
    </row>
    <row r="2212" spans="2:5">
      <c r="B2212" s="65" t="str">
        <f t="shared" si="34"/>
        <v>doc-2003:2</v>
      </c>
      <c r="C2212" t="s">
        <v>9968</v>
      </c>
      <c r="D2212">
        <v>2</v>
      </c>
      <c r="E2212" t="s">
        <v>2805</v>
      </c>
    </row>
    <row r="2213" spans="2:5">
      <c r="B2213" s="65" t="str">
        <f t="shared" si="34"/>
        <v>doc-2003:3</v>
      </c>
      <c r="C2213" t="s">
        <v>9968</v>
      </c>
      <c r="D2213">
        <v>3</v>
      </c>
      <c r="E2213" t="s">
        <v>2799</v>
      </c>
    </row>
    <row r="2214" spans="2:5">
      <c r="B2214" s="65" t="str">
        <f t="shared" si="34"/>
        <v>doc-2003:4</v>
      </c>
      <c r="C2214" t="s">
        <v>9968</v>
      </c>
      <c r="D2214">
        <v>4</v>
      </c>
      <c r="E2214" t="s">
        <v>1941</v>
      </c>
    </row>
    <row r="2215" spans="2:5">
      <c r="B2215" s="65" t="str">
        <f t="shared" si="34"/>
        <v>doc-2005:1</v>
      </c>
      <c r="C2215" t="s">
        <v>9969</v>
      </c>
      <c r="D2215">
        <v>1</v>
      </c>
      <c r="E2215" t="s">
        <v>73</v>
      </c>
    </row>
    <row r="2216" spans="2:5">
      <c r="B2216" s="65" t="str">
        <f t="shared" si="34"/>
        <v>doc-2005:2</v>
      </c>
      <c r="C2216" t="s">
        <v>9969</v>
      </c>
      <c r="D2216">
        <v>2</v>
      </c>
      <c r="E2216" t="s">
        <v>79</v>
      </c>
    </row>
    <row r="2217" spans="2:5">
      <c r="B2217" s="65" t="str">
        <f t="shared" si="34"/>
        <v>doc-2005:3</v>
      </c>
      <c r="C2217" t="s">
        <v>9969</v>
      </c>
      <c r="D2217">
        <v>3</v>
      </c>
      <c r="E2217" t="s">
        <v>3061</v>
      </c>
    </row>
    <row r="2218" spans="2:5">
      <c r="B2218" s="65" t="str">
        <f t="shared" si="34"/>
        <v>doc-2005:4</v>
      </c>
      <c r="C2218" t="s">
        <v>9969</v>
      </c>
      <c r="D2218">
        <v>4</v>
      </c>
      <c r="E2218" t="s">
        <v>281</v>
      </c>
    </row>
    <row r="2219" spans="2:5">
      <c r="B2219" s="65" t="str">
        <f t="shared" si="34"/>
        <v>doc-2005:5</v>
      </c>
      <c r="C2219" t="s">
        <v>9969</v>
      </c>
      <c r="D2219">
        <v>5</v>
      </c>
      <c r="E2219" t="s">
        <v>2664</v>
      </c>
    </row>
    <row r="2220" spans="2:5">
      <c r="B2220" s="65" t="str">
        <f t="shared" si="34"/>
        <v>doc-2005:6</v>
      </c>
      <c r="C2220" t="s">
        <v>9969</v>
      </c>
      <c r="D2220">
        <v>6</v>
      </c>
      <c r="E2220" t="s">
        <v>1550</v>
      </c>
    </row>
    <row r="2221" spans="2:5">
      <c r="B2221" s="65" t="str">
        <f t="shared" si="34"/>
        <v>doc-2005:7</v>
      </c>
      <c r="C2221" t="s">
        <v>9969</v>
      </c>
      <c r="D2221">
        <v>7</v>
      </c>
      <c r="E2221" t="s">
        <v>107</v>
      </c>
    </row>
    <row r="2222" spans="2:5">
      <c r="B2222" s="65" t="str">
        <f t="shared" si="34"/>
        <v>doc-2006:1</v>
      </c>
      <c r="C2222" t="s">
        <v>5990</v>
      </c>
      <c r="D2222">
        <v>1</v>
      </c>
      <c r="E2222" t="s">
        <v>73</v>
      </c>
    </row>
    <row r="2223" spans="2:5">
      <c r="B2223" s="65" t="str">
        <f t="shared" si="34"/>
        <v>doc-2006:2</v>
      </c>
      <c r="C2223" t="s">
        <v>5990</v>
      </c>
      <c r="D2223">
        <v>2</v>
      </c>
      <c r="E2223" t="s">
        <v>299</v>
      </c>
    </row>
    <row r="2224" spans="2:5">
      <c r="B2224" s="65" t="str">
        <f t="shared" si="34"/>
        <v>doc-2006:3</v>
      </c>
      <c r="C2224" t="s">
        <v>5990</v>
      </c>
      <c r="D2224">
        <v>3</v>
      </c>
      <c r="E2224" t="s">
        <v>90</v>
      </c>
    </row>
    <row r="2225" spans="2:5">
      <c r="B2225" s="65" t="str">
        <f t="shared" si="34"/>
        <v>doc-2006:4</v>
      </c>
      <c r="C2225" t="s">
        <v>5990</v>
      </c>
      <c r="D2225">
        <v>4</v>
      </c>
      <c r="E2225" t="s">
        <v>87</v>
      </c>
    </row>
    <row r="2226" spans="2:5">
      <c r="B2226" s="65" t="str">
        <f t="shared" si="34"/>
        <v>doc-2006:5</v>
      </c>
      <c r="C2226" t="s">
        <v>5990</v>
      </c>
      <c r="D2226">
        <v>5</v>
      </c>
      <c r="E2226" t="s">
        <v>2954</v>
      </c>
    </row>
    <row r="2227" spans="2:5">
      <c r="B2227" s="65" t="str">
        <f t="shared" si="34"/>
        <v>doc-2006:6</v>
      </c>
      <c r="C2227" t="s">
        <v>5990</v>
      </c>
      <c r="D2227">
        <v>6</v>
      </c>
      <c r="E2227" t="s">
        <v>107</v>
      </c>
    </row>
    <row r="2228" spans="2:5">
      <c r="B2228" s="65" t="str">
        <f t="shared" si="34"/>
        <v>doc-2007:1</v>
      </c>
      <c r="C2228" t="s">
        <v>9970</v>
      </c>
      <c r="D2228">
        <v>1</v>
      </c>
      <c r="E2228" t="s">
        <v>2485</v>
      </c>
    </row>
    <row r="2229" spans="2:5">
      <c r="B2229" s="65" t="str">
        <f t="shared" si="34"/>
        <v>doc-2007:2</v>
      </c>
      <c r="C2229" t="s">
        <v>9970</v>
      </c>
      <c r="D2229">
        <v>2</v>
      </c>
      <c r="E2229" t="s">
        <v>2435</v>
      </c>
    </row>
    <row r="2230" spans="2:5">
      <c r="B2230" s="65" t="str">
        <f t="shared" si="34"/>
        <v>doc-2007:3</v>
      </c>
      <c r="C2230" t="s">
        <v>9970</v>
      </c>
      <c r="D2230">
        <v>3</v>
      </c>
      <c r="E2230" t="s">
        <v>2422</v>
      </c>
    </row>
    <row r="2231" spans="2:5">
      <c r="B2231" s="65" t="str">
        <f t="shared" si="34"/>
        <v>doc-2011:1</v>
      </c>
      <c r="C2231" t="s">
        <v>9971</v>
      </c>
      <c r="D2231">
        <v>1</v>
      </c>
      <c r="E2231" t="s">
        <v>2519</v>
      </c>
    </row>
    <row r="2232" spans="2:5">
      <c r="B2232" s="65" t="str">
        <f t="shared" si="34"/>
        <v>doc-2011:2</v>
      </c>
      <c r="C2232" t="s">
        <v>9971</v>
      </c>
      <c r="D2232">
        <v>2</v>
      </c>
      <c r="E2232" t="s">
        <v>2510</v>
      </c>
    </row>
    <row r="2233" spans="2:5">
      <c r="B2233" s="65" t="str">
        <f t="shared" si="34"/>
        <v>doc-2011:3</v>
      </c>
      <c r="C2233" t="s">
        <v>9971</v>
      </c>
      <c r="D2233">
        <v>3</v>
      </c>
      <c r="E2233" t="s">
        <v>2515</v>
      </c>
    </row>
    <row r="2234" spans="2:5">
      <c r="B2234" s="65" t="str">
        <f t="shared" si="34"/>
        <v>doc-2011:4</v>
      </c>
      <c r="C2234" t="s">
        <v>9971</v>
      </c>
      <c r="D2234">
        <v>4</v>
      </c>
      <c r="E2234" t="s">
        <v>1179</v>
      </c>
    </row>
    <row r="2235" spans="2:5">
      <c r="B2235" s="65" t="str">
        <f t="shared" si="34"/>
        <v>doc-2011:5</v>
      </c>
      <c r="C2235" t="s">
        <v>9971</v>
      </c>
      <c r="D2235">
        <v>5</v>
      </c>
      <c r="E2235" t="s">
        <v>1171</v>
      </c>
    </row>
    <row r="2236" spans="2:5">
      <c r="B2236" s="65" t="str">
        <f t="shared" si="34"/>
        <v>doc-2013:1</v>
      </c>
      <c r="C2236" t="s">
        <v>9972</v>
      </c>
      <c r="D2236">
        <v>1</v>
      </c>
      <c r="E2236" t="s">
        <v>2359</v>
      </c>
    </row>
    <row r="2237" spans="2:5">
      <c r="B2237" s="65" t="str">
        <f t="shared" si="34"/>
        <v>doc-2013:2</v>
      </c>
      <c r="C2237" t="s">
        <v>9972</v>
      </c>
      <c r="D2237">
        <v>2</v>
      </c>
      <c r="E2237" t="s">
        <v>1773</v>
      </c>
    </row>
    <row r="2238" spans="2:5">
      <c r="B2238" s="65" t="str">
        <f t="shared" si="34"/>
        <v>doc-2013:3</v>
      </c>
      <c r="C2238" t="s">
        <v>9972</v>
      </c>
      <c r="D2238">
        <v>3</v>
      </c>
      <c r="E2238" t="s">
        <v>101</v>
      </c>
    </row>
    <row r="2239" spans="2:5">
      <c r="B2239" s="65" t="str">
        <f t="shared" si="34"/>
        <v>doc-2013:4</v>
      </c>
      <c r="C2239" t="s">
        <v>9972</v>
      </c>
      <c r="D2239">
        <v>4</v>
      </c>
      <c r="E2239" t="s">
        <v>1343</v>
      </c>
    </row>
    <row r="2240" spans="2:5">
      <c r="B2240" s="65" t="str">
        <f t="shared" si="34"/>
        <v>doc-2014:1</v>
      </c>
      <c r="C2240" t="s">
        <v>9973</v>
      </c>
      <c r="D2240">
        <v>1</v>
      </c>
      <c r="E2240" t="s">
        <v>1773</v>
      </c>
    </row>
    <row r="2241" spans="2:5">
      <c r="B2241" s="65" t="str">
        <f t="shared" si="34"/>
        <v>doc-2014:2</v>
      </c>
      <c r="C2241" t="s">
        <v>9973</v>
      </c>
      <c r="D2241">
        <v>2</v>
      </c>
      <c r="E2241" t="s">
        <v>101</v>
      </c>
    </row>
    <row r="2242" spans="2:5">
      <c r="B2242" s="65" t="str">
        <f t="shared" si="34"/>
        <v>doc-2014:3</v>
      </c>
      <c r="C2242" t="s">
        <v>9973</v>
      </c>
      <c r="D2242">
        <v>3</v>
      </c>
      <c r="E2242" t="s">
        <v>92</v>
      </c>
    </row>
    <row r="2243" spans="2:5">
      <c r="B2243" s="65" t="str">
        <f t="shared" si="34"/>
        <v>doc-2014:4</v>
      </c>
      <c r="C2243" t="s">
        <v>9973</v>
      </c>
      <c r="D2243">
        <v>4</v>
      </c>
      <c r="E2243" t="s">
        <v>1343</v>
      </c>
    </row>
    <row r="2244" spans="2:5">
      <c r="B2244" s="65" t="str">
        <f t="shared" ref="B2244:B2307" si="35">$C2244&amp;":"&amp;$D2244</f>
        <v>doc-2014:5</v>
      </c>
      <c r="C2244" t="s">
        <v>9973</v>
      </c>
      <c r="D2244">
        <v>5</v>
      </c>
      <c r="E2244" t="s">
        <v>1352</v>
      </c>
    </row>
    <row r="2245" spans="2:5">
      <c r="B2245" s="65" t="str">
        <f t="shared" si="35"/>
        <v>doc-2014:6</v>
      </c>
      <c r="C2245" t="s">
        <v>9973</v>
      </c>
      <c r="D2245">
        <v>6</v>
      </c>
      <c r="E2245" t="s">
        <v>2422</v>
      </c>
    </row>
    <row r="2246" spans="2:5">
      <c r="B2246" s="65" t="str">
        <f t="shared" si="35"/>
        <v>doc-2015a:1</v>
      </c>
      <c r="C2246" t="s">
        <v>9974</v>
      </c>
      <c r="D2246">
        <v>1</v>
      </c>
      <c r="E2246" t="s">
        <v>1773</v>
      </c>
    </row>
    <row r="2247" spans="2:5">
      <c r="B2247" s="65" t="str">
        <f t="shared" si="35"/>
        <v>doc-2015a:2</v>
      </c>
      <c r="C2247" t="s">
        <v>9974</v>
      </c>
      <c r="D2247">
        <v>2</v>
      </c>
      <c r="E2247" t="s">
        <v>101</v>
      </c>
    </row>
    <row r="2248" spans="2:5">
      <c r="B2248" s="65" t="str">
        <f t="shared" si="35"/>
        <v>doc-2015a:3</v>
      </c>
      <c r="C2248" t="s">
        <v>9974</v>
      </c>
      <c r="D2248">
        <v>3</v>
      </c>
      <c r="E2248" t="s">
        <v>92</v>
      </c>
    </row>
    <row r="2249" spans="2:5">
      <c r="B2249" s="65" t="str">
        <f t="shared" si="35"/>
        <v>doc-2015a:4</v>
      </c>
      <c r="C2249" t="s">
        <v>9974</v>
      </c>
      <c r="D2249">
        <v>4</v>
      </c>
      <c r="E2249" t="s">
        <v>1343</v>
      </c>
    </row>
    <row r="2250" spans="2:5">
      <c r="B2250" s="65" t="str">
        <f t="shared" si="35"/>
        <v>doc-2015a:5</v>
      </c>
      <c r="C2250" t="s">
        <v>9974</v>
      </c>
      <c r="D2250">
        <v>5</v>
      </c>
      <c r="E2250" t="s">
        <v>1352</v>
      </c>
    </row>
    <row r="2251" spans="2:5">
      <c r="B2251" s="65" t="str">
        <f t="shared" si="35"/>
        <v>doc-2015a:6</v>
      </c>
      <c r="C2251" t="s">
        <v>9974</v>
      </c>
      <c r="D2251">
        <v>6</v>
      </c>
      <c r="E2251" t="s">
        <v>2422</v>
      </c>
    </row>
    <row r="2252" spans="2:5">
      <c r="B2252" s="65" t="str">
        <f t="shared" si="35"/>
        <v>doc-2016:1</v>
      </c>
      <c r="C2252" t="s">
        <v>9975</v>
      </c>
      <c r="D2252">
        <v>1</v>
      </c>
      <c r="E2252" t="s">
        <v>1346</v>
      </c>
    </row>
    <row r="2253" spans="2:5">
      <c r="B2253" s="65" t="str">
        <f t="shared" si="35"/>
        <v>doc-2016:2</v>
      </c>
      <c r="C2253" t="s">
        <v>9975</v>
      </c>
      <c r="D2253">
        <v>2</v>
      </c>
      <c r="E2253" t="s">
        <v>1343</v>
      </c>
    </row>
    <row r="2254" spans="2:5">
      <c r="B2254" s="65" t="str">
        <f t="shared" si="35"/>
        <v>doc-2016:3</v>
      </c>
      <c r="C2254" t="s">
        <v>9975</v>
      </c>
      <c r="D2254">
        <v>3</v>
      </c>
      <c r="E2254" t="s">
        <v>1355</v>
      </c>
    </row>
    <row r="2255" spans="2:5">
      <c r="B2255" s="65" t="str">
        <f t="shared" si="35"/>
        <v>doc-2016:4</v>
      </c>
      <c r="C2255" t="s">
        <v>9975</v>
      </c>
      <c r="D2255">
        <v>4</v>
      </c>
      <c r="E2255" t="s">
        <v>1352</v>
      </c>
    </row>
    <row r="2256" spans="2:5">
      <c r="B2256" s="65" t="str">
        <f t="shared" si="35"/>
        <v>doc-2016:5</v>
      </c>
      <c r="C2256" t="s">
        <v>9975</v>
      </c>
      <c r="D2256">
        <v>5</v>
      </c>
      <c r="E2256" t="s">
        <v>92</v>
      </c>
    </row>
    <row r="2257" spans="2:5">
      <c r="B2257" s="65" t="str">
        <f t="shared" si="35"/>
        <v>doc-2016:6</v>
      </c>
      <c r="C2257" t="s">
        <v>9975</v>
      </c>
      <c r="D2257">
        <v>6</v>
      </c>
      <c r="E2257" t="s">
        <v>1773</v>
      </c>
    </row>
    <row r="2258" spans="2:5">
      <c r="B2258" s="65" t="str">
        <f t="shared" si="35"/>
        <v>doc-2016:7</v>
      </c>
      <c r="C2258" t="s">
        <v>9975</v>
      </c>
      <c r="D2258">
        <v>7</v>
      </c>
      <c r="E2258" t="s">
        <v>101</v>
      </c>
    </row>
    <row r="2259" spans="2:5">
      <c r="B2259" s="65" t="str">
        <f t="shared" si="35"/>
        <v>doc-2017:1</v>
      </c>
      <c r="C2259" t="s">
        <v>9976</v>
      </c>
      <c r="D2259">
        <v>1</v>
      </c>
      <c r="E2259" t="s">
        <v>1352</v>
      </c>
    </row>
    <row r="2260" spans="2:5">
      <c r="B2260" s="65" t="str">
        <f t="shared" si="35"/>
        <v>doc-2017:2</v>
      </c>
      <c r="C2260" t="s">
        <v>9976</v>
      </c>
      <c r="D2260">
        <v>2</v>
      </c>
      <c r="E2260" t="s">
        <v>1343</v>
      </c>
    </row>
    <row r="2261" spans="2:5">
      <c r="B2261" s="65" t="str">
        <f t="shared" si="35"/>
        <v>doc-2017:3</v>
      </c>
      <c r="C2261" t="s">
        <v>9976</v>
      </c>
      <c r="D2261">
        <v>3</v>
      </c>
      <c r="E2261" t="s">
        <v>1346</v>
      </c>
    </row>
    <row r="2262" spans="2:5">
      <c r="B2262" s="65" t="str">
        <f t="shared" si="35"/>
        <v>doc-2017:4</v>
      </c>
      <c r="C2262" t="s">
        <v>9976</v>
      </c>
      <c r="D2262">
        <v>4</v>
      </c>
      <c r="E2262" t="s">
        <v>1773</v>
      </c>
    </row>
    <row r="2263" spans="2:5">
      <c r="B2263" s="65" t="str">
        <f t="shared" si="35"/>
        <v>doc-2017:5</v>
      </c>
      <c r="C2263" t="s">
        <v>9976</v>
      </c>
      <c r="D2263">
        <v>5</v>
      </c>
      <c r="E2263" t="s">
        <v>101</v>
      </c>
    </row>
    <row r="2264" spans="2:5">
      <c r="B2264" s="65" t="str">
        <f t="shared" si="35"/>
        <v>doc-2017:6</v>
      </c>
      <c r="C2264" t="s">
        <v>9976</v>
      </c>
      <c r="D2264">
        <v>6</v>
      </c>
      <c r="E2264" t="s">
        <v>92</v>
      </c>
    </row>
    <row r="2265" spans="2:5">
      <c r="B2265" s="65" t="str">
        <f t="shared" si="35"/>
        <v>doc-2018:1</v>
      </c>
      <c r="C2265" t="s">
        <v>9977</v>
      </c>
      <c r="D2265">
        <v>1</v>
      </c>
      <c r="E2265" t="s">
        <v>2148</v>
      </c>
    </row>
    <row r="2266" spans="2:5">
      <c r="B2266" s="65" t="str">
        <f t="shared" si="35"/>
        <v>doc-2018:2</v>
      </c>
      <c r="C2266" t="s">
        <v>9977</v>
      </c>
      <c r="D2266">
        <v>2</v>
      </c>
      <c r="E2266" t="s">
        <v>2064</v>
      </c>
    </row>
    <row r="2267" spans="2:5">
      <c r="B2267" s="65" t="str">
        <f t="shared" si="35"/>
        <v>doc-2018:3</v>
      </c>
      <c r="C2267" t="s">
        <v>9977</v>
      </c>
      <c r="D2267">
        <v>3</v>
      </c>
      <c r="E2267" t="s">
        <v>1813</v>
      </c>
    </row>
    <row r="2268" spans="2:5">
      <c r="B2268" s="65" t="str">
        <f t="shared" si="35"/>
        <v>doc-2021:1</v>
      </c>
      <c r="C2268" t="s">
        <v>9978</v>
      </c>
      <c r="D2268">
        <v>1</v>
      </c>
      <c r="E2268" t="s">
        <v>2101</v>
      </c>
    </row>
    <row r="2269" spans="2:5">
      <c r="B2269" s="65" t="str">
        <f t="shared" si="35"/>
        <v>doc-2021:2</v>
      </c>
      <c r="C2269" t="s">
        <v>9978</v>
      </c>
      <c r="D2269">
        <v>2</v>
      </c>
      <c r="E2269" t="s">
        <v>1833</v>
      </c>
    </row>
    <row r="2270" spans="2:5">
      <c r="B2270" s="65" t="str">
        <f t="shared" si="35"/>
        <v>doc-2022:1</v>
      </c>
      <c r="C2270" t="s">
        <v>9979</v>
      </c>
      <c r="D2270">
        <v>1</v>
      </c>
      <c r="E2270" t="s">
        <v>2720</v>
      </c>
    </row>
    <row r="2271" spans="2:5">
      <c r="B2271" s="65" t="str">
        <f t="shared" si="35"/>
        <v>doc-2022:2</v>
      </c>
      <c r="C2271" t="s">
        <v>9979</v>
      </c>
      <c r="D2271">
        <v>2</v>
      </c>
      <c r="E2271" t="s">
        <v>2651</v>
      </c>
    </row>
    <row r="2272" spans="2:5">
      <c r="B2272" s="65" t="str">
        <f t="shared" si="35"/>
        <v>doc-2022:3</v>
      </c>
      <c r="C2272" t="s">
        <v>9979</v>
      </c>
      <c r="D2272">
        <v>3</v>
      </c>
      <c r="E2272" t="s">
        <v>2664</v>
      </c>
    </row>
    <row r="2273" spans="2:5">
      <c r="B2273" s="65" t="str">
        <f t="shared" si="35"/>
        <v>doc-2022:4</v>
      </c>
      <c r="C2273" t="s">
        <v>9979</v>
      </c>
      <c r="D2273">
        <v>4</v>
      </c>
      <c r="E2273" t="s">
        <v>1833</v>
      </c>
    </row>
    <row r="2274" spans="2:5">
      <c r="B2274" s="65" t="str">
        <f t="shared" si="35"/>
        <v>doc-2022:5</v>
      </c>
      <c r="C2274" t="s">
        <v>9979</v>
      </c>
      <c r="D2274">
        <v>5</v>
      </c>
      <c r="E2274" t="s">
        <v>1108</v>
      </c>
    </row>
    <row r="2275" spans="2:5">
      <c r="B2275" s="65" t="str">
        <f t="shared" si="35"/>
        <v>doc-2023:1</v>
      </c>
      <c r="C2275" t="s">
        <v>9980</v>
      </c>
      <c r="D2275">
        <v>1</v>
      </c>
      <c r="E2275" t="s">
        <v>1833</v>
      </c>
    </row>
    <row r="2276" spans="2:5">
      <c r="B2276" s="65" t="str">
        <f t="shared" si="35"/>
        <v>doc-2023:2</v>
      </c>
      <c r="C2276" t="s">
        <v>9980</v>
      </c>
      <c r="D2276">
        <v>2</v>
      </c>
      <c r="E2276" t="s">
        <v>2954</v>
      </c>
    </row>
    <row r="2277" spans="2:5">
      <c r="B2277" s="65" t="str">
        <f t="shared" si="35"/>
        <v>doc-2023:3</v>
      </c>
      <c r="C2277" t="s">
        <v>9980</v>
      </c>
      <c r="D2277">
        <v>3</v>
      </c>
      <c r="E2277" t="s">
        <v>2960</v>
      </c>
    </row>
    <row r="2278" spans="2:5">
      <c r="B2278" s="65" t="str">
        <f t="shared" si="35"/>
        <v>doc-2023:4</v>
      </c>
      <c r="C2278" t="s">
        <v>9980</v>
      </c>
      <c r="D2278">
        <v>4</v>
      </c>
      <c r="E2278" t="s">
        <v>2926</v>
      </c>
    </row>
    <row r="2279" spans="2:5">
      <c r="B2279" s="65" t="str">
        <f t="shared" si="35"/>
        <v>doc-2023:5</v>
      </c>
      <c r="C2279" t="s">
        <v>9980</v>
      </c>
      <c r="D2279">
        <v>5</v>
      </c>
      <c r="E2279" t="s">
        <v>299</v>
      </c>
    </row>
    <row r="2280" spans="2:5">
      <c r="B2280" s="65" t="str">
        <f t="shared" si="35"/>
        <v>doc-2023:6</v>
      </c>
      <c r="C2280" t="s">
        <v>9980</v>
      </c>
      <c r="D2280">
        <v>6</v>
      </c>
      <c r="E2280" t="s">
        <v>2664</v>
      </c>
    </row>
    <row r="2281" spans="2:5">
      <c r="B2281" s="65" t="str">
        <f t="shared" si="35"/>
        <v>doc-2023:7</v>
      </c>
      <c r="C2281" t="s">
        <v>9980</v>
      </c>
      <c r="D2281">
        <v>7</v>
      </c>
      <c r="E2281" t="s">
        <v>1108</v>
      </c>
    </row>
    <row r="2282" spans="2:5">
      <c r="B2282" s="65" t="str">
        <f t="shared" si="35"/>
        <v>doc-2024:1</v>
      </c>
      <c r="C2282" t="s">
        <v>9981</v>
      </c>
      <c r="D2282">
        <v>1</v>
      </c>
      <c r="E2282" t="s">
        <v>1777</v>
      </c>
    </row>
    <row r="2283" spans="2:5">
      <c r="B2283" s="65" t="str">
        <f t="shared" si="35"/>
        <v>doc-2024:2</v>
      </c>
      <c r="C2283" t="s">
        <v>9981</v>
      </c>
      <c r="D2283">
        <v>2</v>
      </c>
      <c r="E2283" t="s">
        <v>1941</v>
      </c>
    </row>
    <row r="2284" spans="2:5">
      <c r="B2284" s="65" t="str">
        <f t="shared" si="35"/>
        <v>doc-2024:3</v>
      </c>
      <c r="C2284" t="s">
        <v>9981</v>
      </c>
      <c r="D2284">
        <v>3</v>
      </c>
      <c r="E2284" t="s">
        <v>1833</v>
      </c>
    </row>
    <row r="2285" spans="2:5">
      <c r="B2285" s="65" t="str">
        <f t="shared" si="35"/>
        <v>doc-2024:4</v>
      </c>
      <c r="C2285" t="s">
        <v>9981</v>
      </c>
      <c r="D2285">
        <v>4</v>
      </c>
      <c r="E2285" t="s">
        <v>2954</v>
      </c>
    </row>
    <row r="2286" spans="2:5">
      <c r="B2286" s="65" t="str">
        <f t="shared" si="35"/>
        <v>doc-2025:1</v>
      </c>
      <c r="C2286" t="s">
        <v>9982</v>
      </c>
      <c r="D2286">
        <v>1</v>
      </c>
      <c r="E2286" t="s">
        <v>2720</v>
      </c>
    </row>
    <row r="2287" spans="2:5">
      <c r="B2287" s="65" t="str">
        <f t="shared" si="35"/>
        <v>doc-2025:2</v>
      </c>
      <c r="C2287" t="s">
        <v>9982</v>
      </c>
      <c r="D2287">
        <v>2</v>
      </c>
      <c r="E2287" t="s">
        <v>2664</v>
      </c>
    </row>
    <row r="2288" spans="2:5">
      <c r="B2288" s="65" t="str">
        <f t="shared" si="35"/>
        <v>doc-2025:3</v>
      </c>
      <c r="C2288" t="s">
        <v>9982</v>
      </c>
      <c r="D2288">
        <v>3</v>
      </c>
      <c r="E2288" t="s">
        <v>1833</v>
      </c>
    </row>
    <row r="2289" spans="2:5">
      <c r="B2289" s="65" t="str">
        <f t="shared" si="35"/>
        <v>doc-2025:4</v>
      </c>
      <c r="C2289" t="s">
        <v>9982</v>
      </c>
      <c r="D2289">
        <v>4</v>
      </c>
      <c r="E2289" t="s">
        <v>1982</v>
      </c>
    </row>
    <row r="2290" spans="2:5">
      <c r="B2290" s="65" t="str">
        <f t="shared" si="35"/>
        <v>doc-2028a:1</v>
      </c>
      <c r="C2290" t="s">
        <v>9983</v>
      </c>
      <c r="D2290">
        <v>1</v>
      </c>
      <c r="E2290" t="s">
        <v>2819</v>
      </c>
    </row>
    <row r="2291" spans="2:5">
      <c r="B2291" s="65" t="str">
        <f t="shared" si="35"/>
        <v>doc-2028a:2</v>
      </c>
      <c r="C2291" t="s">
        <v>9983</v>
      </c>
      <c r="D2291">
        <v>2</v>
      </c>
      <c r="E2291" t="s">
        <v>2799</v>
      </c>
    </row>
    <row r="2292" spans="2:5">
      <c r="B2292" s="65" t="str">
        <f t="shared" si="35"/>
        <v>doc-2028a:3</v>
      </c>
      <c r="C2292" t="s">
        <v>9983</v>
      </c>
      <c r="D2292">
        <v>3</v>
      </c>
      <c r="E2292" t="s">
        <v>2812</v>
      </c>
    </row>
    <row r="2293" spans="2:5">
      <c r="B2293" s="65" t="str">
        <f t="shared" si="35"/>
        <v>doc-2028a:4</v>
      </c>
      <c r="C2293" t="s">
        <v>9983</v>
      </c>
      <c r="D2293">
        <v>4</v>
      </c>
      <c r="E2293" t="s">
        <v>2375</v>
      </c>
    </row>
    <row r="2294" spans="2:5">
      <c r="B2294" s="65" t="str">
        <f t="shared" si="35"/>
        <v>doc-2028c:1</v>
      </c>
      <c r="C2294" t="s">
        <v>9984</v>
      </c>
      <c r="D2294">
        <v>1</v>
      </c>
      <c r="E2294" t="s">
        <v>2817</v>
      </c>
    </row>
    <row r="2295" spans="2:5">
      <c r="B2295" s="65" t="str">
        <f t="shared" si="35"/>
        <v>doc-2028c:2</v>
      </c>
      <c r="C2295" t="s">
        <v>9984</v>
      </c>
      <c r="D2295">
        <v>2</v>
      </c>
      <c r="E2295" t="s">
        <v>2799</v>
      </c>
    </row>
    <row r="2296" spans="2:5">
      <c r="B2296" s="65" t="str">
        <f t="shared" si="35"/>
        <v>doc-2028c:3</v>
      </c>
      <c r="C2296" t="s">
        <v>9984</v>
      </c>
      <c r="D2296">
        <v>3</v>
      </c>
      <c r="E2296" t="s">
        <v>2812</v>
      </c>
    </row>
    <row r="2297" spans="2:5">
      <c r="B2297" s="65" t="str">
        <f t="shared" si="35"/>
        <v>doc-2028c:4</v>
      </c>
      <c r="C2297" t="s">
        <v>9984</v>
      </c>
      <c r="D2297">
        <v>4</v>
      </c>
      <c r="E2297" t="s">
        <v>2375</v>
      </c>
    </row>
    <row r="2298" spans="2:5">
      <c r="B2298" s="65" t="str">
        <f t="shared" si="35"/>
        <v>doc-2029:1</v>
      </c>
      <c r="C2298" t="s">
        <v>5995</v>
      </c>
      <c r="D2298">
        <v>1</v>
      </c>
      <c r="E2298" t="s">
        <v>2435</v>
      </c>
    </row>
    <row r="2299" spans="2:5">
      <c r="B2299" s="65" t="str">
        <f t="shared" si="35"/>
        <v>doc-2029:2</v>
      </c>
      <c r="C2299" t="s">
        <v>5995</v>
      </c>
      <c r="D2299">
        <v>2</v>
      </c>
      <c r="E2299" t="s">
        <v>2422</v>
      </c>
    </row>
    <row r="2300" spans="2:5">
      <c r="B2300" s="65" t="str">
        <f t="shared" si="35"/>
        <v>doc-2030:1</v>
      </c>
      <c r="C2300" t="s">
        <v>6001</v>
      </c>
      <c r="D2300">
        <v>1</v>
      </c>
      <c r="E2300" t="s">
        <v>2485</v>
      </c>
    </row>
    <row r="2301" spans="2:5">
      <c r="B2301" s="65" t="str">
        <f t="shared" si="35"/>
        <v>doc-2030:2</v>
      </c>
      <c r="C2301" t="s">
        <v>6001</v>
      </c>
      <c r="D2301">
        <v>2</v>
      </c>
      <c r="E2301" t="s">
        <v>2494</v>
      </c>
    </row>
    <row r="2302" spans="2:5">
      <c r="B2302" s="65" t="str">
        <f t="shared" si="35"/>
        <v>doc-2030:3</v>
      </c>
      <c r="C2302" t="s">
        <v>6001</v>
      </c>
      <c r="D2302">
        <v>3</v>
      </c>
      <c r="E2302" t="s">
        <v>2422</v>
      </c>
    </row>
    <row r="2303" spans="2:5">
      <c r="B2303" s="65" t="str">
        <f t="shared" si="35"/>
        <v>doc-2030:4</v>
      </c>
      <c r="C2303" t="s">
        <v>6001</v>
      </c>
      <c r="D2303">
        <v>4</v>
      </c>
      <c r="E2303" t="s">
        <v>2488</v>
      </c>
    </row>
    <row r="2304" spans="2:5">
      <c r="B2304" s="65" t="str">
        <f t="shared" si="35"/>
        <v>doc-2030:5</v>
      </c>
      <c r="C2304" t="s">
        <v>6001</v>
      </c>
      <c r="D2304">
        <v>5</v>
      </c>
      <c r="E2304" t="s">
        <v>1968</v>
      </c>
    </row>
    <row r="2305" spans="2:5">
      <c r="B2305" s="65" t="str">
        <f t="shared" si="35"/>
        <v>doc-2031:1</v>
      </c>
      <c r="C2305" t="s">
        <v>9985</v>
      </c>
      <c r="D2305">
        <v>1</v>
      </c>
      <c r="E2305" t="s">
        <v>2954</v>
      </c>
    </row>
    <row r="2306" spans="2:5">
      <c r="B2306" s="65" t="str">
        <f t="shared" si="35"/>
        <v>doc-2031:2</v>
      </c>
      <c r="C2306" t="s">
        <v>9985</v>
      </c>
      <c r="D2306">
        <v>2</v>
      </c>
      <c r="E2306" t="s">
        <v>1795</v>
      </c>
    </row>
    <row r="2307" spans="2:5">
      <c r="B2307" s="65" t="str">
        <f t="shared" si="35"/>
        <v>doc-2031:3</v>
      </c>
      <c r="C2307" t="s">
        <v>9985</v>
      </c>
      <c r="D2307">
        <v>3</v>
      </c>
      <c r="E2307" t="s">
        <v>2943</v>
      </c>
    </row>
    <row r="2308" spans="2:5">
      <c r="B2308" s="65" t="str">
        <f t="shared" ref="B2308:B2371" si="36">$C2308&amp;":"&amp;$D2308</f>
        <v>doc-2031:4</v>
      </c>
      <c r="C2308" t="s">
        <v>9985</v>
      </c>
      <c r="D2308">
        <v>4</v>
      </c>
      <c r="E2308" t="s">
        <v>1321</v>
      </c>
    </row>
    <row r="2309" spans="2:5">
      <c r="B2309" s="65" t="str">
        <f t="shared" si="36"/>
        <v>doc-2031:5</v>
      </c>
      <c r="C2309" t="s">
        <v>9985</v>
      </c>
      <c r="D2309">
        <v>5</v>
      </c>
      <c r="E2309" t="s">
        <v>254</v>
      </c>
    </row>
    <row r="2310" spans="2:5">
      <c r="B2310" s="65" t="str">
        <f t="shared" si="36"/>
        <v>doc-2031:6</v>
      </c>
      <c r="C2310" t="s">
        <v>9985</v>
      </c>
      <c r="D2310">
        <v>6</v>
      </c>
      <c r="E2310" t="s">
        <v>1941</v>
      </c>
    </row>
    <row r="2311" spans="2:5">
      <c r="B2311" s="65" t="str">
        <f t="shared" si="36"/>
        <v>doc-2032:1</v>
      </c>
      <c r="C2311" t="s">
        <v>9986</v>
      </c>
      <c r="D2311">
        <v>1</v>
      </c>
      <c r="E2311" t="s">
        <v>1985</v>
      </c>
    </row>
    <row r="2312" spans="2:5">
      <c r="B2312" s="65" t="str">
        <f t="shared" si="36"/>
        <v>doc-2032:2</v>
      </c>
      <c r="C2312" t="s">
        <v>9986</v>
      </c>
      <c r="D2312">
        <v>2</v>
      </c>
      <c r="E2312" t="s">
        <v>2485</v>
      </c>
    </row>
    <row r="2313" spans="2:5">
      <c r="B2313" s="65" t="str">
        <f t="shared" si="36"/>
        <v>doc-2032:3</v>
      </c>
      <c r="C2313" t="s">
        <v>9986</v>
      </c>
      <c r="D2313">
        <v>3</v>
      </c>
      <c r="E2313" t="s">
        <v>1916</v>
      </c>
    </row>
    <row r="2314" spans="2:5">
      <c r="B2314" s="65" t="str">
        <f t="shared" si="36"/>
        <v>doc-2032:4</v>
      </c>
      <c r="C2314" t="s">
        <v>9986</v>
      </c>
      <c r="D2314">
        <v>4</v>
      </c>
      <c r="E2314" t="s">
        <v>1905</v>
      </c>
    </row>
    <row r="2315" spans="2:5">
      <c r="B2315" s="65" t="str">
        <f t="shared" si="36"/>
        <v>doc-2032:5</v>
      </c>
      <c r="C2315" t="s">
        <v>9986</v>
      </c>
      <c r="D2315">
        <v>5</v>
      </c>
      <c r="E2315" t="s">
        <v>2494</v>
      </c>
    </row>
    <row r="2316" spans="2:5">
      <c r="B2316" s="65" t="str">
        <f t="shared" si="36"/>
        <v>doc-2032:6</v>
      </c>
      <c r="C2316" t="s">
        <v>9986</v>
      </c>
      <c r="D2316">
        <v>6</v>
      </c>
      <c r="E2316" t="s">
        <v>2422</v>
      </c>
    </row>
    <row r="2317" spans="2:5">
      <c r="B2317" s="65" t="str">
        <f t="shared" si="36"/>
        <v>doc-2032:7</v>
      </c>
      <c r="C2317" t="s">
        <v>9986</v>
      </c>
      <c r="D2317">
        <v>7</v>
      </c>
      <c r="E2317" t="s">
        <v>1968</v>
      </c>
    </row>
    <row r="2318" spans="2:5">
      <c r="B2318" s="65" t="str">
        <f t="shared" si="36"/>
        <v>doc-2034:1</v>
      </c>
      <c r="C2318" t="s">
        <v>9987</v>
      </c>
      <c r="D2318">
        <v>1</v>
      </c>
      <c r="E2318" t="s">
        <v>79</v>
      </c>
    </row>
    <row r="2319" spans="2:5">
      <c r="B2319" s="65" t="str">
        <f t="shared" si="36"/>
        <v>doc-2034:2</v>
      </c>
      <c r="C2319" t="s">
        <v>9987</v>
      </c>
      <c r="D2319">
        <v>2</v>
      </c>
      <c r="E2319" t="s">
        <v>73</v>
      </c>
    </row>
    <row r="2320" spans="2:5">
      <c r="B2320" s="65" t="str">
        <f t="shared" si="36"/>
        <v>doc-2034:3</v>
      </c>
      <c r="C2320" t="s">
        <v>9987</v>
      </c>
      <c r="D2320">
        <v>3</v>
      </c>
      <c r="E2320" t="s">
        <v>87</v>
      </c>
    </row>
    <row r="2321" spans="2:5">
      <c r="B2321" s="65" t="str">
        <f t="shared" si="36"/>
        <v>doc-2035:1</v>
      </c>
      <c r="C2321" t="s">
        <v>9988</v>
      </c>
      <c r="D2321">
        <v>1</v>
      </c>
      <c r="E2321" t="s">
        <v>82</v>
      </c>
    </row>
    <row r="2322" spans="2:5">
      <c r="B2322" s="65" t="str">
        <f t="shared" si="36"/>
        <v>doc-2035:2</v>
      </c>
      <c r="C2322" t="s">
        <v>9988</v>
      </c>
      <c r="D2322">
        <v>2</v>
      </c>
      <c r="E2322" t="s">
        <v>79</v>
      </c>
    </row>
    <row r="2323" spans="2:5">
      <c r="B2323" s="65" t="str">
        <f t="shared" si="36"/>
        <v>doc-2035:3</v>
      </c>
      <c r="C2323" t="s">
        <v>9988</v>
      </c>
      <c r="D2323">
        <v>3</v>
      </c>
      <c r="E2323" t="s">
        <v>1227</v>
      </c>
    </row>
    <row r="2324" spans="2:5">
      <c r="B2324" s="65" t="str">
        <f t="shared" si="36"/>
        <v>doc-2035:4</v>
      </c>
      <c r="C2324" t="s">
        <v>9988</v>
      </c>
      <c r="D2324">
        <v>4</v>
      </c>
      <c r="E2324" t="s">
        <v>1221</v>
      </c>
    </row>
    <row r="2325" spans="2:5">
      <c r="B2325" s="65" t="str">
        <f t="shared" si="36"/>
        <v>doc-2035:5</v>
      </c>
      <c r="C2325" t="s">
        <v>9988</v>
      </c>
      <c r="D2325">
        <v>5</v>
      </c>
      <c r="E2325" t="s">
        <v>1203</v>
      </c>
    </row>
    <row r="2326" spans="2:5">
      <c r="B2326" s="65" t="str">
        <f t="shared" si="36"/>
        <v>doc-2039:1</v>
      </c>
      <c r="C2326" t="s">
        <v>9989</v>
      </c>
      <c r="D2326">
        <v>1</v>
      </c>
      <c r="E2326" t="s">
        <v>1321</v>
      </c>
    </row>
    <row r="2327" spans="2:5">
      <c r="B2327" s="65" t="str">
        <f t="shared" si="36"/>
        <v>doc-2039:2</v>
      </c>
      <c r="C2327" t="s">
        <v>9989</v>
      </c>
      <c r="D2327">
        <v>2</v>
      </c>
      <c r="E2327" t="s">
        <v>2954</v>
      </c>
    </row>
    <row r="2328" spans="2:5">
      <c r="B2328" s="65" t="str">
        <f t="shared" si="36"/>
        <v>doc-2039:3</v>
      </c>
      <c r="C2328" t="s">
        <v>9989</v>
      </c>
      <c r="D2328">
        <v>3</v>
      </c>
      <c r="E2328" t="s">
        <v>1795</v>
      </c>
    </row>
    <row r="2329" spans="2:5">
      <c r="B2329" s="65" t="str">
        <f t="shared" si="36"/>
        <v>doc-2039:4</v>
      </c>
      <c r="C2329" t="s">
        <v>9989</v>
      </c>
      <c r="D2329">
        <v>4</v>
      </c>
      <c r="E2329" t="s">
        <v>1275</v>
      </c>
    </row>
    <row r="2330" spans="2:5">
      <c r="B2330" s="65" t="str">
        <f t="shared" si="36"/>
        <v>doc-2039:5</v>
      </c>
      <c r="C2330" t="s">
        <v>9989</v>
      </c>
      <c r="D2330">
        <v>5</v>
      </c>
      <c r="E2330" t="s">
        <v>2943</v>
      </c>
    </row>
    <row r="2331" spans="2:5">
      <c r="B2331" s="65" t="str">
        <f t="shared" si="36"/>
        <v>doc-2039:6</v>
      </c>
      <c r="C2331" t="s">
        <v>9989</v>
      </c>
      <c r="D2331">
        <v>6</v>
      </c>
      <c r="E2331" t="s">
        <v>1941</v>
      </c>
    </row>
    <row r="2332" spans="2:5">
      <c r="B2332" s="65" t="str">
        <f t="shared" si="36"/>
        <v>doc-2039:7</v>
      </c>
      <c r="C2332" t="s">
        <v>9989</v>
      </c>
      <c r="D2332">
        <v>7</v>
      </c>
      <c r="E2332" t="s">
        <v>254</v>
      </c>
    </row>
    <row r="2333" spans="2:5">
      <c r="B2333" s="65" t="str">
        <f t="shared" si="36"/>
        <v>doc-2040:1</v>
      </c>
      <c r="C2333" t="s">
        <v>9990</v>
      </c>
      <c r="D2333">
        <v>1</v>
      </c>
      <c r="E2333" t="s">
        <v>2048</v>
      </c>
    </row>
    <row r="2334" spans="2:5">
      <c r="B2334" s="65" t="str">
        <f t="shared" si="36"/>
        <v>doc-2040:2</v>
      </c>
      <c r="C2334" t="s">
        <v>9990</v>
      </c>
      <c r="D2334">
        <v>2</v>
      </c>
      <c r="E2334" t="s">
        <v>1409</v>
      </c>
    </row>
    <row r="2335" spans="2:5">
      <c r="B2335" s="65" t="str">
        <f t="shared" si="36"/>
        <v>doc-2041:1</v>
      </c>
      <c r="C2335" t="s">
        <v>9991</v>
      </c>
      <c r="D2335">
        <v>1</v>
      </c>
      <c r="E2335" t="s">
        <v>1795</v>
      </c>
    </row>
    <row r="2336" spans="2:5">
      <c r="B2336" s="65" t="str">
        <f t="shared" si="36"/>
        <v>doc-2041:2</v>
      </c>
      <c r="C2336" t="s">
        <v>9991</v>
      </c>
      <c r="D2336">
        <v>2</v>
      </c>
      <c r="E2336" t="s">
        <v>1275</v>
      </c>
    </row>
    <row r="2337" spans="2:5">
      <c r="B2337" s="65" t="str">
        <f t="shared" si="36"/>
        <v>doc-2041:3</v>
      </c>
      <c r="C2337" t="s">
        <v>9991</v>
      </c>
      <c r="D2337">
        <v>3</v>
      </c>
      <c r="E2337" t="s">
        <v>2954</v>
      </c>
    </row>
    <row r="2338" spans="2:5">
      <c r="B2338" s="65" t="str">
        <f t="shared" si="36"/>
        <v>doc-2041:4</v>
      </c>
      <c r="C2338" t="s">
        <v>9991</v>
      </c>
      <c r="D2338">
        <v>4</v>
      </c>
      <c r="E2338" t="s">
        <v>2943</v>
      </c>
    </row>
    <row r="2339" spans="2:5">
      <c r="B2339" s="65" t="str">
        <f t="shared" si="36"/>
        <v>doc-2042:1</v>
      </c>
      <c r="C2339" t="s">
        <v>9992</v>
      </c>
      <c r="D2339">
        <v>1</v>
      </c>
      <c r="E2339" t="s">
        <v>1409</v>
      </c>
    </row>
    <row r="2340" spans="2:5">
      <c r="B2340" s="65" t="str">
        <f t="shared" si="36"/>
        <v>doc-2042:2</v>
      </c>
      <c r="C2340" t="s">
        <v>9992</v>
      </c>
      <c r="D2340">
        <v>2</v>
      </c>
      <c r="E2340" t="s">
        <v>1847</v>
      </c>
    </row>
    <row r="2341" spans="2:5">
      <c r="B2341" s="65" t="str">
        <f t="shared" si="36"/>
        <v>doc-2043:1</v>
      </c>
      <c r="C2341" t="s">
        <v>9993</v>
      </c>
      <c r="D2341">
        <v>1</v>
      </c>
      <c r="E2341" t="s">
        <v>2954</v>
      </c>
    </row>
    <row r="2342" spans="2:5">
      <c r="B2342" s="65" t="str">
        <f t="shared" si="36"/>
        <v>doc-2043:2</v>
      </c>
      <c r="C2342" t="s">
        <v>9993</v>
      </c>
      <c r="D2342">
        <v>2</v>
      </c>
      <c r="E2342" t="s">
        <v>1833</v>
      </c>
    </row>
    <row r="2343" spans="2:5">
      <c r="B2343" s="65" t="str">
        <f t="shared" si="36"/>
        <v>doc-2043:3</v>
      </c>
      <c r="C2343" t="s">
        <v>9993</v>
      </c>
      <c r="D2343">
        <v>3</v>
      </c>
      <c r="E2343" t="s">
        <v>2960</v>
      </c>
    </row>
    <row r="2344" spans="2:5">
      <c r="B2344" s="65" t="str">
        <f t="shared" si="36"/>
        <v>doc-2043:4</v>
      </c>
      <c r="C2344" t="s">
        <v>9993</v>
      </c>
      <c r="D2344">
        <v>4</v>
      </c>
      <c r="E2344" t="s">
        <v>2926</v>
      </c>
    </row>
    <row r="2345" spans="2:5">
      <c r="B2345" s="65" t="str">
        <f t="shared" si="36"/>
        <v>doc-2043:5</v>
      </c>
      <c r="C2345" t="s">
        <v>9993</v>
      </c>
      <c r="D2345">
        <v>5</v>
      </c>
      <c r="E2345" t="s">
        <v>299</v>
      </c>
    </row>
    <row r="2346" spans="2:5">
      <c r="B2346" s="65" t="str">
        <f t="shared" si="36"/>
        <v>doc-2043:6</v>
      </c>
      <c r="C2346" t="s">
        <v>9993</v>
      </c>
      <c r="D2346">
        <v>6</v>
      </c>
      <c r="E2346" t="s">
        <v>2664</v>
      </c>
    </row>
    <row r="2347" spans="2:5">
      <c r="B2347" s="65" t="str">
        <f t="shared" si="36"/>
        <v>doc-2043:7</v>
      </c>
      <c r="C2347" t="s">
        <v>9993</v>
      </c>
      <c r="D2347">
        <v>7</v>
      </c>
      <c r="E2347" t="s">
        <v>1108</v>
      </c>
    </row>
    <row r="2348" spans="2:5">
      <c r="B2348" s="65" t="str">
        <f t="shared" si="36"/>
        <v>doc-2045:1</v>
      </c>
      <c r="C2348" t="s">
        <v>9994</v>
      </c>
      <c r="D2348">
        <v>1</v>
      </c>
      <c r="E2348" t="s">
        <v>1409</v>
      </c>
    </row>
    <row r="2349" spans="2:5">
      <c r="B2349" s="65" t="str">
        <f t="shared" si="36"/>
        <v>doc-2045:2</v>
      </c>
      <c r="C2349" t="s">
        <v>9994</v>
      </c>
      <c r="D2349">
        <v>2</v>
      </c>
      <c r="E2349" t="s">
        <v>1841</v>
      </c>
    </row>
    <row r="2350" spans="2:5">
      <c r="B2350" s="65" t="str">
        <f t="shared" si="36"/>
        <v>doc-2045:3</v>
      </c>
      <c r="C2350" t="s">
        <v>9994</v>
      </c>
      <c r="D2350">
        <v>3</v>
      </c>
      <c r="E2350" t="s">
        <v>2232</v>
      </c>
    </row>
    <row r="2351" spans="2:5">
      <c r="B2351" s="65" t="str">
        <f t="shared" si="36"/>
        <v>doc-2045:4</v>
      </c>
      <c r="C2351" t="s">
        <v>9994</v>
      </c>
      <c r="D2351">
        <v>4</v>
      </c>
      <c r="E2351" t="s">
        <v>1497</v>
      </c>
    </row>
    <row r="2352" spans="2:5">
      <c r="B2352" s="65" t="str">
        <f t="shared" si="36"/>
        <v>doc-2046:1</v>
      </c>
      <c r="C2352" t="s">
        <v>9995</v>
      </c>
      <c r="D2352">
        <v>1</v>
      </c>
      <c r="E2352" t="s">
        <v>2325</v>
      </c>
    </row>
    <row r="2353" spans="2:5">
      <c r="B2353" s="65" t="str">
        <f t="shared" si="36"/>
        <v>doc-2046:2</v>
      </c>
      <c r="C2353" t="s">
        <v>9995</v>
      </c>
      <c r="D2353">
        <v>2</v>
      </c>
      <c r="E2353" t="s">
        <v>1905</v>
      </c>
    </row>
    <row r="2354" spans="2:5">
      <c r="B2354" s="65" t="str">
        <f t="shared" si="36"/>
        <v>doc-2046:3</v>
      </c>
      <c r="C2354" t="s">
        <v>9995</v>
      </c>
      <c r="D2354">
        <v>3</v>
      </c>
      <c r="E2354" t="s">
        <v>2324</v>
      </c>
    </row>
    <row r="2355" spans="2:5">
      <c r="B2355" s="65" t="str">
        <f t="shared" si="36"/>
        <v>doc-2046:4</v>
      </c>
      <c r="C2355" t="s">
        <v>9995</v>
      </c>
      <c r="D2355">
        <v>4</v>
      </c>
      <c r="E2355" t="s">
        <v>2003</v>
      </c>
    </row>
    <row r="2356" spans="2:5">
      <c r="B2356" s="65" t="str">
        <f t="shared" si="36"/>
        <v>doc-2046:5</v>
      </c>
      <c r="C2356" t="s">
        <v>9995</v>
      </c>
      <c r="D2356">
        <v>5</v>
      </c>
      <c r="E2356" t="s">
        <v>1973</v>
      </c>
    </row>
    <row r="2357" spans="2:5">
      <c r="B2357" s="65" t="str">
        <f t="shared" si="36"/>
        <v>doc-2047:1</v>
      </c>
      <c r="C2357" t="s">
        <v>9996</v>
      </c>
      <c r="D2357">
        <v>1</v>
      </c>
      <c r="E2357" t="s">
        <v>2036</v>
      </c>
    </row>
    <row r="2358" spans="2:5">
      <c r="B2358" s="65" t="str">
        <f t="shared" si="36"/>
        <v>doc-2047:2</v>
      </c>
      <c r="C2358" t="s">
        <v>9996</v>
      </c>
      <c r="D2358">
        <v>2</v>
      </c>
      <c r="E2358" t="s">
        <v>1822</v>
      </c>
    </row>
    <row r="2359" spans="2:5">
      <c r="B2359" s="65" t="str">
        <f t="shared" si="36"/>
        <v>doc-2047:3</v>
      </c>
      <c r="C2359" t="s">
        <v>9996</v>
      </c>
      <c r="D2359">
        <v>3</v>
      </c>
      <c r="E2359" t="s">
        <v>1905</v>
      </c>
    </row>
    <row r="2360" spans="2:5">
      <c r="B2360" s="65" t="str">
        <f t="shared" si="36"/>
        <v>doc-2047:4</v>
      </c>
      <c r="C2360" t="s">
        <v>9996</v>
      </c>
      <c r="D2360">
        <v>4</v>
      </c>
      <c r="E2360" t="s">
        <v>2003</v>
      </c>
    </row>
    <row r="2361" spans="2:5">
      <c r="B2361" s="65" t="str">
        <f t="shared" si="36"/>
        <v>doc-2047:5</v>
      </c>
      <c r="C2361" t="s">
        <v>9996</v>
      </c>
      <c r="D2361">
        <v>5</v>
      </c>
      <c r="E2361" t="s">
        <v>1856</v>
      </c>
    </row>
    <row r="2362" spans="2:5">
      <c r="B2362" s="65" t="str">
        <f t="shared" si="36"/>
        <v>doc-2048:1</v>
      </c>
      <c r="C2362" t="s">
        <v>9997</v>
      </c>
      <c r="D2362">
        <v>1</v>
      </c>
      <c r="E2362" t="s">
        <v>1782</v>
      </c>
    </row>
    <row r="2363" spans="2:5">
      <c r="B2363" s="65" t="str">
        <f t="shared" si="36"/>
        <v>doc-2048:2</v>
      </c>
      <c r="C2363" t="s">
        <v>9997</v>
      </c>
      <c r="D2363">
        <v>2</v>
      </c>
      <c r="E2363" t="s">
        <v>1734</v>
      </c>
    </row>
    <row r="2364" spans="2:5">
      <c r="B2364" s="65" t="str">
        <f t="shared" si="36"/>
        <v>doc-2048:3</v>
      </c>
      <c r="C2364" t="s">
        <v>9997</v>
      </c>
      <c r="D2364">
        <v>3</v>
      </c>
      <c r="E2364" t="s">
        <v>1737</v>
      </c>
    </row>
    <row r="2365" spans="2:5">
      <c r="B2365" s="65" t="str">
        <f t="shared" si="36"/>
        <v>doc-2048:4</v>
      </c>
      <c r="C2365" t="s">
        <v>9997</v>
      </c>
      <c r="D2365">
        <v>4</v>
      </c>
      <c r="E2365" t="s">
        <v>2664</v>
      </c>
    </row>
    <row r="2366" spans="2:5">
      <c r="B2366" s="65" t="str">
        <f t="shared" si="36"/>
        <v>doc-2048:5</v>
      </c>
      <c r="C2366" t="s">
        <v>9997</v>
      </c>
      <c r="D2366">
        <v>5</v>
      </c>
      <c r="E2366" t="s">
        <v>1833</v>
      </c>
    </row>
    <row r="2367" spans="2:5">
      <c r="B2367" s="65" t="str">
        <f t="shared" si="36"/>
        <v>doc-2050:1</v>
      </c>
      <c r="C2367" t="s">
        <v>6007</v>
      </c>
      <c r="D2367">
        <v>1</v>
      </c>
      <c r="E2367" t="s">
        <v>2397</v>
      </c>
    </row>
    <row r="2368" spans="2:5">
      <c r="B2368" s="65" t="str">
        <f t="shared" si="36"/>
        <v>doc-2050:2</v>
      </c>
      <c r="C2368" t="s">
        <v>6007</v>
      </c>
      <c r="D2368">
        <v>2</v>
      </c>
      <c r="E2368" t="s">
        <v>2375</v>
      </c>
    </row>
    <row r="2369" spans="2:5">
      <c r="B2369" s="65" t="str">
        <f t="shared" si="36"/>
        <v>doc-2050:3</v>
      </c>
      <c r="C2369" t="s">
        <v>6007</v>
      </c>
      <c r="D2369">
        <v>3</v>
      </c>
      <c r="E2369" t="s">
        <v>2051</v>
      </c>
    </row>
    <row r="2370" spans="2:5">
      <c r="B2370" s="65" t="str">
        <f t="shared" si="36"/>
        <v>doc-2050:4</v>
      </c>
      <c r="C2370" t="s">
        <v>6007</v>
      </c>
      <c r="D2370">
        <v>4</v>
      </c>
      <c r="E2370" t="s">
        <v>2405</v>
      </c>
    </row>
    <row r="2371" spans="2:5">
      <c r="B2371" s="65" t="str">
        <f t="shared" si="36"/>
        <v>doc-2050:5</v>
      </c>
      <c r="C2371" t="s">
        <v>6007</v>
      </c>
      <c r="D2371">
        <v>5</v>
      </c>
      <c r="E2371" t="s">
        <v>2054</v>
      </c>
    </row>
    <row r="2372" spans="2:5">
      <c r="B2372" s="65" t="str">
        <f t="shared" ref="B2372:B2435" si="37">$C2372&amp;":"&amp;$D2372</f>
        <v>doc-2051:1</v>
      </c>
      <c r="C2372" t="s">
        <v>9998</v>
      </c>
      <c r="D2372">
        <v>1</v>
      </c>
      <c r="E2372" t="s">
        <v>1905</v>
      </c>
    </row>
    <row r="2373" spans="2:5">
      <c r="B2373" s="65" t="str">
        <f t="shared" si="37"/>
        <v>doc-2051:2</v>
      </c>
      <c r="C2373" t="s">
        <v>9998</v>
      </c>
      <c r="D2373">
        <v>2</v>
      </c>
      <c r="E2373" t="s">
        <v>2112</v>
      </c>
    </row>
    <row r="2374" spans="2:5">
      <c r="B2374" s="65" t="str">
        <f t="shared" si="37"/>
        <v>doc-2051:3</v>
      </c>
      <c r="C2374" t="s">
        <v>9998</v>
      </c>
      <c r="D2374">
        <v>3</v>
      </c>
      <c r="E2374" t="s">
        <v>2061</v>
      </c>
    </row>
    <row r="2375" spans="2:5">
      <c r="B2375" s="65" t="str">
        <f t="shared" si="37"/>
        <v>doc-2051:4</v>
      </c>
      <c r="C2375" t="s">
        <v>9998</v>
      </c>
      <c r="D2375">
        <v>4</v>
      </c>
      <c r="E2375" t="s">
        <v>1877</v>
      </c>
    </row>
    <row r="2376" spans="2:5">
      <c r="B2376" s="65" t="str">
        <f t="shared" si="37"/>
        <v>doc-2052:1</v>
      </c>
      <c r="C2376" t="s">
        <v>9999</v>
      </c>
      <c r="D2376">
        <v>1</v>
      </c>
      <c r="E2376" t="s">
        <v>2112</v>
      </c>
    </row>
    <row r="2377" spans="2:5">
      <c r="B2377" s="65" t="str">
        <f t="shared" si="37"/>
        <v>doc-2052:2</v>
      </c>
      <c r="C2377" t="s">
        <v>9999</v>
      </c>
      <c r="D2377">
        <v>2</v>
      </c>
      <c r="E2377" t="s">
        <v>1905</v>
      </c>
    </row>
    <row r="2378" spans="2:5">
      <c r="B2378" s="65" t="str">
        <f t="shared" si="37"/>
        <v>doc-2052:3</v>
      </c>
      <c r="C2378" t="s">
        <v>9999</v>
      </c>
      <c r="D2378">
        <v>3</v>
      </c>
      <c r="E2378" t="s">
        <v>1877</v>
      </c>
    </row>
    <row r="2379" spans="2:5">
      <c r="B2379" s="65" t="str">
        <f t="shared" si="37"/>
        <v>doc-2052:4</v>
      </c>
      <c r="C2379" t="s">
        <v>9999</v>
      </c>
      <c r="D2379">
        <v>4</v>
      </c>
      <c r="E2379" t="s">
        <v>2061</v>
      </c>
    </row>
    <row r="2380" spans="2:5">
      <c r="B2380" s="65" t="str">
        <f t="shared" si="37"/>
        <v>doc-2053:1</v>
      </c>
      <c r="C2380" t="s">
        <v>10000</v>
      </c>
      <c r="D2380">
        <v>1</v>
      </c>
      <c r="E2380" t="s">
        <v>2023</v>
      </c>
    </row>
    <row r="2381" spans="2:5">
      <c r="B2381" s="65" t="str">
        <f t="shared" si="37"/>
        <v>doc-2053:2</v>
      </c>
      <c r="C2381" t="s">
        <v>10000</v>
      </c>
      <c r="D2381">
        <v>2</v>
      </c>
      <c r="E2381" t="s">
        <v>2847</v>
      </c>
    </row>
    <row r="2382" spans="2:5">
      <c r="B2382" s="65" t="str">
        <f t="shared" si="37"/>
        <v>doc-2053:3</v>
      </c>
      <c r="C2382" t="s">
        <v>10000</v>
      </c>
      <c r="D2382">
        <v>3</v>
      </c>
      <c r="E2382" t="s">
        <v>1994</v>
      </c>
    </row>
    <row r="2383" spans="2:5">
      <c r="B2383" s="65" t="str">
        <f t="shared" si="37"/>
        <v>doc-2053:4</v>
      </c>
      <c r="C2383" t="s">
        <v>10000</v>
      </c>
      <c r="D2383">
        <v>4</v>
      </c>
      <c r="E2383" t="s">
        <v>2849</v>
      </c>
    </row>
    <row r="2384" spans="2:5">
      <c r="B2384" s="65" t="str">
        <f t="shared" si="37"/>
        <v>doc-2055:1</v>
      </c>
      <c r="C2384" t="s">
        <v>10001</v>
      </c>
      <c r="D2384">
        <v>1</v>
      </c>
      <c r="E2384" t="s">
        <v>1171</v>
      </c>
    </row>
    <row r="2385" spans="2:5">
      <c r="B2385" s="65" t="str">
        <f t="shared" si="37"/>
        <v>doc-2055:2</v>
      </c>
      <c r="C2385" t="s">
        <v>10001</v>
      </c>
      <c r="D2385">
        <v>2</v>
      </c>
      <c r="E2385" t="s">
        <v>1179</v>
      </c>
    </row>
    <row r="2386" spans="2:5">
      <c r="B2386" s="65" t="str">
        <f t="shared" si="37"/>
        <v>doc-2055:3</v>
      </c>
      <c r="C2386" t="s">
        <v>10001</v>
      </c>
      <c r="D2386">
        <v>3</v>
      </c>
      <c r="E2386" t="s">
        <v>1182</v>
      </c>
    </row>
    <row r="2387" spans="2:5">
      <c r="B2387" s="65" t="str">
        <f t="shared" si="37"/>
        <v>doc-2055:4</v>
      </c>
      <c r="C2387" t="s">
        <v>10001</v>
      </c>
      <c r="D2387">
        <v>4</v>
      </c>
      <c r="E2387" t="s">
        <v>2849</v>
      </c>
    </row>
    <row r="2388" spans="2:5">
      <c r="B2388" s="65" t="str">
        <f t="shared" si="37"/>
        <v>doc-2056:1</v>
      </c>
      <c r="C2388" t="s">
        <v>10002</v>
      </c>
      <c r="D2388">
        <v>1</v>
      </c>
      <c r="E2388" t="s">
        <v>1182</v>
      </c>
    </row>
    <row r="2389" spans="2:5">
      <c r="B2389" s="65" t="str">
        <f t="shared" si="37"/>
        <v>doc-2056:2</v>
      </c>
      <c r="C2389" t="s">
        <v>10002</v>
      </c>
      <c r="D2389">
        <v>2</v>
      </c>
      <c r="E2389" t="s">
        <v>1171</v>
      </c>
    </row>
    <row r="2390" spans="2:5">
      <c r="B2390" s="65" t="str">
        <f t="shared" si="37"/>
        <v>doc-2056:3</v>
      </c>
      <c r="C2390" t="s">
        <v>10002</v>
      </c>
      <c r="D2390">
        <v>3</v>
      </c>
      <c r="E2390" t="s">
        <v>1179</v>
      </c>
    </row>
    <row r="2391" spans="2:5">
      <c r="B2391" s="65" t="str">
        <f t="shared" si="37"/>
        <v>doc-2057a:1</v>
      </c>
      <c r="C2391" t="s">
        <v>10003</v>
      </c>
      <c r="D2391">
        <v>1</v>
      </c>
      <c r="E2391" t="s">
        <v>1171</v>
      </c>
    </row>
    <row r="2392" spans="2:5">
      <c r="B2392" s="65" t="str">
        <f t="shared" si="37"/>
        <v>doc-2057a:2</v>
      </c>
      <c r="C2392" t="s">
        <v>10003</v>
      </c>
      <c r="D2392">
        <v>2</v>
      </c>
      <c r="E2392" t="s">
        <v>2983</v>
      </c>
    </row>
    <row r="2393" spans="2:5">
      <c r="B2393" s="65" t="str">
        <f t="shared" si="37"/>
        <v>doc-2057a:3</v>
      </c>
      <c r="C2393" t="s">
        <v>10003</v>
      </c>
      <c r="D2393">
        <v>3</v>
      </c>
      <c r="E2393" t="s">
        <v>1179</v>
      </c>
    </row>
    <row r="2394" spans="2:5">
      <c r="B2394" s="65" t="str">
        <f t="shared" si="37"/>
        <v>doc-2057a:4</v>
      </c>
      <c r="C2394" t="s">
        <v>10003</v>
      </c>
      <c r="D2394">
        <v>4</v>
      </c>
      <c r="E2394" t="s">
        <v>3010</v>
      </c>
    </row>
    <row r="2395" spans="2:5">
      <c r="B2395" s="65" t="str">
        <f t="shared" si="37"/>
        <v>doc-2057e:1</v>
      </c>
      <c r="C2395" t="s">
        <v>10004</v>
      </c>
      <c r="D2395">
        <v>1</v>
      </c>
      <c r="E2395" t="s">
        <v>1171</v>
      </c>
    </row>
    <row r="2396" spans="2:5">
      <c r="B2396" s="65" t="str">
        <f t="shared" si="37"/>
        <v>doc-2057e:2</v>
      </c>
      <c r="C2396" t="s">
        <v>10004</v>
      </c>
      <c r="D2396">
        <v>2</v>
      </c>
      <c r="E2396" t="s">
        <v>2983</v>
      </c>
    </row>
    <row r="2397" spans="2:5">
      <c r="B2397" s="65" t="str">
        <f t="shared" si="37"/>
        <v>doc-2057e:3</v>
      </c>
      <c r="C2397" t="s">
        <v>10004</v>
      </c>
      <c r="D2397">
        <v>3</v>
      </c>
      <c r="E2397" t="s">
        <v>3010</v>
      </c>
    </row>
    <row r="2398" spans="2:5">
      <c r="B2398" s="65" t="str">
        <f t="shared" si="37"/>
        <v>doc-2057e:4</v>
      </c>
      <c r="C2398" t="s">
        <v>10004</v>
      </c>
      <c r="D2398">
        <v>4</v>
      </c>
      <c r="E2398" t="s">
        <v>1179</v>
      </c>
    </row>
    <row r="2399" spans="2:5">
      <c r="B2399" s="65" t="str">
        <f t="shared" si="37"/>
        <v>doc-2057e:5</v>
      </c>
      <c r="C2399" t="s">
        <v>10004</v>
      </c>
      <c r="D2399">
        <v>5</v>
      </c>
      <c r="E2399" t="s">
        <v>1177</v>
      </c>
    </row>
    <row r="2400" spans="2:5">
      <c r="B2400" s="65" t="str">
        <f t="shared" si="37"/>
        <v>doc-2058:1</v>
      </c>
      <c r="C2400" t="s">
        <v>6014</v>
      </c>
      <c r="D2400">
        <v>1</v>
      </c>
      <c r="E2400" t="s">
        <v>2889</v>
      </c>
    </row>
    <row r="2401" spans="2:5">
      <c r="B2401" s="65" t="str">
        <f t="shared" si="37"/>
        <v>doc-2058:2</v>
      </c>
      <c r="C2401" t="s">
        <v>6014</v>
      </c>
      <c r="D2401">
        <v>2</v>
      </c>
      <c r="E2401" t="s">
        <v>1622</v>
      </c>
    </row>
    <row r="2402" spans="2:5">
      <c r="B2402" s="65" t="str">
        <f t="shared" si="37"/>
        <v>doc-2058:3</v>
      </c>
      <c r="C2402" t="s">
        <v>6014</v>
      </c>
      <c r="D2402">
        <v>3</v>
      </c>
      <c r="E2402" t="s">
        <v>2847</v>
      </c>
    </row>
    <row r="2403" spans="2:5">
      <c r="B2403" s="65" t="str">
        <f t="shared" si="37"/>
        <v>doc-2058:4</v>
      </c>
      <c r="C2403" t="s">
        <v>6014</v>
      </c>
      <c r="D2403">
        <v>4</v>
      </c>
      <c r="E2403" t="s">
        <v>2849</v>
      </c>
    </row>
    <row r="2404" spans="2:5">
      <c r="B2404" s="65" t="str">
        <f t="shared" si="37"/>
        <v>doc-2059:1</v>
      </c>
      <c r="C2404" t="s">
        <v>10005</v>
      </c>
      <c r="D2404">
        <v>1</v>
      </c>
      <c r="E2404" t="s">
        <v>2973</v>
      </c>
    </row>
    <row r="2405" spans="2:5">
      <c r="B2405" s="65" t="str">
        <f t="shared" si="37"/>
        <v>doc-2059:2</v>
      </c>
      <c r="C2405" t="s">
        <v>10005</v>
      </c>
      <c r="D2405">
        <v>2</v>
      </c>
      <c r="E2405" t="s">
        <v>3010</v>
      </c>
    </row>
    <row r="2406" spans="2:5">
      <c r="B2406" s="65" t="str">
        <f t="shared" si="37"/>
        <v>doc-2059:3</v>
      </c>
      <c r="C2406" t="s">
        <v>10005</v>
      </c>
      <c r="D2406">
        <v>3</v>
      </c>
      <c r="E2406" t="s">
        <v>2903</v>
      </c>
    </row>
    <row r="2407" spans="2:5">
      <c r="B2407" s="65" t="str">
        <f t="shared" si="37"/>
        <v>doc-2059:4</v>
      </c>
      <c r="C2407" t="s">
        <v>10005</v>
      </c>
      <c r="D2407">
        <v>4</v>
      </c>
      <c r="E2407" t="s">
        <v>2849</v>
      </c>
    </row>
    <row r="2408" spans="2:5">
      <c r="B2408" s="65" t="str">
        <f t="shared" si="37"/>
        <v>doc-2060:1</v>
      </c>
      <c r="C2408" t="s">
        <v>10006</v>
      </c>
      <c r="D2408">
        <v>1</v>
      </c>
      <c r="E2408" t="s">
        <v>1179</v>
      </c>
    </row>
    <row r="2409" spans="2:5">
      <c r="B2409" s="65" t="str">
        <f t="shared" si="37"/>
        <v>doc-2060:2</v>
      </c>
      <c r="C2409" t="s">
        <v>10006</v>
      </c>
      <c r="D2409">
        <v>2</v>
      </c>
      <c r="E2409" t="s">
        <v>2849</v>
      </c>
    </row>
    <row r="2410" spans="2:5">
      <c r="B2410" s="65" t="str">
        <f t="shared" si="37"/>
        <v>doc-2060:3</v>
      </c>
      <c r="C2410" t="s">
        <v>10006</v>
      </c>
      <c r="D2410">
        <v>3</v>
      </c>
      <c r="E2410" t="s">
        <v>1171</v>
      </c>
    </row>
    <row r="2411" spans="2:5">
      <c r="B2411" s="65" t="str">
        <f t="shared" si="37"/>
        <v>doc-2060:4</v>
      </c>
      <c r="C2411" t="s">
        <v>10006</v>
      </c>
      <c r="D2411">
        <v>4</v>
      </c>
      <c r="E2411" t="s">
        <v>2510</v>
      </c>
    </row>
    <row r="2412" spans="2:5">
      <c r="B2412" s="65" t="str">
        <f t="shared" si="37"/>
        <v>doc-2060:5</v>
      </c>
      <c r="C2412" t="s">
        <v>10006</v>
      </c>
      <c r="D2412">
        <v>5</v>
      </c>
      <c r="E2412" t="s">
        <v>2519</v>
      </c>
    </row>
    <row r="2413" spans="2:5">
      <c r="B2413" s="65" t="str">
        <f t="shared" si="37"/>
        <v>doc-2060:6</v>
      </c>
      <c r="C2413" t="s">
        <v>10006</v>
      </c>
      <c r="D2413">
        <v>6</v>
      </c>
      <c r="E2413" t="s">
        <v>1858</v>
      </c>
    </row>
    <row r="2414" spans="2:5">
      <c r="B2414" s="65" t="str">
        <f t="shared" si="37"/>
        <v>doc-2060:7</v>
      </c>
      <c r="C2414" t="s">
        <v>10006</v>
      </c>
      <c r="D2414">
        <v>7</v>
      </c>
      <c r="E2414" t="s">
        <v>2515</v>
      </c>
    </row>
    <row r="2415" spans="2:5">
      <c r="B2415" s="65" t="str">
        <f t="shared" si="37"/>
        <v>doc-2060:8</v>
      </c>
      <c r="C2415" t="s">
        <v>10006</v>
      </c>
      <c r="D2415">
        <v>8</v>
      </c>
      <c r="E2415" t="s">
        <v>2860</v>
      </c>
    </row>
    <row r="2416" spans="2:5">
      <c r="B2416" s="65" t="str">
        <f t="shared" si="37"/>
        <v>doc-2062:1</v>
      </c>
      <c r="C2416" t="s">
        <v>10007</v>
      </c>
      <c r="D2416">
        <v>1</v>
      </c>
      <c r="E2416" t="s">
        <v>2911</v>
      </c>
    </row>
    <row r="2417" spans="2:5">
      <c r="B2417" s="65" t="str">
        <f t="shared" si="37"/>
        <v>doc-2062:2</v>
      </c>
      <c r="C2417" t="s">
        <v>10007</v>
      </c>
      <c r="D2417">
        <v>2</v>
      </c>
      <c r="E2417" t="s">
        <v>1866</v>
      </c>
    </row>
    <row r="2418" spans="2:5">
      <c r="B2418" s="65" t="str">
        <f t="shared" si="37"/>
        <v>doc-2062:3</v>
      </c>
      <c r="C2418" t="s">
        <v>10007</v>
      </c>
      <c r="D2418">
        <v>3</v>
      </c>
      <c r="E2418" t="s">
        <v>3010</v>
      </c>
    </row>
    <row r="2419" spans="2:5">
      <c r="B2419" s="65" t="str">
        <f t="shared" si="37"/>
        <v>doc-2062:4</v>
      </c>
      <c r="C2419" t="s">
        <v>10007</v>
      </c>
      <c r="D2419">
        <v>4</v>
      </c>
      <c r="E2419" t="s">
        <v>2849</v>
      </c>
    </row>
    <row r="2420" spans="2:5">
      <c r="B2420" s="65" t="str">
        <f t="shared" si="37"/>
        <v>doc-2064:1</v>
      </c>
      <c r="C2420" t="s">
        <v>10008</v>
      </c>
      <c r="D2420">
        <v>1</v>
      </c>
      <c r="E2420" t="s">
        <v>2843</v>
      </c>
    </row>
    <row r="2421" spans="2:5">
      <c r="B2421" s="65" t="str">
        <f t="shared" si="37"/>
        <v>doc-2064:2</v>
      </c>
      <c r="C2421" t="s">
        <v>10008</v>
      </c>
      <c r="D2421">
        <v>2</v>
      </c>
      <c r="E2421" t="s">
        <v>2847</v>
      </c>
    </row>
    <row r="2422" spans="2:5">
      <c r="B2422" s="65" t="str">
        <f t="shared" si="37"/>
        <v>doc-2064:3</v>
      </c>
      <c r="C2422" t="s">
        <v>10008</v>
      </c>
      <c r="D2422">
        <v>3</v>
      </c>
      <c r="E2422" t="s">
        <v>2073</v>
      </c>
    </row>
    <row r="2423" spans="2:5">
      <c r="B2423" s="65" t="str">
        <f t="shared" si="37"/>
        <v>doc-2064:4</v>
      </c>
      <c r="C2423" t="s">
        <v>10008</v>
      </c>
      <c r="D2423">
        <v>4</v>
      </c>
      <c r="E2423" t="s">
        <v>2121</v>
      </c>
    </row>
    <row r="2424" spans="2:5">
      <c r="B2424" s="65" t="str">
        <f t="shared" si="37"/>
        <v>doc-2064:5</v>
      </c>
      <c r="C2424" t="s">
        <v>10008</v>
      </c>
      <c r="D2424">
        <v>5</v>
      </c>
      <c r="E2424" t="s">
        <v>2849</v>
      </c>
    </row>
    <row r="2425" spans="2:5">
      <c r="B2425" s="65" t="str">
        <f t="shared" si="37"/>
        <v>doc-2065:1</v>
      </c>
      <c r="C2425" t="s">
        <v>10009</v>
      </c>
      <c r="D2425">
        <v>1</v>
      </c>
      <c r="E2425" t="s">
        <v>2843</v>
      </c>
    </row>
    <row r="2426" spans="2:5">
      <c r="B2426" s="65" t="str">
        <f t="shared" si="37"/>
        <v>doc-2065:2</v>
      </c>
      <c r="C2426" t="s">
        <v>10009</v>
      </c>
      <c r="D2426">
        <v>2</v>
      </c>
      <c r="E2426" t="s">
        <v>2847</v>
      </c>
    </row>
    <row r="2427" spans="2:5">
      <c r="B2427" s="65" t="str">
        <f t="shared" si="37"/>
        <v>doc-2065:3</v>
      </c>
      <c r="C2427" t="s">
        <v>10009</v>
      </c>
      <c r="D2427">
        <v>3</v>
      </c>
      <c r="E2427" t="s">
        <v>2849</v>
      </c>
    </row>
    <row r="2428" spans="2:5">
      <c r="B2428" s="65" t="str">
        <f t="shared" si="37"/>
        <v>doc-2065:4</v>
      </c>
      <c r="C2428" t="s">
        <v>10009</v>
      </c>
      <c r="D2428">
        <v>4</v>
      </c>
      <c r="E2428" t="s">
        <v>3010</v>
      </c>
    </row>
    <row r="2429" spans="2:5">
      <c r="B2429" s="65" t="str">
        <f t="shared" si="37"/>
        <v>doc-2065:5</v>
      </c>
      <c r="C2429" t="s">
        <v>10009</v>
      </c>
      <c r="D2429">
        <v>5</v>
      </c>
      <c r="E2429" t="s">
        <v>296</v>
      </c>
    </row>
    <row r="2430" spans="2:5">
      <c r="B2430" s="65" t="str">
        <f t="shared" si="37"/>
        <v>doc-2066:1</v>
      </c>
      <c r="C2430" t="s">
        <v>10010</v>
      </c>
      <c r="D2430">
        <v>1</v>
      </c>
      <c r="E2430" t="s">
        <v>82</v>
      </c>
    </row>
    <row r="2431" spans="2:5">
      <c r="B2431" s="65" t="str">
        <f t="shared" si="37"/>
        <v>doc-2069:1</v>
      </c>
      <c r="C2431" t="s">
        <v>10011</v>
      </c>
      <c r="D2431">
        <v>1</v>
      </c>
      <c r="E2431" t="s">
        <v>2130</v>
      </c>
    </row>
    <row r="2432" spans="2:5">
      <c r="B2432" s="65" t="str">
        <f t="shared" si="37"/>
        <v>doc-2069:2</v>
      </c>
      <c r="C2432" t="s">
        <v>10011</v>
      </c>
      <c r="D2432">
        <v>2</v>
      </c>
      <c r="E2432" t="s">
        <v>2023</v>
      </c>
    </row>
    <row r="2433" spans="2:5">
      <c r="B2433" s="65" t="str">
        <f t="shared" si="37"/>
        <v>doc-2069:3</v>
      </c>
      <c r="C2433" t="s">
        <v>10011</v>
      </c>
      <c r="D2433">
        <v>3</v>
      </c>
      <c r="E2433" t="s">
        <v>2121</v>
      </c>
    </row>
    <row r="2434" spans="2:5">
      <c r="B2434" s="65" t="str">
        <f t="shared" si="37"/>
        <v>doc-2069:4</v>
      </c>
      <c r="C2434" t="s">
        <v>10011</v>
      </c>
      <c r="D2434">
        <v>4</v>
      </c>
      <c r="E2434" t="s">
        <v>296</v>
      </c>
    </row>
    <row r="2435" spans="2:5">
      <c r="B2435" s="65" t="str">
        <f t="shared" si="37"/>
        <v>doc-2069:5</v>
      </c>
      <c r="C2435" t="s">
        <v>10011</v>
      </c>
      <c r="D2435">
        <v>5</v>
      </c>
      <c r="E2435" t="s">
        <v>2849</v>
      </c>
    </row>
    <row r="2436" spans="2:5">
      <c r="B2436" s="65" t="str">
        <f t="shared" ref="B2436:B2499" si="38">$C2436&amp;":"&amp;$D2436</f>
        <v>doc-2071:1</v>
      </c>
      <c r="C2436" t="s">
        <v>10012</v>
      </c>
      <c r="D2436">
        <v>1</v>
      </c>
      <c r="E2436" t="s">
        <v>82</v>
      </c>
    </row>
    <row r="2437" spans="2:5">
      <c r="B2437" s="65" t="str">
        <f t="shared" si="38"/>
        <v>doc-2071:2</v>
      </c>
      <c r="C2437" t="s">
        <v>10012</v>
      </c>
      <c r="D2437">
        <v>2</v>
      </c>
      <c r="E2437" t="s">
        <v>79</v>
      </c>
    </row>
    <row r="2438" spans="2:5">
      <c r="B2438" s="65" t="str">
        <f t="shared" si="38"/>
        <v>doc-2071:3</v>
      </c>
      <c r="C2438" t="s">
        <v>10012</v>
      </c>
      <c r="D2438">
        <v>3</v>
      </c>
      <c r="E2438" t="s">
        <v>1227</v>
      </c>
    </row>
    <row r="2439" spans="2:5">
      <c r="B2439" s="65" t="str">
        <f t="shared" si="38"/>
        <v>doc-2071:4</v>
      </c>
      <c r="C2439" t="s">
        <v>10012</v>
      </c>
      <c r="D2439">
        <v>4</v>
      </c>
      <c r="E2439" t="s">
        <v>1203</v>
      </c>
    </row>
    <row r="2440" spans="2:5">
      <c r="B2440" s="65" t="str">
        <f t="shared" si="38"/>
        <v>doc-2071:5</v>
      </c>
      <c r="C2440" t="s">
        <v>10012</v>
      </c>
      <c r="D2440">
        <v>5</v>
      </c>
      <c r="E2440" t="s">
        <v>1221</v>
      </c>
    </row>
    <row r="2441" spans="2:5">
      <c r="B2441" s="65" t="str">
        <f t="shared" si="38"/>
        <v>doc-2089:1</v>
      </c>
      <c r="C2441" t="s">
        <v>10013</v>
      </c>
      <c r="D2441">
        <v>1</v>
      </c>
      <c r="E2441" t="s">
        <v>2911</v>
      </c>
    </row>
    <row r="2442" spans="2:5">
      <c r="B2442" s="65" t="str">
        <f t="shared" si="38"/>
        <v>doc-2089:2</v>
      </c>
      <c r="C2442" t="s">
        <v>10013</v>
      </c>
      <c r="D2442">
        <v>2</v>
      </c>
      <c r="E2442" t="s">
        <v>2903</v>
      </c>
    </row>
    <row r="2443" spans="2:5">
      <c r="B2443" s="65" t="str">
        <f t="shared" si="38"/>
        <v>doc-2089:3</v>
      </c>
      <c r="C2443" t="s">
        <v>10013</v>
      </c>
      <c r="D2443">
        <v>3</v>
      </c>
      <c r="E2443" t="s">
        <v>1866</v>
      </c>
    </row>
    <row r="2444" spans="2:5">
      <c r="B2444" s="65" t="str">
        <f t="shared" si="38"/>
        <v>doc-2089:4</v>
      </c>
      <c r="C2444" t="s">
        <v>10013</v>
      </c>
      <c r="D2444">
        <v>4</v>
      </c>
      <c r="E2444" t="s">
        <v>3010</v>
      </c>
    </row>
    <row r="2445" spans="2:5">
      <c r="B2445" s="65" t="str">
        <f t="shared" si="38"/>
        <v>doc-2089:5</v>
      </c>
      <c r="C2445" t="s">
        <v>10013</v>
      </c>
      <c r="D2445">
        <v>5</v>
      </c>
      <c r="E2445" t="s">
        <v>2849</v>
      </c>
    </row>
    <row r="2446" spans="2:5">
      <c r="B2446" s="65" t="str">
        <f t="shared" si="38"/>
        <v>doc-2094a:1</v>
      </c>
      <c r="C2446" t="s">
        <v>10014</v>
      </c>
      <c r="D2446">
        <v>1</v>
      </c>
      <c r="E2446" t="s">
        <v>1773</v>
      </c>
    </row>
    <row r="2447" spans="2:5">
      <c r="B2447" s="65" t="str">
        <f t="shared" si="38"/>
        <v>doc-2094a:2</v>
      </c>
      <c r="C2447" t="s">
        <v>10014</v>
      </c>
      <c r="D2447">
        <v>2</v>
      </c>
      <c r="E2447" t="s">
        <v>1343</v>
      </c>
    </row>
    <row r="2448" spans="2:5">
      <c r="B2448" s="65" t="str">
        <f t="shared" si="38"/>
        <v>doc-2094a:3</v>
      </c>
      <c r="C2448" t="s">
        <v>10014</v>
      </c>
      <c r="D2448">
        <v>3</v>
      </c>
      <c r="E2448" t="s">
        <v>101</v>
      </c>
    </row>
    <row r="2449" spans="2:5">
      <c r="B2449" s="65" t="str">
        <f t="shared" si="38"/>
        <v>doc-2094a:4</v>
      </c>
      <c r="C2449" t="s">
        <v>10014</v>
      </c>
      <c r="D2449">
        <v>4</v>
      </c>
      <c r="E2449" t="s">
        <v>92</v>
      </c>
    </row>
    <row r="2450" spans="2:5">
      <c r="B2450" s="65" t="str">
        <f t="shared" si="38"/>
        <v>doc-2103:1</v>
      </c>
      <c r="C2450" t="s">
        <v>10015</v>
      </c>
      <c r="D2450">
        <v>1</v>
      </c>
      <c r="E2450" t="s">
        <v>1927</v>
      </c>
    </row>
    <row r="2451" spans="2:5">
      <c r="B2451" s="65" t="str">
        <f t="shared" si="38"/>
        <v>doc-2103:2</v>
      </c>
      <c r="C2451" t="s">
        <v>10015</v>
      </c>
      <c r="D2451">
        <v>2</v>
      </c>
      <c r="E2451" t="s">
        <v>1967</v>
      </c>
    </row>
    <row r="2452" spans="2:5">
      <c r="B2452" s="65" t="str">
        <f t="shared" si="38"/>
        <v>doc-2104:1</v>
      </c>
      <c r="C2452" t="s">
        <v>10016</v>
      </c>
      <c r="D2452">
        <v>1</v>
      </c>
      <c r="E2452" t="s">
        <v>1927</v>
      </c>
    </row>
    <row r="2453" spans="2:5">
      <c r="B2453" s="65" t="str">
        <f t="shared" si="38"/>
        <v>doc-2104:2</v>
      </c>
      <c r="C2453" t="s">
        <v>10016</v>
      </c>
      <c r="D2453">
        <v>2</v>
      </c>
      <c r="E2453" t="s">
        <v>1967</v>
      </c>
    </row>
    <row r="2454" spans="2:5">
      <c r="B2454" s="65" t="str">
        <f t="shared" si="38"/>
        <v>doc-2109:1</v>
      </c>
      <c r="C2454" t="s">
        <v>10017</v>
      </c>
      <c r="D2454">
        <v>1</v>
      </c>
      <c r="E2454" t="s">
        <v>1833</v>
      </c>
    </row>
    <row r="2455" spans="2:5">
      <c r="B2455" s="65" t="str">
        <f t="shared" si="38"/>
        <v>doc-2109:2</v>
      </c>
      <c r="C2455" t="s">
        <v>10017</v>
      </c>
      <c r="D2455">
        <v>2</v>
      </c>
      <c r="E2455" t="s">
        <v>2954</v>
      </c>
    </row>
    <row r="2456" spans="2:5">
      <c r="B2456" s="65" t="str">
        <f t="shared" si="38"/>
        <v>doc-2109:3</v>
      </c>
      <c r="C2456" t="s">
        <v>10017</v>
      </c>
      <c r="D2456">
        <v>3</v>
      </c>
      <c r="E2456" t="s">
        <v>2960</v>
      </c>
    </row>
    <row r="2457" spans="2:5">
      <c r="B2457" s="65" t="str">
        <f t="shared" si="38"/>
        <v>doc-2109:4</v>
      </c>
      <c r="C2457" t="s">
        <v>10017</v>
      </c>
      <c r="D2457">
        <v>4</v>
      </c>
      <c r="E2457" t="s">
        <v>2926</v>
      </c>
    </row>
    <row r="2458" spans="2:5">
      <c r="B2458" s="65" t="str">
        <f t="shared" si="38"/>
        <v>doc-2109:5</v>
      </c>
      <c r="C2458" t="s">
        <v>10017</v>
      </c>
      <c r="D2458">
        <v>5</v>
      </c>
      <c r="E2458" t="s">
        <v>299</v>
      </c>
    </row>
    <row r="2459" spans="2:5">
      <c r="B2459" s="65" t="str">
        <f t="shared" si="38"/>
        <v>doc-2109:6</v>
      </c>
      <c r="C2459" t="s">
        <v>10017</v>
      </c>
      <c r="D2459">
        <v>6</v>
      </c>
      <c r="E2459" t="s">
        <v>2664</v>
      </c>
    </row>
    <row r="2460" spans="2:5">
      <c r="B2460" s="65" t="str">
        <f t="shared" si="38"/>
        <v>doc-2109:7</v>
      </c>
      <c r="C2460" t="s">
        <v>10017</v>
      </c>
      <c r="D2460">
        <v>7</v>
      </c>
      <c r="E2460" t="s">
        <v>1108</v>
      </c>
    </row>
    <row r="2461" spans="2:5">
      <c r="B2461" s="65" t="str">
        <f t="shared" si="38"/>
        <v>doc-2113a:1</v>
      </c>
      <c r="C2461" t="s">
        <v>10018</v>
      </c>
      <c r="D2461">
        <v>1</v>
      </c>
      <c r="E2461" t="s">
        <v>92</v>
      </c>
    </row>
    <row r="2462" spans="2:5">
      <c r="B2462" s="65" t="str">
        <f t="shared" si="38"/>
        <v>doc-2113a:2</v>
      </c>
      <c r="C2462" t="s">
        <v>10018</v>
      </c>
      <c r="D2462">
        <v>2</v>
      </c>
      <c r="E2462" t="s">
        <v>1744</v>
      </c>
    </row>
    <row r="2463" spans="2:5">
      <c r="B2463" s="65" t="str">
        <f t="shared" si="38"/>
        <v>doc-2113a:3</v>
      </c>
      <c r="C2463" t="s">
        <v>10018</v>
      </c>
      <c r="D2463">
        <v>3</v>
      </c>
      <c r="E2463" t="s">
        <v>1070</v>
      </c>
    </row>
    <row r="2464" spans="2:5">
      <c r="B2464" s="65" t="str">
        <f t="shared" si="38"/>
        <v>doc-2118:1</v>
      </c>
      <c r="C2464" t="s">
        <v>10019</v>
      </c>
      <c r="D2464">
        <v>1</v>
      </c>
      <c r="E2464" t="s">
        <v>2569</v>
      </c>
    </row>
    <row r="2465" spans="2:5">
      <c r="B2465" s="65" t="str">
        <f t="shared" si="38"/>
        <v>doc-2118:2</v>
      </c>
      <c r="C2465" t="s">
        <v>10019</v>
      </c>
      <c r="D2465">
        <v>2</v>
      </c>
      <c r="E2465" t="s">
        <v>1721</v>
      </c>
    </row>
    <row r="2466" spans="2:5">
      <c r="B2466" s="65" t="str">
        <f t="shared" si="38"/>
        <v>doc-2118:3</v>
      </c>
      <c r="C2466" t="s">
        <v>10019</v>
      </c>
      <c r="D2466">
        <v>3</v>
      </c>
      <c r="E2466" t="s">
        <v>2784</v>
      </c>
    </row>
    <row r="2467" spans="2:5">
      <c r="B2467" s="65" t="str">
        <f t="shared" si="38"/>
        <v>doc-2119:1</v>
      </c>
      <c r="C2467" t="s">
        <v>10020</v>
      </c>
      <c r="D2467">
        <v>1</v>
      </c>
      <c r="E2467" t="s">
        <v>2784</v>
      </c>
    </row>
    <row r="2468" spans="2:5">
      <c r="B2468" s="65" t="str">
        <f t="shared" si="38"/>
        <v>doc-2119:2</v>
      </c>
      <c r="C2468" t="s">
        <v>10020</v>
      </c>
      <c r="D2468">
        <v>2</v>
      </c>
      <c r="E2468" t="s">
        <v>2566</v>
      </c>
    </row>
    <row r="2469" spans="2:5">
      <c r="B2469" s="65" t="str">
        <f t="shared" si="38"/>
        <v>doc-2120:1</v>
      </c>
      <c r="C2469" t="s">
        <v>10021</v>
      </c>
      <c r="D2469">
        <v>1</v>
      </c>
      <c r="E2469" t="s">
        <v>82</v>
      </c>
    </row>
    <row r="2470" spans="2:5">
      <c r="B2470" s="65" t="str">
        <f t="shared" si="38"/>
        <v>doc-2121:1</v>
      </c>
      <c r="C2470" t="s">
        <v>10022</v>
      </c>
      <c r="D2470">
        <v>1</v>
      </c>
      <c r="E2470" t="s">
        <v>82</v>
      </c>
    </row>
    <row r="2471" spans="2:5">
      <c r="B2471" s="65" t="str">
        <f t="shared" si="38"/>
        <v>doc-2122:1</v>
      </c>
      <c r="C2471" t="s">
        <v>10023</v>
      </c>
      <c r="D2471">
        <v>1</v>
      </c>
      <c r="E2471" t="s">
        <v>82</v>
      </c>
    </row>
    <row r="2472" spans="2:5">
      <c r="B2472" s="65" t="str">
        <f t="shared" si="38"/>
        <v>doc-2123:1</v>
      </c>
      <c r="C2472" t="s">
        <v>10024</v>
      </c>
      <c r="D2472">
        <v>1</v>
      </c>
      <c r="E2472" t="s">
        <v>82</v>
      </c>
    </row>
    <row r="2473" spans="2:5">
      <c r="B2473" s="65" t="str">
        <f t="shared" si="38"/>
        <v>doc-2126:1</v>
      </c>
      <c r="C2473" t="s">
        <v>6020</v>
      </c>
      <c r="D2473">
        <v>1</v>
      </c>
      <c r="E2473" t="s">
        <v>1561</v>
      </c>
    </row>
    <row r="2474" spans="2:5">
      <c r="B2474" s="65" t="str">
        <f t="shared" si="38"/>
        <v>doc-2126:2</v>
      </c>
      <c r="C2474" t="s">
        <v>6020</v>
      </c>
      <c r="D2474">
        <v>2</v>
      </c>
      <c r="E2474" t="s">
        <v>2197</v>
      </c>
    </row>
    <row r="2475" spans="2:5">
      <c r="B2475" s="65" t="str">
        <f t="shared" si="38"/>
        <v>doc-2126:3</v>
      </c>
      <c r="C2475" t="s">
        <v>6020</v>
      </c>
      <c r="D2475">
        <v>3</v>
      </c>
      <c r="E2475" t="s">
        <v>82</v>
      </c>
    </row>
    <row r="2476" spans="2:5">
      <c r="B2476" s="65" t="str">
        <f t="shared" si="38"/>
        <v>doc-2126:4</v>
      </c>
      <c r="C2476" t="s">
        <v>6020</v>
      </c>
      <c r="D2476">
        <v>4</v>
      </c>
      <c r="E2476" t="s">
        <v>1197</v>
      </c>
    </row>
    <row r="2477" spans="2:5">
      <c r="B2477" s="65" t="str">
        <f t="shared" si="38"/>
        <v>doc-2126:5</v>
      </c>
      <c r="C2477" t="s">
        <v>6020</v>
      </c>
      <c r="D2477">
        <v>5</v>
      </c>
      <c r="E2477" t="s">
        <v>1078</v>
      </c>
    </row>
    <row r="2478" spans="2:5">
      <c r="B2478" s="65" t="str">
        <f t="shared" si="38"/>
        <v>doc-2127:1</v>
      </c>
      <c r="C2478" t="s">
        <v>10025</v>
      </c>
      <c r="D2478">
        <v>1</v>
      </c>
      <c r="E2478" t="s">
        <v>82</v>
      </c>
    </row>
    <row r="2479" spans="2:5">
      <c r="B2479" s="65" t="str">
        <f t="shared" si="38"/>
        <v>doc-2127:2</v>
      </c>
      <c r="C2479" t="s">
        <v>10025</v>
      </c>
      <c r="D2479">
        <v>2</v>
      </c>
      <c r="E2479" t="s">
        <v>79</v>
      </c>
    </row>
    <row r="2480" spans="2:5">
      <c r="B2480" s="65" t="str">
        <f t="shared" si="38"/>
        <v>doc-2127:3</v>
      </c>
      <c r="C2480" t="s">
        <v>10025</v>
      </c>
      <c r="D2480">
        <v>3</v>
      </c>
      <c r="E2480" t="s">
        <v>1227</v>
      </c>
    </row>
    <row r="2481" spans="2:5">
      <c r="B2481" s="65" t="str">
        <f t="shared" si="38"/>
        <v>doc-2127:4</v>
      </c>
      <c r="C2481" t="s">
        <v>10025</v>
      </c>
      <c r="D2481">
        <v>4</v>
      </c>
      <c r="E2481" t="s">
        <v>1203</v>
      </c>
    </row>
    <row r="2482" spans="2:5">
      <c r="B2482" s="65" t="str">
        <f t="shared" si="38"/>
        <v>doc-2127:5</v>
      </c>
      <c r="C2482" t="s">
        <v>10025</v>
      </c>
      <c r="D2482">
        <v>5</v>
      </c>
      <c r="E2482" t="s">
        <v>1221</v>
      </c>
    </row>
    <row r="2483" spans="2:5">
      <c r="B2483" s="65" t="str">
        <f t="shared" si="38"/>
        <v>doc-2128:1</v>
      </c>
      <c r="C2483" t="s">
        <v>10026</v>
      </c>
      <c r="D2483">
        <v>1</v>
      </c>
      <c r="E2483" t="s">
        <v>1787</v>
      </c>
    </row>
    <row r="2484" spans="2:5">
      <c r="B2484" s="65" t="str">
        <f t="shared" si="38"/>
        <v>doc-2128:2</v>
      </c>
      <c r="C2484" t="s">
        <v>10026</v>
      </c>
      <c r="D2484">
        <v>2</v>
      </c>
      <c r="E2484" t="s">
        <v>85</v>
      </c>
    </row>
    <row r="2485" spans="2:5">
      <c r="B2485" s="65" t="str">
        <f t="shared" si="38"/>
        <v>doc-2128:3</v>
      </c>
      <c r="C2485" t="s">
        <v>10026</v>
      </c>
      <c r="D2485">
        <v>3</v>
      </c>
      <c r="E2485" t="s">
        <v>92</v>
      </c>
    </row>
    <row r="2486" spans="2:5">
      <c r="B2486" s="65" t="str">
        <f t="shared" si="38"/>
        <v>doc-2128:4</v>
      </c>
      <c r="C2486" t="s">
        <v>10026</v>
      </c>
      <c r="D2486">
        <v>4</v>
      </c>
      <c r="E2486" t="s">
        <v>101</v>
      </c>
    </row>
    <row r="2487" spans="2:5">
      <c r="B2487" s="65" t="str">
        <f t="shared" si="38"/>
        <v>doc-2128:5</v>
      </c>
      <c r="C2487" t="s">
        <v>10026</v>
      </c>
      <c r="D2487">
        <v>5</v>
      </c>
      <c r="E2487" t="s">
        <v>1905</v>
      </c>
    </row>
    <row r="2488" spans="2:5">
      <c r="B2488" s="65" t="str">
        <f t="shared" si="38"/>
        <v>doc-2128:6</v>
      </c>
      <c r="C2488" t="s">
        <v>10026</v>
      </c>
      <c r="D2488">
        <v>6</v>
      </c>
      <c r="E2488" t="s">
        <v>1872</v>
      </c>
    </row>
    <row r="2489" spans="2:5">
      <c r="B2489" s="65" t="str">
        <f t="shared" si="38"/>
        <v>doc-2129:1</v>
      </c>
      <c r="C2489" t="s">
        <v>10027</v>
      </c>
      <c r="D2489">
        <v>1</v>
      </c>
      <c r="E2489" t="s">
        <v>1787</v>
      </c>
    </row>
    <row r="2490" spans="2:5">
      <c r="B2490" s="65" t="str">
        <f t="shared" si="38"/>
        <v>doc-2129:2</v>
      </c>
      <c r="C2490" t="s">
        <v>10027</v>
      </c>
      <c r="D2490">
        <v>2</v>
      </c>
      <c r="E2490" t="s">
        <v>85</v>
      </c>
    </row>
    <row r="2491" spans="2:5">
      <c r="B2491" s="65" t="str">
        <f t="shared" si="38"/>
        <v>doc-2129:3</v>
      </c>
      <c r="C2491" t="s">
        <v>10027</v>
      </c>
      <c r="D2491">
        <v>3</v>
      </c>
      <c r="E2491" t="s">
        <v>92</v>
      </c>
    </row>
    <row r="2492" spans="2:5">
      <c r="B2492" s="65" t="str">
        <f t="shared" si="38"/>
        <v>doc-2129:4</v>
      </c>
      <c r="C2492" t="s">
        <v>10027</v>
      </c>
      <c r="D2492">
        <v>4</v>
      </c>
      <c r="E2492" t="s">
        <v>101</v>
      </c>
    </row>
    <row r="2493" spans="2:5">
      <c r="B2493" s="65" t="str">
        <f t="shared" si="38"/>
        <v>doc-2129:5</v>
      </c>
      <c r="C2493" t="s">
        <v>10027</v>
      </c>
      <c r="D2493">
        <v>5</v>
      </c>
      <c r="E2493" t="s">
        <v>1905</v>
      </c>
    </row>
    <row r="2494" spans="2:5">
      <c r="B2494" s="65" t="str">
        <f t="shared" si="38"/>
        <v>doc-2129:6</v>
      </c>
      <c r="C2494" t="s">
        <v>10027</v>
      </c>
      <c r="D2494">
        <v>6</v>
      </c>
      <c r="E2494" t="s">
        <v>1872</v>
      </c>
    </row>
    <row r="2495" spans="2:5">
      <c r="B2495" s="65" t="str">
        <f t="shared" si="38"/>
        <v>doc-2129:7</v>
      </c>
      <c r="C2495" t="s">
        <v>10027</v>
      </c>
      <c r="D2495">
        <v>7</v>
      </c>
      <c r="E2495" t="s">
        <v>2324</v>
      </c>
    </row>
    <row r="2496" spans="2:5">
      <c r="B2496" s="65" t="str">
        <f t="shared" si="38"/>
        <v>doc-2130:1</v>
      </c>
      <c r="C2496" t="s">
        <v>10028</v>
      </c>
      <c r="D2496">
        <v>1</v>
      </c>
      <c r="E2496" t="s">
        <v>2810</v>
      </c>
    </row>
    <row r="2497" spans="2:5">
      <c r="B2497" s="65" t="str">
        <f t="shared" si="38"/>
        <v>doc-2130:2</v>
      </c>
      <c r="C2497" t="s">
        <v>10028</v>
      </c>
      <c r="D2497">
        <v>2</v>
      </c>
      <c r="E2497" t="s">
        <v>2805</v>
      </c>
    </row>
    <row r="2498" spans="2:5">
      <c r="B2498" s="65" t="str">
        <f t="shared" si="38"/>
        <v>doc-2130:3</v>
      </c>
      <c r="C2498" t="s">
        <v>10028</v>
      </c>
      <c r="D2498">
        <v>3</v>
      </c>
      <c r="E2498" t="s">
        <v>1630</v>
      </c>
    </row>
    <row r="2499" spans="2:5">
      <c r="B2499" s="65" t="str">
        <f t="shared" si="38"/>
        <v>doc-2131:1</v>
      </c>
      <c r="C2499" t="s">
        <v>10029</v>
      </c>
      <c r="D2499">
        <v>1</v>
      </c>
      <c r="E2499" t="s">
        <v>2101</v>
      </c>
    </row>
    <row r="2500" spans="2:5">
      <c r="B2500" s="65" t="str">
        <f t="shared" ref="B2500:B2563" si="39">$C2500&amp;":"&amp;$D2500</f>
        <v>doc-2131:2</v>
      </c>
      <c r="C2500" t="s">
        <v>10029</v>
      </c>
      <c r="D2500">
        <v>2</v>
      </c>
      <c r="E2500" t="s">
        <v>1833</v>
      </c>
    </row>
    <row r="2501" spans="2:5">
      <c r="B2501" s="65" t="str">
        <f t="shared" si="39"/>
        <v>doc-2132:1</v>
      </c>
      <c r="C2501" t="s">
        <v>10030</v>
      </c>
      <c r="D2501">
        <v>1</v>
      </c>
      <c r="E2501" t="s">
        <v>76</v>
      </c>
    </row>
    <row r="2502" spans="2:5">
      <c r="B2502" s="65" t="str">
        <f t="shared" si="39"/>
        <v>doc-2132:2</v>
      </c>
      <c r="C2502" t="s">
        <v>10030</v>
      </c>
      <c r="D2502">
        <v>2</v>
      </c>
      <c r="E2502" t="s">
        <v>87</v>
      </c>
    </row>
    <row r="2503" spans="2:5">
      <c r="B2503" s="65" t="str">
        <f t="shared" si="39"/>
        <v>doc-2132:3</v>
      </c>
      <c r="C2503" t="s">
        <v>10030</v>
      </c>
      <c r="D2503">
        <v>3</v>
      </c>
      <c r="E2503" t="s">
        <v>73</v>
      </c>
    </row>
    <row r="2504" spans="2:5">
      <c r="B2504" s="65" t="str">
        <f t="shared" si="39"/>
        <v>doc-2132:4</v>
      </c>
      <c r="C2504" t="s">
        <v>10030</v>
      </c>
      <c r="D2504">
        <v>4</v>
      </c>
      <c r="E2504" t="s">
        <v>1968</v>
      </c>
    </row>
    <row r="2505" spans="2:5">
      <c r="B2505" s="65" t="str">
        <f t="shared" si="39"/>
        <v>doc-2133a:1</v>
      </c>
      <c r="C2505" t="s">
        <v>10031</v>
      </c>
      <c r="D2505">
        <v>1</v>
      </c>
      <c r="E2505" t="s">
        <v>1744</v>
      </c>
    </row>
    <row r="2506" spans="2:5">
      <c r="B2506" s="65" t="str">
        <f t="shared" si="39"/>
        <v>doc-2133a:2</v>
      </c>
      <c r="C2506" t="s">
        <v>10031</v>
      </c>
      <c r="D2506">
        <v>2</v>
      </c>
      <c r="E2506" t="s">
        <v>79</v>
      </c>
    </row>
    <row r="2507" spans="2:5">
      <c r="B2507" s="65" t="str">
        <f t="shared" si="39"/>
        <v>doc-2133a:3</v>
      </c>
      <c r="C2507" t="s">
        <v>10031</v>
      </c>
      <c r="D2507">
        <v>3</v>
      </c>
      <c r="E2507" t="s">
        <v>1737</v>
      </c>
    </row>
    <row r="2508" spans="2:5">
      <c r="B2508" s="65" t="str">
        <f t="shared" si="39"/>
        <v>doc-2135:1</v>
      </c>
      <c r="C2508" t="s">
        <v>10032</v>
      </c>
      <c r="D2508">
        <v>1</v>
      </c>
      <c r="E2508" t="s">
        <v>1737</v>
      </c>
    </row>
    <row r="2509" spans="2:5">
      <c r="B2509" s="65" t="str">
        <f t="shared" si="39"/>
        <v>doc-2135:2</v>
      </c>
      <c r="C2509" t="s">
        <v>10032</v>
      </c>
      <c r="D2509">
        <v>2</v>
      </c>
      <c r="E2509" t="s">
        <v>1744</v>
      </c>
    </row>
    <row r="2510" spans="2:5">
      <c r="B2510" s="65" t="str">
        <f t="shared" si="39"/>
        <v>doc-2135:3</v>
      </c>
      <c r="C2510" t="s">
        <v>10032</v>
      </c>
      <c r="D2510">
        <v>3</v>
      </c>
      <c r="E2510" t="s">
        <v>1730</v>
      </c>
    </row>
    <row r="2511" spans="2:5">
      <c r="B2511" s="65" t="str">
        <f t="shared" si="39"/>
        <v>doc-2135:4</v>
      </c>
      <c r="C2511" t="s">
        <v>10032</v>
      </c>
      <c r="D2511">
        <v>4</v>
      </c>
      <c r="E2511" t="s">
        <v>1777</v>
      </c>
    </row>
    <row r="2512" spans="2:5">
      <c r="B2512" s="65" t="str">
        <f t="shared" si="39"/>
        <v>doc-2135:5</v>
      </c>
      <c r="C2512" t="s">
        <v>10032</v>
      </c>
      <c r="D2512">
        <v>5</v>
      </c>
      <c r="E2512" t="s">
        <v>1734</v>
      </c>
    </row>
    <row r="2513" spans="2:5">
      <c r="B2513" s="65" t="str">
        <f t="shared" si="39"/>
        <v>doc-2135:6</v>
      </c>
      <c r="C2513" t="s">
        <v>10032</v>
      </c>
      <c r="D2513">
        <v>6</v>
      </c>
      <c r="E2513" t="s">
        <v>1782</v>
      </c>
    </row>
    <row r="2514" spans="2:5">
      <c r="B2514" s="65" t="str">
        <f t="shared" si="39"/>
        <v>doc-2135:7</v>
      </c>
      <c r="C2514" t="s">
        <v>10032</v>
      </c>
      <c r="D2514">
        <v>7</v>
      </c>
      <c r="E2514" t="s">
        <v>2664</v>
      </c>
    </row>
    <row r="2515" spans="2:5">
      <c r="B2515" s="65" t="str">
        <f t="shared" si="39"/>
        <v>doc-2135:8</v>
      </c>
      <c r="C2515" t="s">
        <v>10032</v>
      </c>
      <c r="D2515">
        <v>8</v>
      </c>
      <c r="E2515" t="s">
        <v>2422</v>
      </c>
    </row>
    <row r="2516" spans="2:5">
      <c r="B2516" s="65" t="str">
        <f t="shared" si="39"/>
        <v>doc-2135:9</v>
      </c>
      <c r="C2516" t="s">
        <v>10032</v>
      </c>
      <c r="D2516">
        <v>9</v>
      </c>
      <c r="E2516" t="s">
        <v>2494</v>
      </c>
    </row>
    <row r="2517" spans="2:5">
      <c r="B2517" s="65" t="str">
        <f t="shared" si="39"/>
        <v>doc-2135:10</v>
      </c>
      <c r="C2517" t="s">
        <v>10032</v>
      </c>
      <c r="D2517">
        <v>10</v>
      </c>
      <c r="E2517" t="s">
        <v>1968</v>
      </c>
    </row>
    <row r="2518" spans="2:5">
      <c r="B2518" s="65" t="str">
        <f t="shared" si="39"/>
        <v>doc-2135:11</v>
      </c>
      <c r="C2518" t="s">
        <v>10032</v>
      </c>
      <c r="D2518">
        <v>11</v>
      </c>
      <c r="E2518" t="s">
        <v>1941</v>
      </c>
    </row>
    <row r="2519" spans="2:5">
      <c r="B2519" s="65" t="str">
        <f t="shared" si="39"/>
        <v>doc-2135:12</v>
      </c>
      <c r="C2519" t="s">
        <v>10032</v>
      </c>
      <c r="D2519">
        <v>12</v>
      </c>
      <c r="E2519" t="s">
        <v>1833</v>
      </c>
    </row>
    <row r="2520" spans="2:5">
      <c r="B2520" s="65" t="str">
        <f t="shared" si="39"/>
        <v>doc-2137:1</v>
      </c>
      <c r="C2520" t="s">
        <v>10033</v>
      </c>
      <c r="D2520">
        <v>1</v>
      </c>
      <c r="E2520" t="s">
        <v>2325</v>
      </c>
    </row>
    <row r="2521" spans="2:5">
      <c r="B2521" s="65" t="str">
        <f t="shared" si="39"/>
        <v>doc-2137:2</v>
      </c>
      <c r="C2521" t="s">
        <v>10033</v>
      </c>
      <c r="D2521">
        <v>2</v>
      </c>
      <c r="E2521" t="s">
        <v>1905</v>
      </c>
    </row>
    <row r="2522" spans="2:5">
      <c r="B2522" s="65" t="str">
        <f t="shared" si="39"/>
        <v>doc-2137:3</v>
      </c>
      <c r="C2522" t="s">
        <v>10033</v>
      </c>
      <c r="D2522">
        <v>3</v>
      </c>
      <c r="E2522" t="s">
        <v>2324</v>
      </c>
    </row>
    <row r="2523" spans="2:5">
      <c r="B2523" s="65" t="str">
        <f t="shared" si="39"/>
        <v>doc-2137:4</v>
      </c>
      <c r="C2523" t="s">
        <v>10033</v>
      </c>
      <c r="D2523">
        <v>4</v>
      </c>
      <c r="E2523" t="s">
        <v>2003</v>
      </c>
    </row>
    <row r="2524" spans="2:5">
      <c r="B2524" s="65" t="str">
        <f t="shared" si="39"/>
        <v>doc-2137:5</v>
      </c>
      <c r="C2524" t="s">
        <v>10033</v>
      </c>
      <c r="D2524">
        <v>5</v>
      </c>
      <c r="E2524" t="s">
        <v>1973</v>
      </c>
    </row>
    <row r="2525" spans="2:5">
      <c r="B2525" s="65" t="str">
        <f t="shared" si="39"/>
        <v>doc-2138:1</v>
      </c>
      <c r="C2525" t="s">
        <v>10034</v>
      </c>
      <c r="D2525">
        <v>1</v>
      </c>
      <c r="E2525" t="s">
        <v>2318</v>
      </c>
    </row>
    <row r="2526" spans="2:5">
      <c r="B2526" s="65" t="str">
        <f t="shared" si="39"/>
        <v>doc-2138:2</v>
      </c>
      <c r="C2526" t="s">
        <v>10034</v>
      </c>
      <c r="D2526">
        <v>2</v>
      </c>
      <c r="E2526" t="s">
        <v>2325</v>
      </c>
    </row>
    <row r="2527" spans="2:5">
      <c r="B2527" s="65" t="str">
        <f t="shared" si="39"/>
        <v>doc-2138:3</v>
      </c>
      <c r="C2527" t="s">
        <v>10034</v>
      </c>
      <c r="D2527">
        <v>3</v>
      </c>
      <c r="E2527" t="s">
        <v>1905</v>
      </c>
    </row>
    <row r="2528" spans="2:5">
      <c r="B2528" s="65" t="str">
        <f t="shared" si="39"/>
        <v>doc-2138:4</v>
      </c>
      <c r="C2528" t="s">
        <v>10034</v>
      </c>
      <c r="D2528">
        <v>4</v>
      </c>
      <c r="E2528" t="s">
        <v>2324</v>
      </c>
    </row>
    <row r="2529" spans="2:5">
      <c r="B2529" s="65" t="str">
        <f t="shared" si="39"/>
        <v>doc-2138:5</v>
      </c>
      <c r="C2529" t="s">
        <v>10034</v>
      </c>
      <c r="D2529">
        <v>5</v>
      </c>
      <c r="E2529" t="s">
        <v>1872</v>
      </c>
    </row>
    <row r="2530" spans="2:5">
      <c r="B2530" s="65" t="str">
        <f t="shared" si="39"/>
        <v>doc-2138:6</v>
      </c>
      <c r="C2530" t="s">
        <v>10034</v>
      </c>
      <c r="D2530">
        <v>6</v>
      </c>
      <c r="E2530" t="s">
        <v>2003</v>
      </c>
    </row>
    <row r="2531" spans="2:5">
      <c r="B2531" s="65" t="str">
        <f t="shared" si="39"/>
        <v>doc-2138:7</v>
      </c>
      <c r="C2531" t="s">
        <v>10034</v>
      </c>
      <c r="D2531">
        <v>7</v>
      </c>
      <c r="E2531" t="s">
        <v>1787</v>
      </c>
    </row>
    <row r="2532" spans="2:5">
      <c r="B2532" s="65" t="str">
        <f t="shared" si="39"/>
        <v>doc-2139:1</v>
      </c>
      <c r="C2532" t="s">
        <v>6025</v>
      </c>
      <c r="D2532">
        <v>1</v>
      </c>
      <c r="E2532" t="s">
        <v>3178</v>
      </c>
    </row>
    <row r="2533" spans="2:5">
      <c r="B2533" s="65" t="str">
        <f t="shared" si="39"/>
        <v>doc-2139:2</v>
      </c>
      <c r="C2533" t="s">
        <v>6025</v>
      </c>
      <c r="D2533">
        <v>2</v>
      </c>
      <c r="E2533" t="s">
        <v>3176</v>
      </c>
    </row>
    <row r="2534" spans="2:5">
      <c r="B2534" s="65" t="str">
        <f t="shared" si="39"/>
        <v>doc-2139:3</v>
      </c>
      <c r="C2534" t="s">
        <v>6025</v>
      </c>
      <c r="D2534">
        <v>3</v>
      </c>
      <c r="E2534" t="s">
        <v>2324</v>
      </c>
    </row>
    <row r="2535" spans="2:5">
      <c r="B2535" s="65" t="str">
        <f t="shared" si="39"/>
        <v>doc-2139:4</v>
      </c>
      <c r="C2535" t="s">
        <v>6025</v>
      </c>
      <c r="D2535">
        <v>4</v>
      </c>
      <c r="E2535" t="s">
        <v>2300</v>
      </c>
    </row>
    <row r="2536" spans="2:5">
      <c r="B2536" s="65" t="str">
        <f t="shared" si="39"/>
        <v>doc-2139:5</v>
      </c>
      <c r="C2536" t="s">
        <v>6025</v>
      </c>
      <c r="D2536">
        <v>5</v>
      </c>
      <c r="E2536" t="s">
        <v>2295</v>
      </c>
    </row>
    <row r="2537" spans="2:5">
      <c r="B2537" s="65" t="str">
        <f t="shared" si="39"/>
        <v>doc-2140:1</v>
      </c>
      <c r="C2537" t="s">
        <v>10035</v>
      </c>
      <c r="D2537">
        <v>1</v>
      </c>
      <c r="E2537" t="s">
        <v>2494</v>
      </c>
    </row>
    <row r="2538" spans="2:5">
      <c r="B2538" s="65" t="str">
        <f t="shared" si="39"/>
        <v>doc-2140:2</v>
      </c>
      <c r="C2538" t="s">
        <v>10035</v>
      </c>
      <c r="D2538">
        <v>2</v>
      </c>
      <c r="E2538" t="s">
        <v>1968</v>
      </c>
    </row>
    <row r="2539" spans="2:5">
      <c r="B2539" s="65" t="str">
        <f t="shared" si="39"/>
        <v>doc-2140:3</v>
      </c>
      <c r="C2539" t="s">
        <v>10035</v>
      </c>
      <c r="D2539">
        <v>3</v>
      </c>
      <c r="E2539" t="s">
        <v>1833</v>
      </c>
    </row>
    <row r="2540" spans="2:5">
      <c r="B2540" s="65" t="str">
        <f t="shared" si="39"/>
        <v>doc-2140:4</v>
      </c>
      <c r="C2540" t="s">
        <v>10035</v>
      </c>
      <c r="D2540">
        <v>4</v>
      </c>
      <c r="E2540" t="s">
        <v>2422</v>
      </c>
    </row>
    <row r="2541" spans="2:5">
      <c r="B2541" s="65" t="str">
        <f t="shared" si="39"/>
        <v>doc-2140:5</v>
      </c>
      <c r="C2541" t="s">
        <v>10035</v>
      </c>
      <c r="D2541">
        <v>5</v>
      </c>
      <c r="E2541" t="s">
        <v>1744</v>
      </c>
    </row>
    <row r="2542" spans="2:5">
      <c r="B2542" s="65" t="str">
        <f t="shared" si="39"/>
        <v>doc-2140:6</v>
      </c>
      <c r="C2542" t="s">
        <v>10035</v>
      </c>
      <c r="D2542">
        <v>6</v>
      </c>
      <c r="E2542" t="s">
        <v>1737</v>
      </c>
    </row>
    <row r="2543" spans="2:5">
      <c r="B2543" s="65" t="str">
        <f t="shared" si="39"/>
        <v>doc-2141a:1</v>
      </c>
      <c r="C2543" t="s">
        <v>10036</v>
      </c>
      <c r="D2543">
        <v>1</v>
      </c>
      <c r="E2543" t="s">
        <v>2435</v>
      </c>
    </row>
    <row r="2544" spans="2:5">
      <c r="B2544" s="65" t="str">
        <f t="shared" si="39"/>
        <v>doc-2141a:2</v>
      </c>
      <c r="C2544" t="s">
        <v>10036</v>
      </c>
      <c r="D2544">
        <v>2</v>
      </c>
      <c r="E2544" t="s">
        <v>2422</v>
      </c>
    </row>
    <row r="2545" spans="2:5">
      <c r="B2545" s="65" t="str">
        <f t="shared" si="39"/>
        <v>doc-2143a:1</v>
      </c>
      <c r="C2545" t="s">
        <v>10037</v>
      </c>
      <c r="D2545">
        <v>1</v>
      </c>
      <c r="E2545" t="s">
        <v>2435</v>
      </c>
    </row>
    <row r="2546" spans="2:5">
      <c r="B2546" s="65" t="str">
        <f t="shared" si="39"/>
        <v>doc-2143a:2</v>
      </c>
      <c r="C2546" t="s">
        <v>10037</v>
      </c>
      <c r="D2546">
        <v>2</v>
      </c>
      <c r="E2546" t="s">
        <v>2422</v>
      </c>
    </row>
    <row r="2547" spans="2:5">
      <c r="B2547" s="65" t="str">
        <f t="shared" si="39"/>
        <v>doc-2144a:1</v>
      </c>
      <c r="C2547" t="s">
        <v>10038</v>
      </c>
      <c r="D2547">
        <v>1</v>
      </c>
      <c r="E2547" t="s">
        <v>2494</v>
      </c>
    </row>
    <row r="2548" spans="2:5">
      <c r="B2548" s="65" t="str">
        <f t="shared" si="39"/>
        <v>doc-2144a:2</v>
      </c>
      <c r="C2548" t="s">
        <v>10038</v>
      </c>
      <c r="D2548">
        <v>2</v>
      </c>
      <c r="E2548" t="s">
        <v>2422</v>
      </c>
    </row>
    <row r="2549" spans="2:5">
      <c r="B2549" s="65" t="str">
        <f t="shared" si="39"/>
        <v>doc-2146:1</v>
      </c>
      <c r="C2549" t="s">
        <v>10039</v>
      </c>
      <c r="D2549">
        <v>1</v>
      </c>
      <c r="E2549" t="s">
        <v>1093</v>
      </c>
    </row>
    <row r="2550" spans="2:5">
      <c r="B2550" s="65" t="str">
        <f t="shared" si="39"/>
        <v>doc-2146:2</v>
      </c>
      <c r="C2550" t="s">
        <v>10039</v>
      </c>
      <c r="D2550">
        <v>2</v>
      </c>
      <c r="E2550" t="s">
        <v>1090</v>
      </c>
    </row>
    <row r="2551" spans="2:5">
      <c r="B2551" s="65" t="str">
        <f t="shared" si="39"/>
        <v>doc-2146:3</v>
      </c>
      <c r="C2551" t="s">
        <v>10039</v>
      </c>
      <c r="D2551">
        <v>3</v>
      </c>
      <c r="E2551" t="s">
        <v>2422</v>
      </c>
    </row>
    <row r="2552" spans="2:5">
      <c r="B2552" s="65" t="str">
        <f t="shared" si="39"/>
        <v>doc-2146:4</v>
      </c>
      <c r="C2552" t="s">
        <v>10039</v>
      </c>
      <c r="D2552">
        <v>4</v>
      </c>
      <c r="E2552" t="s">
        <v>73</v>
      </c>
    </row>
    <row r="2553" spans="2:5">
      <c r="B2553" s="65" t="str">
        <f t="shared" si="39"/>
        <v>doc-2146:5</v>
      </c>
      <c r="C2553" t="s">
        <v>10039</v>
      </c>
      <c r="D2553">
        <v>5</v>
      </c>
      <c r="E2553" t="s">
        <v>1968</v>
      </c>
    </row>
    <row r="2554" spans="2:5">
      <c r="B2554" s="65" t="str">
        <f t="shared" si="39"/>
        <v>doc-2147a:1</v>
      </c>
      <c r="C2554" t="s">
        <v>10040</v>
      </c>
      <c r="D2554">
        <v>1</v>
      </c>
      <c r="E2554" t="s">
        <v>2485</v>
      </c>
    </row>
    <row r="2555" spans="2:5">
      <c r="B2555" s="65" t="str">
        <f t="shared" si="39"/>
        <v>doc-2147a:2</v>
      </c>
      <c r="C2555" t="s">
        <v>10040</v>
      </c>
      <c r="D2555">
        <v>2</v>
      </c>
      <c r="E2555" t="s">
        <v>2435</v>
      </c>
    </row>
    <row r="2556" spans="2:5">
      <c r="B2556" s="65" t="str">
        <f t="shared" si="39"/>
        <v>doc-2147a:3</v>
      </c>
      <c r="C2556" t="s">
        <v>10040</v>
      </c>
      <c r="D2556">
        <v>3</v>
      </c>
      <c r="E2556" t="s">
        <v>2422</v>
      </c>
    </row>
    <row r="2557" spans="2:5">
      <c r="B2557" s="65" t="str">
        <f t="shared" si="39"/>
        <v>doc-2153a:1</v>
      </c>
      <c r="C2557" t="s">
        <v>10041</v>
      </c>
      <c r="D2557">
        <v>1</v>
      </c>
      <c r="E2557" t="s">
        <v>1813</v>
      </c>
    </row>
    <row r="2558" spans="2:5">
      <c r="B2558" s="65" t="str">
        <f t="shared" si="39"/>
        <v>doc-2153a:2</v>
      </c>
      <c r="C2558" t="s">
        <v>10041</v>
      </c>
      <c r="D2558">
        <v>2</v>
      </c>
      <c r="E2558" t="s">
        <v>3112</v>
      </c>
    </row>
    <row r="2559" spans="2:5">
      <c r="B2559" s="65" t="str">
        <f t="shared" si="39"/>
        <v>doc-2153a:3</v>
      </c>
      <c r="C2559" t="s">
        <v>10041</v>
      </c>
      <c r="D2559">
        <v>3</v>
      </c>
      <c r="E2559" t="s">
        <v>1944</v>
      </c>
    </row>
    <row r="2560" spans="2:5">
      <c r="B2560" s="65" t="str">
        <f t="shared" si="39"/>
        <v>doc-2153a:4</v>
      </c>
      <c r="C2560" t="s">
        <v>10041</v>
      </c>
      <c r="D2560">
        <v>4</v>
      </c>
      <c r="E2560" t="s">
        <v>1880</v>
      </c>
    </row>
    <row r="2561" spans="2:5">
      <c r="B2561" s="65" t="str">
        <f t="shared" si="39"/>
        <v>doc-2153a:5</v>
      </c>
      <c r="C2561" t="s">
        <v>10041</v>
      </c>
      <c r="D2561">
        <v>5</v>
      </c>
      <c r="E2561" t="s">
        <v>1911</v>
      </c>
    </row>
    <row r="2562" spans="2:5">
      <c r="B2562" s="65" t="str">
        <f t="shared" si="39"/>
        <v>doc-2168:1</v>
      </c>
      <c r="C2562" t="s">
        <v>10042</v>
      </c>
      <c r="D2562">
        <v>1</v>
      </c>
      <c r="E2562" t="s">
        <v>2926</v>
      </c>
    </row>
    <row r="2563" spans="2:5">
      <c r="B2563" s="65" t="str">
        <f t="shared" si="39"/>
        <v>doc-2168:2</v>
      </c>
      <c r="C2563" t="s">
        <v>10042</v>
      </c>
      <c r="D2563">
        <v>2</v>
      </c>
      <c r="E2563" t="s">
        <v>299</v>
      </c>
    </row>
    <row r="2564" spans="2:5">
      <c r="B2564" s="65" t="str">
        <f t="shared" ref="B2564:B2627" si="40">$C2564&amp;":"&amp;$D2564</f>
        <v>doc-2168:3</v>
      </c>
      <c r="C2564" t="s">
        <v>10042</v>
      </c>
      <c r="D2564">
        <v>3</v>
      </c>
      <c r="E2564" t="s">
        <v>254</v>
      </c>
    </row>
    <row r="2565" spans="2:5">
      <c r="B2565" s="65" t="str">
        <f t="shared" si="40"/>
        <v>doc-2170:1</v>
      </c>
      <c r="C2565" t="s">
        <v>6030</v>
      </c>
      <c r="D2565">
        <v>1</v>
      </c>
      <c r="E2565" t="s">
        <v>90</v>
      </c>
    </row>
    <row r="2566" spans="2:5">
      <c r="B2566" s="65" t="str">
        <f t="shared" si="40"/>
        <v>doc-2170:2</v>
      </c>
      <c r="C2566" t="s">
        <v>6030</v>
      </c>
      <c r="D2566">
        <v>2</v>
      </c>
      <c r="E2566" t="s">
        <v>2954</v>
      </c>
    </row>
    <row r="2567" spans="2:5">
      <c r="B2567" s="65" t="str">
        <f t="shared" si="40"/>
        <v>doc-2170:3</v>
      </c>
      <c r="C2567" t="s">
        <v>6030</v>
      </c>
      <c r="D2567">
        <v>3</v>
      </c>
      <c r="E2567" t="s">
        <v>2967</v>
      </c>
    </row>
    <row r="2568" spans="2:5">
      <c r="B2568" s="65" t="str">
        <f t="shared" si="40"/>
        <v>doc-2170:4</v>
      </c>
      <c r="C2568" t="s">
        <v>6030</v>
      </c>
      <c r="D2568">
        <v>4</v>
      </c>
      <c r="E2568" t="s">
        <v>299</v>
      </c>
    </row>
    <row r="2569" spans="2:5">
      <c r="B2569" s="65" t="str">
        <f t="shared" si="40"/>
        <v>doc-2171:1</v>
      </c>
      <c r="C2569" t="s">
        <v>10043</v>
      </c>
      <c r="D2569">
        <v>1</v>
      </c>
      <c r="E2569" t="s">
        <v>2342</v>
      </c>
    </row>
    <row r="2570" spans="2:5">
      <c r="B2570" s="65" t="str">
        <f t="shared" si="40"/>
        <v>doc-2171:2</v>
      </c>
      <c r="C2570" t="s">
        <v>10043</v>
      </c>
      <c r="D2570">
        <v>2</v>
      </c>
      <c r="E2570" t="s">
        <v>1813</v>
      </c>
    </row>
    <row r="2571" spans="2:5">
      <c r="B2571" s="65" t="str">
        <f t="shared" si="40"/>
        <v>doc-2171:3</v>
      </c>
      <c r="C2571" t="s">
        <v>10043</v>
      </c>
      <c r="D2571">
        <v>3</v>
      </c>
      <c r="E2571" t="s">
        <v>2305</v>
      </c>
    </row>
    <row r="2572" spans="2:5">
      <c r="B2572" s="65" t="str">
        <f t="shared" si="40"/>
        <v>doc-2171:4</v>
      </c>
      <c r="C2572" t="s">
        <v>10043</v>
      </c>
      <c r="D2572">
        <v>4</v>
      </c>
      <c r="E2572" t="s">
        <v>296</v>
      </c>
    </row>
    <row r="2573" spans="2:5">
      <c r="B2573" s="65" t="str">
        <f t="shared" si="40"/>
        <v>doc-2171:5</v>
      </c>
      <c r="C2573" t="s">
        <v>10043</v>
      </c>
      <c r="D2573">
        <v>5</v>
      </c>
      <c r="E2573" t="s">
        <v>281</v>
      </c>
    </row>
    <row r="2574" spans="2:5">
      <c r="B2574" s="65" t="str">
        <f t="shared" si="40"/>
        <v>doc-2173:1</v>
      </c>
      <c r="C2574" t="s">
        <v>10044</v>
      </c>
      <c r="D2574">
        <v>1</v>
      </c>
      <c r="E2574" t="s">
        <v>2960</v>
      </c>
    </row>
    <row r="2575" spans="2:5">
      <c r="B2575" s="65" t="str">
        <f t="shared" si="40"/>
        <v>doc-2173:2</v>
      </c>
      <c r="C2575" t="s">
        <v>10044</v>
      </c>
      <c r="D2575">
        <v>2</v>
      </c>
      <c r="E2575" t="s">
        <v>1833</v>
      </c>
    </row>
    <row r="2576" spans="2:5">
      <c r="B2576" s="65" t="str">
        <f t="shared" si="40"/>
        <v>doc-2173:3</v>
      </c>
      <c r="C2576" t="s">
        <v>10044</v>
      </c>
      <c r="D2576">
        <v>3</v>
      </c>
      <c r="E2576" t="s">
        <v>2720</v>
      </c>
    </row>
    <row r="2577" spans="2:5">
      <c r="B2577" s="65" t="str">
        <f t="shared" si="40"/>
        <v>doc-2174:1</v>
      </c>
      <c r="C2577" t="s">
        <v>10045</v>
      </c>
      <c r="D2577">
        <v>1</v>
      </c>
      <c r="E2577" t="s">
        <v>2926</v>
      </c>
    </row>
    <row r="2578" spans="2:5">
      <c r="B2578" s="65" t="str">
        <f t="shared" si="40"/>
        <v>doc-2174:2</v>
      </c>
      <c r="C2578" t="s">
        <v>10045</v>
      </c>
      <c r="D2578">
        <v>2</v>
      </c>
      <c r="E2578" t="s">
        <v>2960</v>
      </c>
    </row>
    <row r="2579" spans="2:5">
      <c r="B2579" s="65" t="str">
        <f t="shared" si="40"/>
        <v>doc-2175:1</v>
      </c>
      <c r="C2579" t="s">
        <v>10046</v>
      </c>
      <c r="D2579">
        <v>1</v>
      </c>
      <c r="E2579" t="s">
        <v>1782</v>
      </c>
    </row>
    <row r="2580" spans="2:5">
      <c r="B2580" s="65" t="str">
        <f t="shared" si="40"/>
        <v>doc-2175:2</v>
      </c>
      <c r="C2580" t="s">
        <v>10046</v>
      </c>
      <c r="D2580">
        <v>2</v>
      </c>
      <c r="E2580" t="s">
        <v>1737</v>
      </c>
    </row>
    <row r="2581" spans="2:5">
      <c r="B2581" s="65" t="str">
        <f t="shared" si="40"/>
        <v>doc-2175:3</v>
      </c>
      <c r="C2581" t="s">
        <v>10046</v>
      </c>
      <c r="D2581">
        <v>3</v>
      </c>
      <c r="E2581" t="s">
        <v>1734</v>
      </c>
    </row>
    <row r="2582" spans="2:5">
      <c r="B2582" s="65" t="str">
        <f t="shared" si="40"/>
        <v>doc-2175:4</v>
      </c>
      <c r="C2582" t="s">
        <v>10046</v>
      </c>
      <c r="D2582">
        <v>4</v>
      </c>
      <c r="E2582" t="s">
        <v>1833</v>
      </c>
    </row>
    <row r="2583" spans="2:5">
      <c r="B2583" s="65" t="str">
        <f t="shared" si="40"/>
        <v>doc-2175:5</v>
      </c>
      <c r="C2583" t="s">
        <v>10046</v>
      </c>
      <c r="D2583">
        <v>5</v>
      </c>
      <c r="E2583" t="s">
        <v>2664</v>
      </c>
    </row>
    <row r="2584" spans="2:5">
      <c r="B2584" s="65" t="str">
        <f t="shared" si="40"/>
        <v>doc-2176:1</v>
      </c>
      <c r="C2584" t="s">
        <v>6036</v>
      </c>
      <c r="D2584">
        <v>1</v>
      </c>
      <c r="E2584" t="s">
        <v>1647</v>
      </c>
    </row>
    <row r="2585" spans="2:5">
      <c r="B2585" s="65" t="str">
        <f t="shared" si="40"/>
        <v>doc-2176:2</v>
      </c>
      <c r="C2585" t="s">
        <v>6036</v>
      </c>
      <c r="D2585">
        <v>2</v>
      </c>
      <c r="E2585" t="s">
        <v>2202</v>
      </c>
    </row>
    <row r="2586" spans="2:5">
      <c r="B2586" s="65" t="str">
        <f t="shared" si="40"/>
        <v>doc-2176:3</v>
      </c>
      <c r="C2586" t="s">
        <v>6036</v>
      </c>
      <c r="D2586">
        <v>3</v>
      </c>
      <c r="E2586" t="s">
        <v>1478</v>
      </c>
    </row>
    <row r="2587" spans="2:5">
      <c r="B2587" s="65" t="str">
        <f t="shared" si="40"/>
        <v>doc-2176:4</v>
      </c>
      <c r="C2587" t="s">
        <v>6036</v>
      </c>
      <c r="D2587">
        <v>4</v>
      </c>
      <c r="E2587" t="s">
        <v>2943</v>
      </c>
    </row>
    <row r="2588" spans="2:5">
      <c r="B2588" s="65" t="str">
        <f t="shared" si="40"/>
        <v>doc-2177:1</v>
      </c>
      <c r="C2588" t="s">
        <v>10047</v>
      </c>
      <c r="D2588">
        <v>1</v>
      </c>
      <c r="E2588" t="s">
        <v>3213</v>
      </c>
    </row>
    <row r="2589" spans="2:5">
      <c r="B2589" s="65" t="str">
        <f t="shared" si="40"/>
        <v>doc-2177:2</v>
      </c>
      <c r="C2589" t="s">
        <v>10047</v>
      </c>
      <c r="D2589">
        <v>2</v>
      </c>
      <c r="E2589" t="s">
        <v>2075</v>
      </c>
    </row>
    <row r="2590" spans="2:5">
      <c r="B2590" s="65" t="str">
        <f t="shared" si="40"/>
        <v>doc-2177:3</v>
      </c>
      <c r="C2590" t="s">
        <v>10047</v>
      </c>
      <c r="D2590">
        <v>3</v>
      </c>
      <c r="E2590" t="s">
        <v>1833</v>
      </c>
    </row>
    <row r="2591" spans="2:5">
      <c r="B2591" s="65" t="str">
        <f t="shared" si="40"/>
        <v>doc-2177:4</v>
      </c>
      <c r="C2591" t="s">
        <v>10047</v>
      </c>
      <c r="D2591">
        <v>4</v>
      </c>
      <c r="E2591" t="s">
        <v>1902</v>
      </c>
    </row>
    <row r="2592" spans="2:5">
      <c r="B2592" s="65" t="str">
        <f t="shared" si="40"/>
        <v>doc-2177:5</v>
      </c>
      <c r="C2592" t="s">
        <v>10047</v>
      </c>
      <c r="D2592">
        <v>5</v>
      </c>
      <c r="E2592" t="s">
        <v>2833</v>
      </c>
    </row>
    <row r="2593" spans="2:5">
      <c r="B2593" s="65" t="str">
        <f t="shared" si="40"/>
        <v>doc-2180:1</v>
      </c>
      <c r="C2593" t="s">
        <v>10048</v>
      </c>
      <c r="D2593">
        <v>1</v>
      </c>
      <c r="E2593" t="s">
        <v>2843</v>
      </c>
    </row>
    <row r="2594" spans="2:5">
      <c r="B2594" s="65" t="str">
        <f t="shared" si="40"/>
        <v>doc-2180:2</v>
      </c>
      <c r="C2594" t="s">
        <v>10048</v>
      </c>
      <c r="D2594">
        <v>2</v>
      </c>
      <c r="E2594" t="s">
        <v>1171</v>
      </c>
    </row>
    <row r="2595" spans="2:5">
      <c r="B2595" s="65" t="str">
        <f t="shared" si="40"/>
        <v>doc-2180:3</v>
      </c>
      <c r="C2595" t="s">
        <v>10048</v>
      </c>
      <c r="D2595">
        <v>3</v>
      </c>
      <c r="E2595" t="s">
        <v>1179</v>
      </c>
    </row>
    <row r="2596" spans="2:5">
      <c r="B2596" s="65" t="str">
        <f t="shared" si="40"/>
        <v>doc-2180:4</v>
      </c>
      <c r="C2596" t="s">
        <v>10048</v>
      </c>
      <c r="D2596">
        <v>4</v>
      </c>
      <c r="E2596" t="s">
        <v>2847</v>
      </c>
    </row>
    <row r="2597" spans="2:5">
      <c r="B2597" s="65" t="str">
        <f t="shared" si="40"/>
        <v>doc-2180:5</v>
      </c>
      <c r="C2597" t="s">
        <v>10048</v>
      </c>
      <c r="D2597">
        <v>5</v>
      </c>
      <c r="E2597" t="s">
        <v>2849</v>
      </c>
    </row>
    <row r="2598" spans="2:5">
      <c r="B2598" s="65" t="str">
        <f t="shared" si="40"/>
        <v>doc-2180:6</v>
      </c>
      <c r="C2598" t="s">
        <v>10048</v>
      </c>
      <c r="D2598">
        <v>6</v>
      </c>
      <c r="E2598" t="s">
        <v>3010</v>
      </c>
    </row>
    <row r="2599" spans="2:5">
      <c r="B2599" s="65" t="str">
        <f t="shared" si="40"/>
        <v>doc-2180:7</v>
      </c>
      <c r="C2599" t="s">
        <v>10048</v>
      </c>
      <c r="D2599">
        <v>7</v>
      </c>
      <c r="E2599" t="s">
        <v>296</v>
      </c>
    </row>
    <row r="2600" spans="2:5">
      <c r="B2600" s="65" t="str">
        <f t="shared" si="40"/>
        <v>doc-2181:1</v>
      </c>
      <c r="C2600" t="s">
        <v>6042</v>
      </c>
      <c r="D2600">
        <v>1</v>
      </c>
      <c r="E2600" t="s">
        <v>2874</v>
      </c>
    </row>
    <row r="2601" spans="2:5">
      <c r="B2601" s="65" t="str">
        <f t="shared" si="40"/>
        <v>doc-2181:2</v>
      </c>
      <c r="C2601" t="s">
        <v>6042</v>
      </c>
      <c r="D2601">
        <v>2</v>
      </c>
      <c r="E2601" t="s">
        <v>2847</v>
      </c>
    </row>
    <row r="2602" spans="2:5">
      <c r="B2602" s="65" t="str">
        <f t="shared" si="40"/>
        <v>doc-2181:3</v>
      </c>
      <c r="C2602" t="s">
        <v>6042</v>
      </c>
      <c r="D2602">
        <v>3</v>
      </c>
      <c r="E2602" t="s">
        <v>3126</v>
      </c>
    </row>
    <row r="2603" spans="2:5">
      <c r="B2603" s="65" t="str">
        <f t="shared" si="40"/>
        <v>doc-2181:4</v>
      </c>
      <c r="C2603" t="s">
        <v>6042</v>
      </c>
      <c r="D2603">
        <v>4</v>
      </c>
      <c r="E2603" t="s">
        <v>2179</v>
      </c>
    </row>
    <row r="2604" spans="2:5">
      <c r="B2604" s="65" t="str">
        <f t="shared" si="40"/>
        <v>doc-2182:1</v>
      </c>
      <c r="C2604" t="s">
        <v>6048</v>
      </c>
      <c r="D2604">
        <v>1</v>
      </c>
      <c r="E2604" t="s">
        <v>2843</v>
      </c>
    </row>
    <row r="2605" spans="2:5">
      <c r="B2605" s="65" t="str">
        <f t="shared" si="40"/>
        <v>doc-2182:2</v>
      </c>
      <c r="C2605" t="s">
        <v>6048</v>
      </c>
      <c r="D2605">
        <v>2</v>
      </c>
      <c r="E2605" t="s">
        <v>2847</v>
      </c>
    </row>
    <row r="2606" spans="2:5">
      <c r="B2606" s="65" t="str">
        <f t="shared" si="40"/>
        <v>doc-2182:3</v>
      </c>
      <c r="C2606" t="s">
        <v>6048</v>
      </c>
      <c r="D2606">
        <v>3</v>
      </c>
      <c r="E2606" t="s">
        <v>2394</v>
      </c>
    </row>
    <row r="2607" spans="2:5">
      <c r="B2607" s="65" t="str">
        <f t="shared" si="40"/>
        <v>doc-2182:4</v>
      </c>
      <c r="C2607" t="s">
        <v>6048</v>
      </c>
      <c r="D2607">
        <v>4</v>
      </c>
      <c r="E2607" t="s">
        <v>2386</v>
      </c>
    </row>
    <row r="2608" spans="2:5">
      <c r="B2608" s="65" t="str">
        <f t="shared" si="40"/>
        <v>doc-2182:5</v>
      </c>
      <c r="C2608" t="s">
        <v>6048</v>
      </c>
      <c r="D2608">
        <v>5</v>
      </c>
      <c r="E2608" t="s">
        <v>2849</v>
      </c>
    </row>
    <row r="2609" spans="2:5">
      <c r="B2609" s="65" t="str">
        <f t="shared" si="40"/>
        <v>doc-2182:6</v>
      </c>
      <c r="C2609" t="s">
        <v>6048</v>
      </c>
      <c r="D2609">
        <v>6</v>
      </c>
      <c r="E2609" t="s">
        <v>1944</v>
      </c>
    </row>
    <row r="2610" spans="2:5">
      <c r="B2610" s="65" t="str">
        <f t="shared" si="40"/>
        <v>doc-2183:1</v>
      </c>
      <c r="C2610" t="s">
        <v>6054</v>
      </c>
      <c r="D2610">
        <v>1</v>
      </c>
      <c r="E2610" t="s">
        <v>2843</v>
      </c>
    </row>
    <row r="2611" spans="2:5">
      <c r="B2611" s="65" t="str">
        <f t="shared" si="40"/>
        <v>doc-2183:2</v>
      </c>
      <c r="C2611" t="s">
        <v>6054</v>
      </c>
      <c r="D2611">
        <v>2</v>
      </c>
      <c r="E2611" t="s">
        <v>2847</v>
      </c>
    </row>
    <row r="2612" spans="2:5">
      <c r="B2612" s="65" t="str">
        <f t="shared" si="40"/>
        <v>doc-2183:3</v>
      </c>
      <c r="C2612" t="s">
        <v>6054</v>
      </c>
      <c r="D2612">
        <v>3</v>
      </c>
      <c r="E2612" t="s">
        <v>2849</v>
      </c>
    </row>
    <row r="2613" spans="2:5">
      <c r="B2613" s="65" t="str">
        <f t="shared" si="40"/>
        <v>doc-2184:1</v>
      </c>
      <c r="C2613" t="s">
        <v>10049</v>
      </c>
      <c r="D2613">
        <v>1</v>
      </c>
      <c r="E2613" t="s">
        <v>82</v>
      </c>
    </row>
    <row r="2614" spans="2:5">
      <c r="B2614" s="65" t="str">
        <f t="shared" si="40"/>
        <v>doc-2184:2</v>
      </c>
      <c r="C2614" t="s">
        <v>10049</v>
      </c>
      <c r="D2614">
        <v>2</v>
      </c>
      <c r="E2614" t="s">
        <v>79</v>
      </c>
    </row>
    <row r="2615" spans="2:5">
      <c r="B2615" s="65" t="str">
        <f t="shared" si="40"/>
        <v>doc-2184:3</v>
      </c>
      <c r="C2615" t="s">
        <v>10049</v>
      </c>
      <c r="D2615">
        <v>3</v>
      </c>
      <c r="E2615" t="s">
        <v>1780</v>
      </c>
    </row>
    <row r="2616" spans="2:5">
      <c r="B2616" s="65" t="str">
        <f t="shared" si="40"/>
        <v>doc-2184:4</v>
      </c>
      <c r="C2616" t="s">
        <v>10049</v>
      </c>
      <c r="D2616">
        <v>4</v>
      </c>
      <c r="E2616" t="s">
        <v>1221</v>
      </c>
    </row>
    <row r="2617" spans="2:5">
      <c r="B2617" s="65" t="str">
        <f t="shared" si="40"/>
        <v>doc-2186:1</v>
      </c>
      <c r="C2617" t="s">
        <v>10050</v>
      </c>
      <c r="D2617">
        <v>1</v>
      </c>
      <c r="E2617" t="s">
        <v>1763</v>
      </c>
    </row>
    <row r="2618" spans="2:5">
      <c r="B2618" s="65" t="str">
        <f t="shared" si="40"/>
        <v>doc-2186:2</v>
      </c>
      <c r="C2618" t="s">
        <v>10050</v>
      </c>
      <c r="D2618">
        <v>2</v>
      </c>
      <c r="E2618" t="s">
        <v>79</v>
      </c>
    </row>
    <row r="2619" spans="2:5">
      <c r="B2619" s="65" t="str">
        <f t="shared" si="40"/>
        <v>doc-2186:3</v>
      </c>
      <c r="C2619" t="s">
        <v>10050</v>
      </c>
      <c r="D2619">
        <v>3</v>
      </c>
      <c r="E2619" t="s">
        <v>82</v>
      </c>
    </row>
    <row r="2620" spans="2:5">
      <c r="B2620" s="65" t="str">
        <f t="shared" si="40"/>
        <v>doc-2186:4</v>
      </c>
      <c r="C2620" t="s">
        <v>10050</v>
      </c>
      <c r="D2620">
        <v>4</v>
      </c>
      <c r="E2620" t="s">
        <v>1777</v>
      </c>
    </row>
    <row r="2621" spans="2:5">
      <c r="B2621" s="65" t="str">
        <f t="shared" si="40"/>
        <v>doc-2186:5</v>
      </c>
      <c r="C2621" t="s">
        <v>10050</v>
      </c>
      <c r="D2621">
        <v>5</v>
      </c>
      <c r="E2621" t="s">
        <v>1941</v>
      </c>
    </row>
    <row r="2622" spans="2:5">
      <c r="B2622" s="65" t="str">
        <f t="shared" si="40"/>
        <v>doc-2187:1</v>
      </c>
      <c r="C2622" t="s">
        <v>10051</v>
      </c>
      <c r="D2622">
        <v>1</v>
      </c>
      <c r="E2622" t="s">
        <v>1916</v>
      </c>
    </row>
    <row r="2623" spans="2:5">
      <c r="B2623" s="65" t="str">
        <f t="shared" si="40"/>
        <v>doc-2187:2</v>
      </c>
      <c r="C2623" t="s">
        <v>10051</v>
      </c>
      <c r="D2623">
        <v>2</v>
      </c>
      <c r="E2623" t="s">
        <v>90</v>
      </c>
    </row>
    <row r="2624" spans="2:5">
      <c r="B2624" s="65" t="str">
        <f t="shared" si="40"/>
        <v>doc-2187:3</v>
      </c>
      <c r="C2624" t="s">
        <v>10051</v>
      </c>
      <c r="D2624">
        <v>3</v>
      </c>
      <c r="E2624" t="s">
        <v>2036</v>
      </c>
    </row>
    <row r="2625" spans="2:5">
      <c r="B2625" s="65" t="str">
        <f t="shared" si="40"/>
        <v>doc-2187:4</v>
      </c>
      <c r="C2625" t="s">
        <v>10051</v>
      </c>
      <c r="D2625">
        <v>4</v>
      </c>
      <c r="E2625" t="s">
        <v>2003</v>
      </c>
    </row>
    <row r="2626" spans="2:5">
      <c r="B2626" s="65" t="str">
        <f t="shared" si="40"/>
        <v>doc-2187:5</v>
      </c>
      <c r="C2626" t="s">
        <v>10051</v>
      </c>
      <c r="D2626">
        <v>5</v>
      </c>
      <c r="E2626" t="s">
        <v>107</v>
      </c>
    </row>
    <row r="2627" spans="2:5">
      <c r="B2627" s="65" t="str">
        <f t="shared" si="40"/>
        <v>doc-2187:6</v>
      </c>
      <c r="C2627" t="s">
        <v>10051</v>
      </c>
      <c r="D2627">
        <v>6</v>
      </c>
      <c r="E2627" t="s">
        <v>79</v>
      </c>
    </row>
    <row r="2628" spans="2:5">
      <c r="B2628" s="65" t="str">
        <f t="shared" ref="B2628:B2691" si="41">$C2628&amp;":"&amp;$D2628</f>
        <v>doc-2188:1</v>
      </c>
      <c r="C2628" t="s">
        <v>10052</v>
      </c>
      <c r="D2628">
        <v>1</v>
      </c>
      <c r="E2628" t="s">
        <v>73</v>
      </c>
    </row>
    <row r="2629" spans="2:5">
      <c r="B2629" s="65" t="str">
        <f t="shared" si="41"/>
        <v>doc-2188:2</v>
      </c>
      <c r="C2629" t="s">
        <v>10052</v>
      </c>
      <c r="D2629">
        <v>2</v>
      </c>
      <c r="E2629" t="s">
        <v>87</v>
      </c>
    </row>
    <row r="2630" spans="2:5">
      <c r="B2630" s="65" t="str">
        <f t="shared" si="41"/>
        <v>doc-2188:3</v>
      </c>
      <c r="C2630" t="s">
        <v>10052</v>
      </c>
      <c r="D2630">
        <v>3</v>
      </c>
      <c r="E2630" t="s">
        <v>79</v>
      </c>
    </row>
    <row r="2631" spans="2:5">
      <c r="B2631" s="65" t="str">
        <f t="shared" si="41"/>
        <v>doc-2188:4</v>
      </c>
      <c r="C2631" t="s">
        <v>10052</v>
      </c>
      <c r="D2631">
        <v>4</v>
      </c>
      <c r="E2631" t="s">
        <v>82</v>
      </c>
    </row>
    <row r="2632" spans="2:5">
      <c r="B2632" s="65" t="str">
        <f t="shared" si="41"/>
        <v>doc-2189:1</v>
      </c>
      <c r="C2632" t="s">
        <v>10053</v>
      </c>
      <c r="D2632">
        <v>1</v>
      </c>
      <c r="E2632" t="s">
        <v>82</v>
      </c>
    </row>
    <row r="2633" spans="2:5">
      <c r="B2633" s="65" t="str">
        <f t="shared" si="41"/>
        <v>doc-2189:2</v>
      </c>
      <c r="C2633" t="s">
        <v>10053</v>
      </c>
      <c r="D2633">
        <v>2</v>
      </c>
      <c r="E2633" t="s">
        <v>79</v>
      </c>
    </row>
    <row r="2634" spans="2:5">
      <c r="B2634" s="65" t="str">
        <f t="shared" si="41"/>
        <v>doc-2189:3</v>
      </c>
      <c r="C2634" t="s">
        <v>10053</v>
      </c>
      <c r="D2634">
        <v>3</v>
      </c>
      <c r="E2634" t="s">
        <v>1227</v>
      </c>
    </row>
    <row r="2635" spans="2:5">
      <c r="B2635" s="65" t="str">
        <f t="shared" si="41"/>
        <v>doc-2189:4</v>
      </c>
      <c r="C2635" t="s">
        <v>10053</v>
      </c>
      <c r="D2635">
        <v>4</v>
      </c>
      <c r="E2635" t="s">
        <v>1780</v>
      </c>
    </row>
    <row r="2636" spans="2:5">
      <c r="B2636" s="65" t="str">
        <f t="shared" si="41"/>
        <v>doc-2189:5</v>
      </c>
      <c r="C2636" t="s">
        <v>10053</v>
      </c>
      <c r="D2636">
        <v>5</v>
      </c>
      <c r="E2636" t="s">
        <v>1221</v>
      </c>
    </row>
    <row r="2637" spans="2:5">
      <c r="B2637" s="65" t="str">
        <f t="shared" si="41"/>
        <v>doc-2189:6</v>
      </c>
      <c r="C2637" t="s">
        <v>10053</v>
      </c>
      <c r="D2637">
        <v>6</v>
      </c>
      <c r="E2637" t="s">
        <v>1203</v>
      </c>
    </row>
    <row r="2638" spans="2:5">
      <c r="B2638" s="65" t="str">
        <f t="shared" si="41"/>
        <v>doc-2190:1</v>
      </c>
      <c r="C2638" t="s">
        <v>10054</v>
      </c>
      <c r="D2638">
        <v>1</v>
      </c>
      <c r="E2638" t="s">
        <v>79</v>
      </c>
    </row>
    <row r="2639" spans="2:5">
      <c r="B2639" s="65" t="str">
        <f t="shared" si="41"/>
        <v>doc-2190:2</v>
      </c>
      <c r="C2639" t="s">
        <v>10054</v>
      </c>
      <c r="D2639">
        <v>2</v>
      </c>
      <c r="E2639" t="s">
        <v>82</v>
      </c>
    </row>
    <row r="2640" spans="2:5">
      <c r="B2640" s="65" t="str">
        <f t="shared" si="41"/>
        <v>doc-2190:3</v>
      </c>
      <c r="C2640" t="s">
        <v>10054</v>
      </c>
      <c r="D2640">
        <v>3</v>
      </c>
      <c r="E2640" t="s">
        <v>1227</v>
      </c>
    </row>
    <row r="2641" spans="2:5">
      <c r="B2641" s="65" t="str">
        <f t="shared" si="41"/>
        <v>doc-2191:1</v>
      </c>
      <c r="C2641" t="s">
        <v>10055</v>
      </c>
      <c r="D2641">
        <v>1</v>
      </c>
      <c r="E2641" t="s">
        <v>1905</v>
      </c>
    </row>
    <row r="2642" spans="2:5">
      <c r="B2642" s="65" t="str">
        <f t="shared" si="41"/>
        <v>doc-2191:2</v>
      </c>
      <c r="C2642" t="s">
        <v>10055</v>
      </c>
      <c r="D2642">
        <v>2</v>
      </c>
      <c r="E2642" t="s">
        <v>1854</v>
      </c>
    </row>
    <row r="2643" spans="2:5">
      <c r="B2643" s="65" t="str">
        <f t="shared" si="41"/>
        <v>doc-2191:3</v>
      </c>
      <c r="C2643" t="s">
        <v>10055</v>
      </c>
      <c r="D2643">
        <v>3</v>
      </c>
      <c r="E2643" t="s">
        <v>1856</v>
      </c>
    </row>
    <row r="2644" spans="2:5">
      <c r="B2644" s="65" t="str">
        <f t="shared" si="41"/>
        <v>doc-2191:4</v>
      </c>
      <c r="C2644" t="s">
        <v>10055</v>
      </c>
      <c r="D2644">
        <v>4</v>
      </c>
      <c r="E2644" t="s">
        <v>2003</v>
      </c>
    </row>
    <row r="2645" spans="2:5">
      <c r="B2645" s="65" t="str">
        <f t="shared" si="41"/>
        <v>doc-2192:1</v>
      </c>
      <c r="C2645" t="s">
        <v>10056</v>
      </c>
      <c r="D2645">
        <v>1</v>
      </c>
      <c r="E2645" t="s">
        <v>1171</v>
      </c>
    </row>
    <row r="2646" spans="2:5">
      <c r="B2646" s="65" t="str">
        <f t="shared" si="41"/>
        <v>doc-2192:2</v>
      </c>
      <c r="C2646" t="s">
        <v>10056</v>
      </c>
      <c r="D2646">
        <v>2</v>
      </c>
      <c r="E2646" t="s">
        <v>3010</v>
      </c>
    </row>
    <row r="2647" spans="2:5">
      <c r="B2647" s="65" t="str">
        <f t="shared" si="41"/>
        <v>doc-2192:3</v>
      </c>
      <c r="C2647" t="s">
        <v>10056</v>
      </c>
      <c r="D2647">
        <v>3</v>
      </c>
      <c r="E2647" t="s">
        <v>1174</v>
      </c>
    </row>
    <row r="2648" spans="2:5">
      <c r="B2648" s="65" t="str">
        <f t="shared" si="41"/>
        <v>doc-2195:1</v>
      </c>
      <c r="C2648" t="s">
        <v>10057</v>
      </c>
      <c r="D2648">
        <v>1</v>
      </c>
      <c r="E2648" t="s">
        <v>2825</v>
      </c>
    </row>
    <row r="2649" spans="2:5">
      <c r="B2649" s="65" t="str">
        <f t="shared" si="41"/>
        <v>doc-2195:2</v>
      </c>
      <c r="C2649" t="s">
        <v>10057</v>
      </c>
      <c r="D2649">
        <v>2</v>
      </c>
      <c r="E2649" t="s">
        <v>2833</v>
      </c>
    </row>
    <row r="2650" spans="2:5">
      <c r="B2650" s="65" t="str">
        <f t="shared" si="41"/>
        <v>doc-2195:3</v>
      </c>
      <c r="C2650" t="s">
        <v>10057</v>
      </c>
      <c r="D2650">
        <v>3</v>
      </c>
      <c r="E2650" t="s">
        <v>2847</v>
      </c>
    </row>
    <row r="2651" spans="2:5">
      <c r="B2651" s="65" t="str">
        <f t="shared" si="41"/>
        <v>doc-2195:4</v>
      </c>
      <c r="C2651" t="s">
        <v>10057</v>
      </c>
      <c r="D2651">
        <v>4</v>
      </c>
      <c r="E2651" t="s">
        <v>2860</v>
      </c>
    </row>
    <row r="2652" spans="2:5">
      <c r="B2652" s="65" t="str">
        <f t="shared" si="41"/>
        <v>doc-2195:5</v>
      </c>
      <c r="C2652" t="s">
        <v>10057</v>
      </c>
      <c r="D2652">
        <v>5</v>
      </c>
      <c r="E2652" t="s">
        <v>2515</v>
      </c>
    </row>
    <row r="2653" spans="2:5">
      <c r="B2653" s="65" t="str">
        <f t="shared" si="41"/>
        <v>doc-2196:1</v>
      </c>
      <c r="C2653" t="s">
        <v>10058</v>
      </c>
      <c r="D2653">
        <v>1</v>
      </c>
      <c r="E2653" t="s">
        <v>2825</v>
      </c>
    </row>
    <row r="2654" spans="2:5">
      <c r="B2654" s="65" t="str">
        <f t="shared" si="41"/>
        <v>doc-2196:2</v>
      </c>
      <c r="C2654" t="s">
        <v>10058</v>
      </c>
      <c r="D2654">
        <v>2</v>
      </c>
      <c r="E2654" t="s">
        <v>2847</v>
      </c>
    </row>
    <row r="2655" spans="2:5">
      <c r="B2655" s="65" t="str">
        <f t="shared" si="41"/>
        <v>doc-2196:3</v>
      </c>
      <c r="C2655" t="s">
        <v>10058</v>
      </c>
      <c r="D2655">
        <v>3</v>
      </c>
      <c r="E2655" t="s">
        <v>2860</v>
      </c>
    </row>
    <row r="2656" spans="2:5">
      <c r="B2656" s="65" t="str">
        <f t="shared" si="41"/>
        <v>doc-2196:4</v>
      </c>
      <c r="C2656" t="s">
        <v>10058</v>
      </c>
      <c r="D2656">
        <v>4</v>
      </c>
      <c r="E2656" t="s">
        <v>2515</v>
      </c>
    </row>
    <row r="2657" spans="2:5">
      <c r="B2657" s="65" t="str">
        <f t="shared" si="41"/>
        <v>doc-2221:1</v>
      </c>
      <c r="C2657" t="s">
        <v>10059</v>
      </c>
      <c r="D2657">
        <v>1</v>
      </c>
      <c r="E2657" t="s">
        <v>2954</v>
      </c>
    </row>
    <row r="2658" spans="2:5">
      <c r="B2658" s="65" t="str">
        <f t="shared" si="41"/>
        <v>doc-2221:2</v>
      </c>
      <c r="C2658" t="s">
        <v>10059</v>
      </c>
      <c r="D2658">
        <v>2</v>
      </c>
      <c r="E2658" t="s">
        <v>1795</v>
      </c>
    </row>
    <row r="2659" spans="2:5">
      <c r="B2659" s="65" t="str">
        <f t="shared" si="41"/>
        <v>doc-2221:3</v>
      </c>
      <c r="C2659" t="s">
        <v>10059</v>
      </c>
      <c r="D2659">
        <v>3</v>
      </c>
      <c r="E2659" t="s">
        <v>2943</v>
      </c>
    </row>
    <row r="2660" spans="2:5">
      <c r="B2660" s="65" t="str">
        <f t="shared" si="41"/>
        <v>doc-2221:4</v>
      </c>
      <c r="C2660" t="s">
        <v>10059</v>
      </c>
      <c r="D2660">
        <v>4</v>
      </c>
      <c r="E2660" t="s">
        <v>299</v>
      </c>
    </row>
    <row r="2661" spans="2:5">
      <c r="B2661" s="65" t="str">
        <f t="shared" si="41"/>
        <v>doc-2221:5</v>
      </c>
      <c r="C2661" t="s">
        <v>10059</v>
      </c>
      <c r="D2661">
        <v>5</v>
      </c>
      <c r="E2661" t="s">
        <v>1321</v>
      </c>
    </row>
    <row r="2662" spans="2:5">
      <c r="B2662" s="65" t="str">
        <f t="shared" si="41"/>
        <v>doc-2221:6</v>
      </c>
      <c r="C2662" t="s">
        <v>10059</v>
      </c>
      <c r="D2662">
        <v>6</v>
      </c>
      <c r="E2662" t="s">
        <v>2960</v>
      </c>
    </row>
    <row r="2663" spans="2:5">
      <c r="B2663" s="65" t="str">
        <f t="shared" si="41"/>
        <v>doc-2221:7</v>
      </c>
      <c r="C2663" t="s">
        <v>10059</v>
      </c>
      <c r="D2663">
        <v>7</v>
      </c>
      <c r="E2663" t="s">
        <v>254</v>
      </c>
    </row>
    <row r="2664" spans="2:5">
      <c r="B2664" s="65" t="str">
        <f t="shared" si="41"/>
        <v>doc-2223b:1</v>
      </c>
      <c r="C2664" t="s">
        <v>10060</v>
      </c>
      <c r="D2664">
        <v>1</v>
      </c>
      <c r="E2664" t="s">
        <v>2918</v>
      </c>
    </row>
    <row r="2665" spans="2:5">
      <c r="B2665" s="65" t="str">
        <f t="shared" si="41"/>
        <v>doc-2223b:2</v>
      </c>
      <c r="C2665" t="s">
        <v>10060</v>
      </c>
      <c r="D2665">
        <v>2</v>
      </c>
      <c r="E2665" t="s">
        <v>299</v>
      </c>
    </row>
    <row r="2666" spans="2:5">
      <c r="B2666" s="65" t="str">
        <f t="shared" si="41"/>
        <v>doc-2223b:3</v>
      </c>
      <c r="C2666" t="s">
        <v>10060</v>
      </c>
      <c r="D2666">
        <v>3</v>
      </c>
      <c r="E2666" t="s">
        <v>1833</v>
      </c>
    </row>
    <row r="2667" spans="2:5">
      <c r="B2667" s="65" t="str">
        <f t="shared" si="41"/>
        <v>doc-2223b:4</v>
      </c>
      <c r="C2667" t="s">
        <v>10060</v>
      </c>
      <c r="D2667">
        <v>4</v>
      </c>
      <c r="E2667" t="s">
        <v>1941</v>
      </c>
    </row>
    <row r="2668" spans="2:5">
      <c r="B2668" s="65" t="str">
        <f t="shared" si="41"/>
        <v>doc-2224:1</v>
      </c>
      <c r="C2668" t="s">
        <v>10061</v>
      </c>
      <c r="D2668">
        <v>1</v>
      </c>
      <c r="E2668" t="s">
        <v>1321</v>
      </c>
    </row>
    <row r="2669" spans="2:5">
      <c r="B2669" s="65" t="str">
        <f t="shared" si="41"/>
        <v>doc-2224:2</v>
      </c>
      <c r="C2669" t="s">
        <v>10061</v>
      </c>
      <c r="D2669">
        <v>2</v>
      </c>
      <c r="E2669" t="s">
        <v>2263</v>
      </c>
    </row>
    <row r="2670" spans="2:5">
      <c r="B2670" s="65" t="str">
        <f t="shared" si="41"/>
        <v>doc-2224:3</v>
      </c>
      <c r="C2670" t="s">
        <v>10061</v>
      </c>
      <c r="D2670">
        <v>3</v>
      </c>
      <c r="E2670" t="s">
        <v>1417</v>
      </c>
    </row>
    <row r="2671" spans="2:5">
      <c r="B2671" s="65" t="str">
        <f t="shared" si="41"/>
        <v>doc-2224:4</v>
      </c>
      <c r="C2671" t="s">
        <v>10061</v>
      </c>
      <c r="D2671">
        <v>4</v>
      </c>
      <c r="E2671" t="s">
        <v>2264</v>
      </c>
    </row>
    <row r="2672" spans="2:5">
      <c r="B2672" s="65" t="str">
        <f t="shared" si="41"/>
        <v>doc-2225:1</v>
      </c>
      <c r="C2672" t="s">
        <v>10062</v>
      </c>
      <c r="D2672">
        <v>1</v>
      </c>
      <c r="E2672" t="s">
        <v>76</v>
      </c>
    </row>
    <row r="2673" spans="2:5">
      <c r="B2673" s="65" t="str">
        <f t="shared" si="41"/>
        <v>doc-2225:2</v>
      </c>
      <c r="C2673" t="s">
        <v>10062</v>
      </c>
      <c r="D2673">
        <v>2</v>
      </c>
      <c r="E2673" t="s">
        <v>87</v>
      </c>
    </row>
    <row r="2674" spans="2:5">
      <c r="B2674" s="65" t="str">
        <f t="shared" si="41"/>
        <v>doc-2225:3</v>
      </c>
      <c r="C2674" t="s">
        <v>10062</v>
      </c>
      <c r="D2674">
        <v>3</v>
      </c>
      <c r="E2674" t="s">
        <v>73</v>
      </c>
    </row>
    <row r="2675" spans="2:5">
      <c r="B2675" s="65" t="str">
        <f t="shared" si="41"/>
        <v>doc-2225:4</v>
      </c>
      <c r="C2675" t="s">
        <v>10062</v>
      </c>
      <c r="D2675">
        <v>4</v>
      </c>
      <c r="E2675" t="s">
        <v>1968</v>
      </c>
    </row>
    <row r="2676" spans="2:5">
      <c r="B2676" s="65" t="str">
        <f t="shared" si="41"/>
        <v>doc-2227:1</v>
      </c>
      <c r="C2676" t="s">
        <v>10063</v>
      </c>
      <c r="D2676">
        <v>1</v>
      </c>
      <c r="E2676" t="s">
        <v>1941</v>
      </c>
    </row>
    <row r="2677" spans="2:5">
      <c r="B2677" s="65" t="str">
        <f t="shared" si="41"/>
        <v>doc-2228a:1</v>
      </c>
      <c r="C2677" t="s">
        <v>10064</v>
      </c>
      <c r="D2677">
        <v>1</v>
      </c>
      <c r="E2677" t="s">
        <v>87</v>
      </c>
    </row>
    <row r="2678" spans="2:5">
      <c r="B2678" s="65" t="str">
        <f t="shared" si="41"/>
        <v>doc-2228a:2</v>
      </c>
      <c r="C2678" t="s">
        <v>10064</v>
      </c>
      <c r="D2678">
        <v>2</v>
      </c>
      <c r="E2678" t="s">
        <v>76</v>
      </c>
    </row>
    <row r="2679" spans="2:5">
      <c r="B2679" s="65" t="str">
        <f t="shared" si="41"/>
        <v>doc-2228a:3</v>
      </c>
      <c r="C2679" t="s">
        <v>10064</v>
      </c>
      <c r="D2679">
        <v>3</v>
      </c>
      <c r="E2679" t="s">
        <v>73</v>
      </c>
    </row>
    <row r="2680" spans="2:5">
      <c r="B2680" s="65" t="str">
        <f t="shared" si="41"/>
        <v>doc-2228a:4</v>
      </c>
      <c r="C2680" t="s">
        <v>10064</v>
      </c>
      <c r="D2680">
        <v>4</v>
      </c>
      <c r="E2680" t="s">
        <v>79</v>
      </c>
    </row>
    <row r="2681" spans="2:5">
      <c r="B2681" s="65" t="str">
        <f t="shared" si="41"/>
        <v>doc-2228a:5</v>
      </c>
      <c r="C2681" t="s">
        <v>10064</v>
      </c>
      <c r="D2681">
        <v>5</v>
      </c>
      <c r="E2681" t="s">
        <v>82</v>
      </c>
    </row>
    <row r="2682" spans="2:5">
      <c r="B2682" s="65" t="str">
        <f t="shared" si="41"/>
        <v>doc-2228a:6</v>
      </c>
      <c r="C2682" t="s">
        <v>10064</v>
      </c>
      <c r="D2682">
        <v>6</v>
      </c>
      <c r="E2682" t="s">
        <v>1096</v>
      </c>
    </row>
    <row r="2683" spans="2:5">
      <c r="B2683" s="65" t="str">
        <f t="shared" si="41"/>
        <v>doc-2229:1</v>
      </c>
      <c r="C2683" t="s">
        <v>10065</v>
      </c>
      <c r="D2683">
        <v>1</v>
      </c>
      <c r="E2683" t="s">
        <v>2215</v>
      </c>
    </row>
    <row r="2684" spans="2:5">
      <c r="B2684" s="65" t="str">
        <f t="shared" si="41"/>
        <v>doc-2229:2</v>
      </c>
      <c r="C2684" t="s">
        <v>10065</v>
      </c>
      <c r="D2684">
        <v>2</v>
      </c>
      <c r="E2684" t="s">
        <v>2943</v>
      </c>
    </row>
    <row r="2685" spans="2:5">
      <c r="B2685" s="65" t="str">
        <f t="shared" si="41"/>
        <v>doc-2230:1</v>
      </c>
      <c r="C2685" t="s">
        <v>10066</v>
      </c>
      <c r="D2685">
        <v>1</v>
      </c>
      <c r="E2685" t="s">
        <v>3061</v>
      </c>
    </row>
    <row r="2686" spans="2:5">
      <c r="B2686" s="65" t="str">
        <f t="shared" si="41"/>
        <v>doc-2230:2</v>
      </c>
      <c r="C2686" t="s">
        <v>10066</v>
      </c>
      <c r="D2686">
        <v>2</v>
      </c>
      <c r="E2686" t="s">
        <v>254</v>
      </c>
    </row>
    <row r="2687" spans="2:5">
      <c r="B2687" s="65" t="str">
        <f t="shared" si="41"/>
        <v>doc-2230:3</v>
      </c>
      <c r="C2687" t="s">
        <v>10066</v>
      </c>
      <c r="D2687">
        <v>3</v>
      </c>
      <c r="E2687" t="s">
        <v>3050</v>
      </c>
    </row>
    <row r="2688" spans="2:5">
      <c r="B2688" s="65" t="str">
        <f t="shared" si="41"/>
        <v>doc-2232:1</v>
      </c>
      <c r="C2688" t="s">
        <v>10067</v>
      </c>
      <c r="D2688">
        <v>1</v>
      </c>
      <c r="E2688" t="s">
        <v>1813</v>
      </c>
    </row>
    <row r="2689" spans="2:5">
      <c r="B2689" s="65" t="str">
        <f t="shared" si="41"/>
        <v>doc-2232:2</v>
      </c>
      <c r="C2689" t="s">
        <v>10067</v>
      </c>
      <c r="D2689">
        <v>2</v>
      </c>
      <c r="E2689" t="s">
        <v>3112</v>
      </c>
    </row>
    <row r="2690" spans="2:5">
      <c r="B2690" s="65" t="str">
        <f t="shared" si="41"/>
        <v>doc-2232:3</v>
      </c>
      <c r="C2690" t="s">
        <v>10067</v>
      </c>
      <c r="D2690">
        <v>3</v>
      </c>
      <c r="E2690" t="s">
        <v>1944</v>
      </c>
    </row>
    <row r="2691" spans="2:5">
      <c r="B2691" s="65" t="str">
        <f t="shared" si="41"/>
        <v>doc-2232:4</v>
      </c>
      <c r="C2691" t="s">
        <v>10067</v>
      </c>
      <c r="D2691">
        <v>4</v>
      </c>
      <c r="E2691" t="s">
        <v>1880</v>
      </c>
    </row>
    <row r="2692" spans="2:5">
      <c r="B2692" s="65" t="str">
        <f t="shared" ref="B2692:B2755" si="42">$C2692&amp;":"&amp;$D2692</f>
        <v>doc-2232:5</v>
      </c>
      <c r="C2692" t="s">
        <v>10067</v>
      </c>
      <c r="D2692">
        <v>5</v>
      </c>
      <c r="E2692" t="s">
        <v>1911</v>
      </c>
    </row>
    <row r="2693" spans="2:5">
      <c r="B2693" s="65" t="str">
        <f t="shared" si="42"/>
        <v>doc-2235:1</v>
      </c>
      <c r="C2693" t="s">
        <v>10068</v>
      </c>
      <c r="D2693">
        <v>1</v>
      </c>
      <c r="E2693" t="s">
        <v>82</v>
      </c>
    </row>
    <row r="2694" spans="2:5">
      <c r="B2694" s="65" t="str">
        <f t="shared" si="42"/>
        <v>doc-2238:1</v>
      </c>
      <c r="C2694" t="s">
        <v>10069</v>
      </c>
      <c r="D2694">
        <v>1</v>
      </c>
      <c r="E2694" t="s">
        <v>2148</v>
      </c>
    </row>
    <row r="2695" spans="2:5">
      <c r="B2695" s="65" t="str">
        <f t="shared" si="42"/>
        <v>doc-2238:2</v>
      </c>
      <c r="C2695" t="s">
        <v>10069</v>
      </c>
      <c r="D2695">
        <v>2</v>
      </c>
      <c r="E2695" t="s">
        <v>2064</v>
      </c>
    </row>
    <row r="2696" spans="2:5">
      <c r="B2696" s="65" t="str">
        <f t="shared" si="42"/>
        <v>doc-2238:3</v>
      </c>
      <c r="C2696" t="s">
        <v>10069</v>
      </c>
      <c r="D2696">
        <v>3</v>
      </c>
      <c r="E2696" t="s">
        <v>1813</v>
      </c>
    </row>
    <row r="2697" spans="2:5">
      <c r="B2697" s="65" t="str">
        <f t="shared" si="42"/>
        <v>doc-2242:1</v>
      </c>
      <c r="C2697" t="s">
        <v>6060</v>
      </c>
      <c r="D2697">
        <v>1</v>
      </c>
      <c r="E2697" t="s">
        <v>1283</v>
      </c>
    </row>
    <row r="2698" spans="2:5">
      <c r="B2698" s="65" t="str">
        <f t="shared" si="42"/>
        <v>doc-2242:2</v>
      </c>
      <c r="C2698" t="s">
        <v>6060</v>
      </c>
      <c r="D2698">
        <v>2</v>
      </c>
      <c r="E2698" t="s">
        <v>1275</v>
      </c>
    </row>
    <row r="2699" spans="2:5">
      <c r="B2699" s="65" t="str">
        <f t="shared" si="42"/>
        <v>doc-2242:3</v>
      </c>
      <c r="C2699" t="s">
        <v>6060</v>
      </c>
      <c r="D2699">
        <v>3</v>
      </c>
      <c r="E2699" t="s">
        <v>254</v>
      </c>
    </row>
    <row r="2700" spans="2:5">
      <c r="B2700" s="65" t="str">
        <f t="shared" si="42"/>
        <v>doc-2242:4</v>
      </c>
      <c r="C2700" t="s">
        <v>6060</v>
      </c>
      <c r="D2700">
        <v>4</v>
      </c>
      <c r="E2700" t="s">
        <v>299</v>
      </c>
    </row>
    <row r="2701" spans="2:5">
      <c r="B2701" s="65" t="str">
        <f t="shared" si="42"/>
        <v>doc-2244:1</v>
      </c>
      <c r="C2701" t="s">
        <v>10070</v>
      </c>
      <c r="D2701">
        <v>1</v>
      </c>
      <c r="E2701" t="s">
        <v>1916</v>
      </c>
    </row>
    <row r="2702" spans="2:5">
      <c r="B2702" s="65" t="str">
        <f t="shared" si="42"/>
        <v>doc-2244:2</v>
      </c>
      <c r="C2702" t="s">
        <v>10070</v>
      </c>
      <c r="D2702">
        <v>2</v>
      </c>
      <c r="E2702" t="s">
        <v>90</v>
      </c>
    </row>
    <row r="2703" spans="2:5">
      <c r="B2703" s="65" t="str">
        <f t="shared" si="42"/>
        <v>doc-2244:3</v>
      </c>
      <c r="C2703" t="s">
        <v>10070</v>
      </c>
      <c r="D2703">
        <v>3</v>
      </c>
      <c r="E2703" t="s">
        <v>79</v>
      </c>
    </row>
    <row r="2704" spans="2:5">
      <c r="B2704" s="65" t="str">
        <f t="shared" si="42"/>
        <v>doc-2244:4</v>
      </c>
      <c r="C2704" t="s">
        <v>10070</v>
      </c>
      <c r="D2704">
        <v>4</v>
      </c>
      <c r="E2704" t="s">
        <v>2036</v>
      </c>
    </row>
    <row r="2705" spans="2:5">
      <c r="B2705" s="65" t="str">
        <f t="shared" si="42"/>
        <v>doc-2244:5</v>
      </c>
      <c r="C2705" t="s">
        <v>10070</v>
      </c>
      <c r="D2705">
        <v>5</v>
      </c>
      <c r="E2705" t="s">
        <v>2003</v>
      </c>
    </row>
    <row r="2706" spans="2:5">
      <c r="B2706" s="65" t="str">
        <f t="shared" si="42"/>
        <v>doc-2244:6</v>
      </c>
      <c r="C2706" t="s">
        <v>10070</v>
      </c>
      <c r="D2706">
        <v>6</v>
      </c>
      <c r="E2706" t="s">
        <v>107</v>
      </c>
    </row>
    <row r="2707" spans="2:5">
      <c r="B2707" s="65" t="str">
        <f t="shared" si="42"/>
        <v>doc-2247:1</v>
      </c>
      <c r="C2707" t="s">
        <v>10071</v>
      </c>
      <c r="D2707">
        <v>1</v>
      </c>
      <c r="E2707" t="s">
        <v>1401</v>
      </c>
    </row>
    <row r="2708" spans="2:5">
      <c r="B2708" s="65" t="str">
        <f t="shared" si="42"/>
        <v>doc-2247:2</v>
      </c>
      <c r="C2708" t="s">
        <v>10071</v>
      </c>
      <c r="D2708">
        <v>2</v>
      </c>
      <c r="E2708" t="s">
        <v>2560</v>
      </c>
    </row>
    <row r="2709" spans="2:5">
      <c r="B2709" s="65" t="str">
        <f t="shared" si="42"/>
        <v>doc-2247:3</v>
      </c>
      <c r="C2709" t="s">
        <v>10071</v>
      </c>
      <c r="D2709">
        <v>3</v>
      </c>
      <c r="E2709" t="s">
        <v>1378</v>
      </c>
    </row>
    <row r="2710" spans="2:5">
      <c r="B2710" s="65" t="str">
        <f t="shared" si="42"/>
        <v>doc-2248:1</v>
      </c>
      <c r="C2710" t="s">
        <v>6066</v>
      </c>
      <c r="D2710">
        <v>1</v>
      </c>
      <c r="E2710" t="s">
        <v>1401</v>
      </c>
    </row>
    <row r="2711" spans="2:5">
      <c r="B2711" s="65" t="str">
        <f t="shared" si="42"/>
        <v>doc-2248:2</v>
      </c>
      <c r="C2711" t="s">
        <v>6066</v>
      </c>
      <c r="D2711">
        <v>2</v>
      </c>
      <c r="E2711" t="s">
        <v>1378</v>
      </c>
    </row>
    <row r="2712" spans="2:5">
      <c r="B2712" s="65" t="str">
        <f t="shared" si="42"/>
        <v>doc-2249:1</v>
      </c>
      <c r="C2712" t="s">
        <v>6073</v>
      </c>
      <c r="D2712">
        <v>1</v>
      </c>
      <c r="E2712" t="s">
        <v>2836</v>
      </c>
    </row>
    <row r="2713" spans="2:5">
      <c r="B2713" s="65" t="str">
        <f t="shared" si="42"/>
        <v>doc-2249:2</v>
      </c>
      <c r="C2713" t="s">
        <v>6073</v>
      </c>
      <c r="D2713">
        <v>2</v>
      </c>
      <c r="E2713" t="s">
        <v>2847</v>
      </c>
    </row>
    <row r="2714" spans="2:5">
      <c r="B2714" s="65" t="str">
        <f t="shared" si="42"/>
        <v>doc-2249:3</v>
      </c>
      <c r="C2714" t="s">
        <v>6073</v>
      </c>
      <c r="D2714">
        <v>3</v>
      </c>
      <c r="E2714" t="s">
        <v>2849</v>
      </c>
    </row>
    <row r="2715" spans="2:5">
      <c r="B2715" s="65" t="str">
        <f t="shared" si="42"/>
        <v>doc-2251:1</v>
      </c>
      <c r="C2715" t="s">
        <v>10072</v>
      </c>
      <c r="D2715">
        <v>1</v>
      </c>
      <c r="E2715" t="s">
        <v>2799</v>
      </c>
    </row>
    <row r="2716" spans="2:5">
      <c r="B2716" s="65" t="str">
        <f t="shared" si="42"/>
        <v>doc-2251:2</v>
      </c>
      <c r="C2716" t="s">
        <v>10072</v>
      </c>
      <c r="D2716">
        <v>2</v>
      </c>
      <c r="E2716" t="s">
        <v>2766</v>
      </c>
    </row>
    <row r="2717" spans="2:5">
      <c r="B2717" s="65" t="str">
        <f t="shared" si="42"/>
        <v>doc-2251:3</v>
      </c>
      <c r="C2717" t="s">
        <v>10072</v>
      </c>
      <c r="D2717">
        <v>3</v>
      </c>
      <c r="E2717" t="s">
        <v>3259</v>
      </c>
    </row>
    <row r="2718" spans="2:5">
      <c r="B2718" s="65" t="str">
        <f t="shared" si="42"/>
        <v>doc-2252:1</v>
      </c>
      <c r="C2718" t="s">
        <v>10073</v>
      </c>
      <c r="D2718">
        <v>1</v>
      </c>
      <c r="E2718" t="s">
        <v>2320</v>
      </c>
    </row>
    <row r="2719" spans="2:5">
      <c r="B2719" s="65" t="str">
        <f t="shared" si="42"/>
        <v>doc-2252:2</v>
      </c>
      <c r="C2719" t="s">
        <v>10073</v>
      </c>
      <c r="D2719">
        <v>2</v>
      </c>
      <c r="E2719" t="s">
        <v>87</v>
      </c>
    </row>
    <row r="2720" spans="2:5">
      <c r="B2720" s="65" t="str">
        <f t="shared" si="42"/>
        <v>doc-2252:3</v>
      </c>
      <c r="C2720" t="s">
        <v>10073</v>
      </c>
      <c r="D2720">
        <v>3</v>
      </c>
      <c r="E2720" t="s">
        <v>281</v>
      </c>
    </row>
    <row r="2721" spans="2:5">
      <c r="B2721" s="65" t="str">
        <f t="shared" si="42"/>
        <v>doc-2252:4</v>
      </c>
      <c r="C2721" t="s">
        <v>10073</v>
      </c>
      <c r="D2721">
        <v>4</v>
      </c>
      <c r="E2721" t="s">
        <v>73</v>
      </c>
    </row>
    <row r="2722" spans="2:5">
      <c r="B2722" s="65" t="str">
        <f t="shared" si="42"/>
        <v>doc-2254:1</v>
      </c>
      <c r="C2722" t="s">
        <v>10074</v>
      </c>
      <c r="D2722">
        <v>1</v>
      </c>
      <c r="E2722" t="s">
        <v>2664</v>
      </c>
    </row>
    <row r="2723" spans="2:5">
      <c r="B2723" s="65" t="str">
        <f t="shared" si="42"/>
        <v>doc-2255:1</v>
      </c>
      <c r="C2723" t="s">
        <v>10075</v>
      </c>
      <c r="D2723">
        <v>1</v>
      </c>
      <c r="E2723" t="s">
        <v>2810</v>
      </c>
    </row>
    <row r="2724" spans="2:5">
      <c r="B2724" s="65" t="str">
        <f t="shared" si="42"/>
        <v>doc-2255:2</v>
      </c>
      <c r="C2724" t="s">
        <v>10075</v>
      </c>
      <c r="D2724">
        <v>2</v>
      </c>
      <c r="E2724" t="s">
        <v>2651</v>
      </c>
    </row>
    <row r="2725" spans="2:5">
      <c r="B2725" s="65" t="str">
        <f t="shared" si="42"/>
        <v>doc-2271:1</v>
      </c>
      <c r="C2725" t="s">
        <v>10076</v>
      </c>
      <c r="D2725">
        <v>1</v>
      </c>
      <c r="E2725" t="s">
        <v>82</v>
      </c>
    </row>
    <row r="2726" spans="2:5">
      <c r="B2726" s="65" t="str">
        <f t="shared" si="42"/>
        <v>doc-2271:2</v>
      </c>
      <c r="C2726" t="s">
        <v>10076</v>
      </c>
      <c r="D2726">
        <v>2</v>
      </c>
      <c r="E2726" t="s">
        <v>1227</v>
      </c>
    </row>
    <row r="2727" spans="2:5">
      <c r="B2727" s="65" t="str">
        <f t="shared" si="42"/>
        <v>doc-2271:3</v>
      </c>
      <c r="C2727" t="s">
        <v>10076</v>
      </c>
      <c r="D2727">
        <v>3</v>
      </c>
      <c r="E2727" t="s">
        <v>1221</v>
      </c>
    </row>
    <row r="2728" spans="2:5">
      <c r="B2728" s="65" t="str">
        <f t="shared" si="42"/>
        <v>doc-2272:1</v>
      </c>
      <c r="C2728" t="s">
        <v>10077</v>
      </c>
      <c r="D2728">
        <v>1</v>
      </c>
      <c r="E2728" t="s">
        <v>82</v>
      </c>
    </row>
    <row r="2729" spans="2:5">
      <c r="B2729" s="65" t="str">
        <f t="shared" si="42"/>
        <v>doc-2273:1</v>
      </c>
      <c r="C2729" t="s">
        <v>10078</v>
      </c>
      <c r="D2729">
        <v>1</v>
      </c>
      <c r="E2729" t="s">
        <v>82</v>
      </c>
    </row>
    <row r="2730" spans="2:5">
      <c r="B2730" s="65" t="str">
        <f t="shared" si="42"/>
        <v>doc-2273:2</v>
      </c>
      <c r="C2730" t="s">
        <v>10078</v>
      </c>
      <c r="D2730">
        <v>2</v>
      </c>
      <c r="E2730" t="s">
        <v>1227</v>
      </c>
    </row>
    <row r="2731" spans="2:5">
      <c r="B2731" s="65" t="str">
        <f t="shared" si="42"/>
        <v>doc-2273:3</v>
      </c>
      <c r="C2731" t="s">
        <v>10078</v>
      </c>
      <c r="D2731">
        <v>3</v>
      </c>
      <c r="E2731" t="s">
        <v>1221</v>
      </c>
    </row>
    <row r="2732" spans="2:5">
      <c r="B2732" s="65" t="str">
        <f t="shared" si="42"/>
        <v>doc-2273:4</v>
      </c>
      <c r="C2732" t="s">
        <v>10078</v>
      </c>
      <c r="D2732">
        <v>4</v>
      </c>
      <c r="E2732" t="s">
        <v>1203</v>
      </c>
    </row>
    <row r="2733" spans="2:5">
      <c r="B2733" s="65" t="str">
        <f t="shared" si="42"/>
        <v>doc-2273:5</v>
      </c>
      <c r="C2733" t="s">
        <v>10078</v>
      </c>
      <c r="D2733">
        <v>5</v>
      </c>
      <c r="E2733" t="s">
        <v>2977</v>
      </c>
    </row>
    <row r="2734" spans="2:5">
      <c r="B2734" s="65" t="str">
        <f t="shared" si="42"/>
        <v>doc-2274:1</v>
      </c>
      <c r="C2734" t="s">
        <v>10079</v>
      </c>
      <c r="D2734">
        <v>1</v>
      </c>
      <c r="E2734" t="s">
        <v>82</v>
      </c>
    </row>
    <row r="2735" spans="2:5">
      <c r="B2735" s="65" t="str">
        <f t="shared" si="42"/>
        <v>doc-2275:1</v>
      </c>
      <c r="C2735" t="s">
        <v>10080</v>
      </c>
      <c r="D2735">
        <v>1</v>
      </c>
      <c r="E2735" t="s">
        <v>2320</v>
      </c>
    </row>
    <row r="2736" spans="2:5">
      <c r="B2736" s="65" t="str">
        <f t="shared" si="42"/>
        <v>doc-2275:2</v>
      </c>
      <c r="C2736" t="s">
        <v>10080</v>
      </c>
      <c r="D2736">
        <v>2</v>
      </c>
      <c r="E2736" t="s">
        <v>87</v>
      </c>
    </row>
    <row r="2737" spans="2:5">
      <c r="B2737" s="65" t="str">
        <f t="shared" si="42"/>
        <v>doc-2275:3</v>
      </c>
      <c r="C2737" t="s">
        <v>10080</v>
      </c>
      <c r="D2737">
        <v>3</v>
      </c>
      <c r="E2737" t="s">
        <v>1395</v>
      </c>
    </row>
    <row r="2738" spans="2:5">
      <c r="B2738" s="65" t="str">
        <f t="shared" si="42"/>
        <v>doc-2275:4</v>
      </c>
      <c r="C2738" t="s">
        <v>10080</v>
      </c>
      <c r="D2738">
        <v>4</v>
      </c>
      <c r="E2738" t="s">
        <v>281</v>
      </c>
    </row>
    <row r="2739" spans="2:5">
      <c r="B2739" s="65" t="str">
        <f t="shared" si="42"/>
        <v>doc-2275:5</v>
      </c>
      <c r="C2739" t="s">
        <v>10080</v>
      </c>
      <c r="D2739">
        <v>5</v>
      </c>
      <c r="E2739" t="s">
        <v>73</v>
      </c>
    </row>
    <row r="2740" spans="2:5">
      <c r="B2740" s="65" t="str">
        <f t="shared" si="42"/>
        <v>doc-2279:1</v>
      </c>
      <c r="C2740" t="s">
        <v>10081</v>
      </c>
      <c r="D2740">
        <v>1</v>
      </c>
      <c r="E2740" t="s">
        <v>2941</v>
      </c>
    </row>
    <row r="2741" spans="2:5">
      <c r="B2741" s="65" t="str">
        <f t="shared" si="42"/>
        <v>doc-2279:2</v>
      </c>
      <c r="C2741" t="s">
        <v>10081</v>
      </c>
      <c r="D2741">
        <v>2</v>
      </c>
      <c r="E2741" t="s">
        <v>2960</v>
      </c>
    </row>
    <row r="2742" spans="2:5">
      <c r="B2742" s="65" t="str">
        <f t="shared" si="42"/>
        <v>doc-2279:3</v>
      </c>
      <c r="C2742" t="s">
        <v>10081</v>
      </c>
      <c r="D2742">
        <v>3</v>
      </c>
      <c r="E2742" t="s">
        <v>299</v>
      </c>
    </row>
    <row r="2743" spans="2:5">
      <c r="B2743" s="65" t="str">
        <f t="shared" si="42"/>
        <v>doc-2281:1</v>
      </c>
      <c r="C2743" t="s">
        <v>10082</v>
      </c>
      <c r="D2743">
        <v>1</v>
      </c>
      <c r="E2743" t="s">
        <v>3249</v>
      </c>
    </row>
    <row r="2744" spans="2:5">
      <c r="B2744" s="65" t="str">
        <f t="shared" si="42"/>
        <v>doc-2281:2</v>
      </c>
      <c r="C2744" t="s">
        <v>10082</v>
      </c>
      <c r="D2744">
        <v>2</v>
      </c>
      <c r="E2744" t="s">
        <v>2048</v>
      </c>
    </row>
    <row r="2745" spans="2:5">
      <c r="B2745" s="65" t="str">
        <f t="shared" si="42"/>
        <v>doc-2281:3</v>
      </c>
      <c r="C2745" t="s">
        <v>10082</v>
      </c>
      <c r="D2745">
        <v>3</v>
      </c>
      <c r="E2745" t="s">
        <v>1409</v>
      </c>
    </row>
    <row r="2746" spans="2:5">
      <c r="B2746" s="65" t="str">
        <f t="shared" si="42"/>
        <v>doc-2281:4</v>
      </c>
      <c r="C2746" t="s">
        <v>10082</v>
      </c>
      <c r="D2746">
        <v>4</v>
      </c>
      <c r="E2746" t="s">
        <v>2258</v>
      </c>
    </row>
    <row r="2747" spans="2:5">
      <c r="B2747" s="65" t="str">
        <f t="shared" si="42"/>
        <v>doc-2283:1</v>
      </c>
      <c r="C2747" t="s">
        <v>10083</v>
      </c>
      <c r="D2747">
        <v>1</v>
      </c>
      <c r="E2747" t="s">
        <v>2836</v>
      </c>
    </row>
    <row r="2748" spans="2:5">
      <c r="B2748" s="65" t="str">
        <f t="shared" si="42"/>
        <v>doc-2283:2</v>
      </c>
      <c r="C2748" t="s">
        <v>10083</v>
      </c>
      <c r="D2748">
        <v>2</v>
      </c>
      <c r="E2748" t="s">
        <v>1179</v>
      </c>
    </row>
    <row r="2749" spans="2:5">
      <c r="B2749" s="65" t="str">
        <f t="shared" si="42"/>
        <v>doc-2283:3</v>
      </c>
      <c r="C2749" t="s">
        <v>10083</v>
      </c>
      <c r="D2749">
        <v>3</v>
      </c>
      <c r="E2749" t="s">
        <v>2847</v>
      </c>
    </row>
    <row r="2750" spans="2:5">
      <c r="B2750" s="65" t="str">
        <f t="shared" si="42"/>
        <v>doc-2283:4</v>
      </c>
      <c r="C2750" t="s">
        <v>10083</v>
      </c>
      <c r="D2750">
        <v>4</v>
      </c>
      <c r="E2750" t="s">
        <v>2849</v>
      </c>
    </row>
    <row r="2751" spans="2:5">
      <c r="B2751" s="65" t="str">
        <f t="shared" si="42"/>
        <v>doc-2284:1</v>
      </c>
      <c r="C2751" t="s">
        <v>6079</v>
      </c>
      <c r="D2751">
        <v>1</v>
      </c>
      <c r="E2751" t="s">
        <v>2836</v>
      </c>
    </row>
    <row r="2752" spans="2:5">
      <c r="B2752" s="65" t="str">
        <f t="shared" si="42"/>
        <v>doc-2284:2</v>
      </c>
      <c r="C2752" t="s">
        <v>6079</v>
      </c>
      <c r="D2752">
        <v>2</v>
      </c>
      <c r="E2752" t="s">
        <v>2847</v>
      </c>
    </row>
    <row r="2753" spans="2:5">
      <c r="B2753" s="65" t="str">
        <f t="shared" si="42"/>
        <v>doc-2284:3</v>
      </c>
      <c r="C2753" t="s">
        <v>6079</v>
      </c>
      <c r="D2753">
        <v>3</v>
      </c>
      <c r="E2753" t="s">
        <v>2849</v>
      </c>
    </row>
    <row r="2754" spans="2:5">
      <c r="B2754" s="65" t="str">
        <f t="shared" si="42"/>
        <v>doc-2286:1</v>
      </c>
      <c r="C2754" t="s">
        <v>10084</v>
      </c>
      <c r="D2754">
        <v>1</v>
      </c>
      <c r="E2754" t="s">
        <v>2847</v>
      </c>
    </row>
    <row r="2755" spans="2:5">
      <c r="B2755" s="65" t="str">
        <f t="shared" si="42"/>
        <v>doc-2286:2</v>
      </c>
      <c r="C2755" t="s">
        <v>10084</v>
      </c>
      <c r="D2755">
        <v>2</v>
      </c>
      <c r="E2755" t="s">
        <v>2843</v>
      </c>
    </row>
    <row r="2756" spans="2:5">
      <c r="B2756" s="65" t="str">
        <f t="shared" ref="B2756:B2819" si="43">$C2756&amp;":"&amp;$D2756</f>
        <v>doc-2286:3</v>
      </c>
      <c r="C2756" t="s">
        <v>10084</v>
      </c>
      <c r="D2756">
        <v>3</v>
      </c>
      <c r="E2756" t="s">
        <v>2849</v>
      </c>
    </row>
    <row r="2757" spans="2:5">
      <c r="B2757" s="65" t="str">
        <f t="shared" si="43"/>
        <v>doc-2293b:1</v>
      </c>
      <c r="C2757" t="s">
        <v>10085</v>
      </c>
      <c r="D2757">
        <v>1</v>
      </c>
      <c r="E2757" t="s">
        <v>79</v>
      </c>
    </row>
    <row r="2758" spans="2:5">
      <c r="B2758" s="65" t="str">
        <f t="shared" si="43"/>
        <v>doc-2293b:2</v>
      </c>
      <c r="C2758" t="s">
        <v>10085</v>
      </c>
      <c r="D2758">
        <v>2</v>
      </c>
      <c r="E2758" t="s">
        <v>82</v>
      </c>
    </row>
    <row r="2759" spans="2:5">
      <c r="B2759" s="65" t="str">
        <f t="shared" si="43"/>
        <v>doc-2293b:3</v>
      </c>
      <c r="C2759" t="s">
        <v>10085</v>
      </c>
      <c r="D2759">
        <v>3</v>
      </c>
      <c r="E2759" t="s">
        <v>1780</v>
      </c>
    </row>
    <row r="2760" spans="2:5">
      <c r="B2760" s="65" t="str">
        <f t="shared" si="43"/>
        <v>doc-2293b:4</v>
      </c>
      <c r="C2760" t="s">
        <v>10085</v>
      </c>
      <c r="D2760">
        <v>4</v>
      </c>
      <c r="E2760" t="s">
        <v>90</v>
      </c>
    </row>
    <row r="2761" spans="2:5">
      <c r="B2761" s="65" t="str">
        <f t="shared" si="43"/>
        <v>doc-2293b:5</v>
      </c>
      <c r="C2761" t="s">
        <v>10085</v>
      </c>
      <c r="D2761">
        <v>5</v>
      </c>
      <c r="E2761" t="s">
        <v>107</v>
      </c>
    </row>
    <row r="2762" spans="2:5">
      <c r="B2762" s="65" t="str">
        <f t="shared" si="43"/>
        <v>doc-2295:1</v>
      </c>
      <c r="C2762" t="s">
        <v>6085</v>
      </c>
      <c r="D2762">
        <v>1</v>
      </c>
      <c r="E2762" t="s">
        <v>2194</v>
      </c>
    </row>
    <row r="2763" spans="2:5">
      <c r="B2763" s="65" t="str">
        <f t="shared" si="43"/>
        <v>doc-2295:2</v>
      </c>
      <c r="C2763" t="s">
        <v>6085</v>
      </c>
      <c r="D2763">
        <v>2</v>
      </c>
      <c r="E2763" t="s">
        <v>1343</v>
      </c>
    </row>
    <row r="2764" spans="2:5">
      <c r="B2764" s="65" t="str">
        <f t="shared" si="43"/>
        <v>doc-2296:1</v>
      </c>
      <c r="C2764" t="s">
        <v>10086</v>
      </c>
      <c r="D2764">
        <v>1</v>
      </c>
      <c r="E2764" t="s">
        <v>2720</v>
      </c>
    </row>
    <row r="2765" spans="2:5">
      <c r="B2765" s="65" t="str">
        <f t="shared" si="43"/>
        <v>doc-2296:2</v>
      </c>
      <c r="C2765" t="s">
        <v>10086</v>
      </c>
      <c r="D2765">
        <v>2</v>
      </c>
      <c r="E2765" t="s">
        <v>2651</v>
      </c>
    </row>
    <row r="2766" spans="2:5">
      <c r="B2766" s="65" t="str">
        <f t="shared" si="43"/>
        <v>doc-2296:3</v>
      </c>
      <c r="C2766" t="s">
        <v>10086</v>
      </c>
      <c r="D2766">
        <v>3</v>
      </c>
      <c r="E2766" t="s">
        <v>2680</v>
      </c>
    </row>
    <row r="2767" spans="2:5">
      <c r="B2767" s="65" t="str">
        <f t="shared" si="43"/>
        <v>doc-2296:4</v>
      </c>
      <c r="C2767" t="s">
        <v>10086</v>
      </c>
      <c r="D2767">
        <v>4</v>
      </c>
      <c r="E2767" t="s">
        <v>2664</v>
      </c>
    </row>
    <row r="2768" spans="2:5">
      <c r="B2768" s="65" t="str">
        <f t="shared" si="43"/>
        <v>doc-2297:1</v>
      </c>
      <c r="C2768" t="s">
        <v>10087</v>
      </c>
      <c r="D2768">
        <v>1</v>
      </c>
      <c r="E2768" t="s">
        <v>2720</v>
      </c>
    </row>
    <row r="2769" spans="2:5">
      <c r="B2769" s="65" t="str">
        <f t="shared" si="43"/>
        <v>doc-2297:2</v>
      </c>
      <c r="C2769" t="s">
        <v>10087</v>
      </c>
      <c r="D2769">
        <v>2</v>
      </c>
      <c r="E2769" t="s">
        <v>2651</v>
      </c>
    </row>
    <row r="2770" spans="2:5">
      <c r="B2770" s="65" t="str">
        <f t="shared" si="43"/>
        <v>doc-2297:3</v>
      </c>
      <c r="C2770" t="s">
        <v>10087</v>
      </c>
      <c r="D2770">
        <v>3</v>
      </c>
      <c r="E2770" t="s">
        <v>1395</v>
      </c>
    </row>
    <row r="2771" spans="2:5">
      <c r="B2771" s="65" t="str">
        <f t="shared" si="43"/>
        <v>doc-2297:4</v>
      </c>
      <c r="C2771" t="s">
        <v>10087</v>
      </c>
      <c r="D2771">
        <v>4</v>
      </c>
      <c r="E2771" t="s">
        <v>2664</v>
      </c>
    </row>
    <row r="2772" spans="2:5">
      <c r="B2772" s="65" t="str">
        <f t="shared" si="43"/>
        <v>doc-2303:1</v>
      </c>
      <c r="C2772" t="s">
        <v>10088</v>
      </c>
      <c r="D2772">
        <v>1</v>
      </c>
      <c r="E2772" t="s">
        <v>2494</v>
      </c>
    </row>
    <row r="2773" spans="2:5">
      <c r="B2773" s="65" t="str">
        <f t="shared" si="43"/>
        <v>doc-2303:2</v>
      </c>
      <c r="C2773" t="s">
        <v>10088</v>
      </c>
      <c r="D2773">
        <v>2</v>
      </c>
      <c r="E2773" t="s">
        <v>2422</v>
      </c>
    </row>
    <row r="2774" spans="2:5">
      <c r="B2774" s="65" t="str">
        <f t="shared" si="43"/>
        <v>doc-2304:1</v>
      </c>
      <c r="C2774" t="s">
        <v>10089</v>
      </c>
      <c r="D2774">
        <v>1</v>
      </c>
      <c r="E2774" t="s">
        <v>2983</v>
      </c>
    </row>
    <row r="2775" spans="2:5">
      <c r="B2775" s="65" t="str">
        <f t="shared" si="43"/>
        <v>doc-2304:2</v>
      </c>
      <c r="C2775" t="s">
        <v>10089</v>
      </c>
      <c r="D2775">
        <v>2</v>
      </c>
      <c r="E2775" t="s">
        <v>2825</v>
      </c>
    </row>
    <row r="2776" spans="2:5">
      <c r="B2776" s="65" t="str">
        <f t="shared" si="43"/>
        <v>doc-2304:3</v>
      </c>
      <c r="C2776" t="s">
        <v>10089</v>
      </c>
      <c r="D2776">
        <v>3</v>
      </c>
      <c r="E2776" t="s">
        <v>2860</v>
      </c>
    </row>
    <row r="2777" spans="2:5">
      <c r="B2777" s="65" t="str">
        <f t="shared" si="43"/>
        <v>doc-2304:4</v>
      </c>
      <c r="C2777" t="s">
        <v>10089</v>
      </c>
      <c r="D2777">
        <v>4</v>
      </c>
      <c r="E2777" t="s">
        <v>2849</v>
      </c>
    </row>
    <row r="2778" spans="2:5">
      <c r="B2778" s="65" t="str">
        <f t="shared" si="43"/>
        <v>doc-2305:1</v>
      </c>
      <c r="C2778" t="s">
        <v>10090</v>
      </c>
      <c r="D2778">
        <v>1</v>
      </c>
      <c r="E2778" t="s">
        <v>2918</v>
      </c>
    </row>
    <row r="2779" spans="2:5">
      <c r="B2779" s="65" t="str">
        <f t="shared" si="43"/>
        <v>doc-2305:2</v>
      </c>
      <c r="C2779" t="s">
        <v>10090</v>
      </c>
      <c r="D2779">
        <v>2</v>
      </c>
      <c r="E2779" t="s">
        <v>299</v>
      </c>
    </row>
    <row r="2780" spans="2:5">
      <c r="B2780" s="65" t="str">
        <f t="shared" si="43"/>
        <v>doc-2305:3</v>
      </c>
      <c r="C2780" t="s">
        <v>10090</v>
      </c>
      <c r="D2780">
        <v>3</v>
      </c>
      <c r="E2780" t="s">
        <v>2954</v>
      </c>
    </row>
    <row r="2781" spans="2:5">
      <c r="B2781" s="65" t="str">
        <f t="shared" si="43"/>
        <v>doc-2305:4</v>
      </c>
      <c r="C2781" t="s">
        <v>10090</v>
      </c>
      <c r="D2781">
        <v>4</v>
      </c>
      <c r="E2781" t="s">
        <v>1833</v>
      </c>
    </row>
    <row r="2782" spans="2:5">
      <c r="B2782" s="65" t="str">
        <f t="shared" si="43"/>
        <v>doc-2305:5</v>
      </c>
      <c r="C2782" t="s">
        <v>10090</v>
      </c>
      <c r="D2782">
        <v>5</v>
      </c>
      <c r="E2782" t="s">
        <v>1941</v>
      </c>
    </row>
    <row r="2783" spans="2:5">
      <c r="B2783" s="65" t="str">
        <f t="shared" si="43"/>
        <v>doc-2306:1</v>
      </c>
      <c r="C2783" t="s">
        <v>10091</v>
      </c>
      <c r="D2783">
        <v>1</v>
      </c>
      <c r="E2783" t="s">
        <v>3061</v>
      </c>
    </row>
    <row r="2784" spans="2:5">
      <c r="B2784" s="65" t="str">
        <f t="shared" si="43"/>
        <v>doc-2309:1</v>
      </c>
      <c r="C2784" t="s">
        <v>10092</v>
      </c>
      <c r="D2784">
        <v>1</v>
      </c>
      <c r="E2784" t="s">
        <v>2846</v>
      </c>
    </row>
    <row r="2785" spans="2:5">
      <c r="B2785" s="65" t="str">
        <f t="shared" si="43"/>
        <v>doc-2309:2</v>
      </c>
      <c r="C2785" t="s">
        <v>10092</v>
      </c>
      <c r="D2785">
        <v>2</v>
      </c>
      <c r="E2785" t="s">
        <v>2805</v>
      </c>
    </row>
    <row r="2786" spans="2:5">
      <c r="B2786" s="65" t="str">
        <f t="shared" si="43"/>
        <v>doc-2309:3</v>
      </c>
      <c r="C2786" t="s">
        <v>10092</v>
      </c>
      <c r="D2786">
        <v>3</v>
      </c>
      <c r="E2786" t="s">
        <v>2787</v>
      </c>
    </row>
    <row r="2787" spans="2:5">
      <c r="B2787" s="65" t="str">
        <f t="shared" si="43"/>
        <v>doc-2310:1</v>
      </c>
      <c r="C2787" t="s">
        <v>10093</v>
      </c>
      <c r="D2787">
        <v>1</v>
      </c>
      <c r="E2787" t="s">
        <v>2776</v>
      </c>
    </row>
    <row r="2788" spans="2:5">
      <c r="B2788" s="65" t="str">
        <f t="shared" si="43"/>
        <v>doc-2310:2</v>
      </c>
      <c r="C2788" t="s">
        <v>10093</v>
      </c>
      <c r="D2788">
        <v>2</v>
      </c>
      <c r="E2788" t="s">
        <v>2810</v>
      </c>
    </row>
    <row r="2789" spans="2:5">
      <c r="B2789" s="65" t="str">
        <f t="shared" si="43"/>
        <v>doc-2310:3</v>
      </c>
      <c r="C2789" t="s">
        <v>10093</v>
      </c>
      <c r="D2789">
        <v>3</v>
      </c>
      <c r="E2789" t="s">
        <v>2805</v>
      </c>
    </row>
    <row r="2790" spans="2:5">
      <c r="B2790" s="65" t="str">
        <f t="shared" si="43"/>
        <v>doc-2310:4</v>
      </c>
      <c r="C2790" t="s">
        <v>10093</v>
      </c>
      <c r="D2790">
        <v>4</v>
      </c>
      <c r="E2790" t="s">
        <v>2803</v>
      </c>
    </row>
    <row r="2791" spans="2:5">
      <c r="B2791" s="65" t="str">
        <f t="shared" si="43"/>
        <v>doc-2312:1</v>
      </c>
      <c r="C2791" t="s">
        <v>10094</v>
      </c>
      <c r="D2791">
        <v>1</v>
      </c>
      <c r="E2791" t="s">
        <v>1777</v>
      </c>
    </row>
    <row r="2792" spans="2:5">
      <c r="B2792" s="65" t="str">
        <f t="shared" si="43"/>
        <v>doc-2312:2</v>
      </c>
      <c r="C2792" t="s">
        <v>10094</v>
      </c>
      <c r="D2792">
        <v>2</v>
      </c>
      <c r="E2792" t="s">
        <v>1941</v>
      </c>
    </row>
    <row r="2793" spans="2:5">
      <c r="B2793" s="65" t="str">
        <f t="shared" si="43"/>
        <v>doc-2312:3</v>
      </c>
      <c r="C2793" t="s">
        <v>10094</v>
      </c>
      <c r="D2793">
        <v>3</v>
      </c>
      <c r="E2793" t="s">
        <v>79</v>
      </c>
    </row>
    <row r="2794" spans="2:5">
      <c r="B2794" s="65" t="str">
        <f t="shared" si="43"/>
        <v>doc-2312:4</v>
      </c>
      <c r="C2794" t="s">
        <v>10094</v>
      </c>
      <c r="D2794">
        <v>4</v>
      </c>
      <c r="E2794" t="s">
        <v>2954</v>
      </c>
    </row>
    <row r="2795" spans="2:5">
      <c r="B2795" s="65" t="str">
        <f t="shared" si="43"/>
        <v>doc-2317:1</v>
      </c>
      <c r="C2795" t="s">
        <v>10095</v>
      </c>
      <c r="D2795">
        <v>1</v>
      </c>
      <c r="E2795" t="s">
        <v>1096</v>
      </c>
    </row>
    <row r="2796" spans="2:5">
      <c r="B2796" s="65" t="str">
        <f t="shared" si="43"/>
        <v>doc-2317:2</v>
      </c>
      <c r="C2796" t="s">
        <v>10095</v>
      </c>
      <c r="D2796">
        <v>2</v>
      </c>
      <c r="E2796" t="s">
        <v>87</v>
      </c>
    </row>
    <row r="2797" spans="2:5">
      <c r="B2797" s="65" t="str">
        <f t="shared" si="43"/>
        <v>doc-2317:3</v>
      </c>
      <c r="C2797" t="s">
        <v>10095</v>
      </c>
      <c r="D2797">
        <v>3</v>
      </c>
      <c r="E2797" t="s">
        <v>73</v>
      </c>
    </row>
    <row r="2798" spans="2:5">
      <c r="B2798" s="65" t="str">
        <f t="shared" si="43"/>
        <v>doc-2319a:1</v>
      </c>
      <c r="C2798" t="s">
        <v>10096</v>
      </c>
      <c r="D2798">
        <v>1</v>
      </c>
      <c r="E2798" t="s">
        <v>2915</v>
      </c>
    </row>
    <row r="2799" spans="2:5">
      <c r="B2799" s="65" t="str">
        <f t="shared" si="43"/>
        <v>doc-2320:1</v>
      </c>
      <c r="C2799" t="s">
        <v>10097</v>
      </c>
      <c r="D2799">
        <v>1</v>
      </c>
      <c r="E2799" t="s">
        <v>1628</v>
      </c>
    </row>
    <row r="2800" spans="2:5">
      <c r="B2800" s="65" t="str">
        <f t="shared" si="43"/>
        <v>doc-2320:2</v>
      </c>
      <c r="C2800" t="s">
        <v>10097</v>
      </c>
      <c r="D2800">
        <v>2</v>
      </c>
      <c r="E2800" t="s">
        <v>1625</v>
      </c>
    </row>
    <row r="2801" spans="2:5">
      <c r="B2801" s="65" t="str">
        <f t="shared" si="43"/>
        <v>doc-2320:3</v>
      </c>
      <c r="C2801" t="s">
        <v>10097</v>
      </c>
      <c r="D2801">
        <v>3</v>
      </c>
      <c r="E2801" t="s">
        <v>1941</v>
      </c>
    </row>
    <row r="2802" spans="2:5">
      <c r="B2802" s="65" t="str">
        <f t="shared" si="43"/>
        <v>doc-2322:1</v>
      </c>
      <c r="C2802" t="s">
        <v>10098</v>
      </c>
      <c r="D2802">
        <v>1</v>
      </c>
      <c r="E2802" t="s">
        <v>1773</v>
      </c>
    </row>
    <row r="2803" spans="2:5">
      <c r="B2803" s="65" t="str">
        <f t="shared" si="43"/>
        <v>doc-2322:2</v>
      </c>
      <c r="C2803" t="s">
        <v>10098</v>
      </c>
      <c r="D2803">
        <v>2</v>
      </c>
      <c r="E2803" t="s">
        <v>1343</v>
      </c>
    </row>
    <row r="2804" spans="2:5">
      <c r="B2804" s="65" t="str">
        <f t="shared" si="43"/>
        <v>doc-2322:3</v>
      </c>
      <c r="C2804" t="s">
        <v>10098</v>
      </c>
      <c r="D2804">
        <v>3</v>
      </c>
      <c r="E2804" t="s">
        <v>101</v>
      </c>
    </row>
    <row r="2805" spans="2:5">
      <c r="B2805" s="65" t="str">
        <f t="shared" si="43"/>
        <v>doc-2322:4</v>
      </c>
      <c r="C2805" t="s">
        <v>10098</v>
      </c>
      <c r="D2805">
        <v>4</v>
      </c>
      <c r="E2805" t="s">
        <v>92</v>
      </c>
    </row>
    <row r="2806" spans="2:5">
      <c r="B2806" s="65" t="str">
        <f t="shared" si="43"/>
        <v>doc-2323:1</v>
      </c>
      <c r="C2806" t="s">
        <v>10099</v>
      </c>
      <c r="D2806">
        <v>1</v>
      </c>
      <c r="E2806" t="s">
        <v>79</v>
      </c>
    </row>
    <row r="2807" spans="2:5">
      <c r="B2807" s="65" t="str">
        <f t="shared" si="43"/>
        <v>doc-2323:2</v>
      </c>
      <c r="C2807" t="s">
        <v>10099</v>
      </c>
      <c r="D2807">
        <v>2</v>
      </c>
      <c r="E2807" t="s">
        <v>1763</v>
      </c>
    </row>
    <row r="2808" spans="2:5">
      <c r="B2808" s="65" t="str">
        <f t="shared" si="43"/>
        <v>doc-2323:3</v>
      </c>
      <c r="C2808" t="s">
        <v>10099</v>
      </c>
      <c r="D2808">
        <v>3</v>
      </c>
      <c r="E2808" t="s">
        <v>1753</v>
      </c>
    </row>
    <row r="2809" spans="2:5">
      <c r="B2809" s="65" t="str">
        <f t="shared" si="43"/>
        <v>doc-2325:1</v>
      </c>
      <c r="C2809" t="s">
        <v>6091</v>
      </c>
      <c r="D2809">
        <v>1</v>
      </c>
      <c r="E2809" t="s">
        <v>2435</v>
      </c>
    </row>
    <row r="2810" spans="2:5">
      <c r="B2810" s="65" t="str">
        <f t="shared" si="43"/>
        <v>doc-2325:2</v>
      </c>
      <c r="C2810" t="s">
        <v>6091</v>
      </c>
      <c r="D2810">
        <v>2</v>
      </c>
      <c r="E2810" t="s">
        <v>2422</v>
      </c>
    </row>
    <row r="2811" spans="2:5">
      <c r="B2811" s="65" t="str">
        <f t="shared" si="43"/>
        <v>doc-2328:1</v>
      </c>
      <c r="C2811" t="s">
        <v>10100</v>
      </c>
      <c r="D2811">
        <v>1</v>
      </c>
      <c r="E2811" t="s">
        <v>2342</v>
      </c>
    </row>
    <row r="2812" spans="2:5">
      <c r="B2812" s="65" t="str">
        <f t="shared" si="43"/>
        <v>doc-2328:2</v>
      </c>
      <c r="C2812" t="s">
        <v>10100</v>
      </c>
      <c r="D2812">
        <v>2</v>
      </c>
      <c r="E2812" t="s">
        <v>2148</v>
      </c>
    </row>
    <row r="2813" spans="2:5">
      <c r="B2813" s="65" t="str">
        <f t="shared" si="43"/>
        <v>doc-2328:3</v>
      </c>
      <c r="C2813" t="s">
        <v>10100</v>
      </c>
      <c r="D2813">
        <v>3</v>
      </c>
      <c r="E2813" t="s">
        <v>1813</v>
      </c>
    </row>
    <row r="2814" spans="2:5">
      <c r="B2814" s="65" t="str">
        <f t="shared" si="43"/>
        <v>doc-2328:4</v>
      </c>
      <c r="C2814" t="s">
        <v>10100</v>
      </c>
      <c r="D2814">
        <v>4</v>
      </c>
      <c r="E2814" t="s">
        <v>2064</v>
      </c>
    </row>
    <row r="2815" spans="2:5">
      <c r="B2815" s="65" t="str">
        <f t="shared" si="43"/>
        <v>doc-2328:5</v>
      </c>
      <c r="C2815" t="s">
        <v>10100</v>
      </c>
      <c r="D2815">
        <v>5</v>
      </c>
      <c r="E2815" t="s">
        <v>296</v>
      </c>
    </row>
    <row r="2816" spans="2:5">
      <c r="B2816" s="65" t="str">
        <f t="shared" si="43"/>
        <v>doc-2328:6</v>
      </c>
      <c r="C2816" t="s">
        <v>10100</v>
      </c>
      <c r="D2816">
        <v>6</v>
      </c>
      <c r="E2816" t="s">
        <v>281</v>
      </c>
    </row>
    <row r="2817" spans="2:5">
      <c r="B2817" s="65" t="str">
        <f t="shared" si="43"/>
        <v>doc-2329:1</v>
      </c>
      <c r="C2817" t="s">
        <v>10101</v>
      </c>
      <c r="D2817">
        <v>1</v>
      </c>
      <c r="E2817" t="s">
        <v>2342</v>
      </c>
    </row>
    <row r="2818" spans="2:5">
      <c r="B2818" s="65" t="str">
        <f t="shared" si="43"/>
        <v>doc-2329:2</v>
      </c>
      <c r="C2818" t="s">
        <v>10101</v>
      </c>
      <c r="D2818">
        <v>2</v>
      </c>
      <c r="E2818" t="s">
        <v>2339</v>
      </c>
    </row>
    <row r="2819" spans="2:5">
      <c r="B2819" s="65" t="str">
        <f t="shared" si="43"/>
        <v>doc-2329:3</v>
      </c>
      <c r="C2819" t="s">
        <v>10101</v>
      </c>
      <c r="D2819">
        <v>3</v>
      </c>
      <c r="E2819" t="s">
        <v>2023</v>
      </c>
    </row>
    <row r="2820" spans="2:5">
      <c r="B2820" s="65" t="str">
        <f t="shared" ref="B2820:B2883" si="44">$C2820&amp;":"&amp;$D2820</f>
        <v>doc-2329:4</v>
      </c>
      <c r="C2820" t="s">
        <v>10101</v>
      </c>
      <c r="D2820">
        <v>4</v>
      </c>
      <c r="E2820" t="s">
        <v>281</v>
      </c>
    </row>
    <row r="2821" spans="2:5">
      <c r="B2821" s="65" t="str">
        <f t="shared" si="44"/>
        <v>doc-2333:1</v>
      </c>
      <c r="C2821" t="s">
        <v>10102</v>
      </c>
      <c r="D2821">
        <v>1</v>
      </c>
      <c r="E2821" t="s">
        <v>1461</v>
      </c>
    </row>
    <row r="2822" spans="2:5">
      <c r="B2822" s="65" t="str">
        <f t="shared" si="44"/>
        <v>doc-2333:2</v>
      </c>
      <c r="C2822" t="s">
        <v>10102</v>
      </c>
      <c r="D2822">
        <v>2</v>
      </c>
      <c r="E2822" t="s">
        <v>2915</v>
      </c>
    </row>
    <row r="2823" spans="2:5">
      <c r="B2823" s="65" t="str">
        <f t="shared" si="44"/>
        <v>doc-2333:3</v>
      </c>
      <c r="C2823" t="s">
        <v>10102</v>
      </c>
      <c r="D2823">
        <v>3</v>
      </c>
      <c r="E2823" t="s">
        <v>2960</v>
      </c>
    </row>
    <row r="2824" spans="2:5">
      <c r="B2824" s="65" t="str">
        <f t="shared" si="44"/>
        <v>doc-2333:4</v>
      </c>
      <c r="C2824" t="s">
        <v>10102</v>
      </c>
      <c r="D2824">
        <v>4</v>
      </c>
      <c r="E2824" t="s">
        <v>299</v>
      </c>
    </row>
    <row r="2825" spans="2:5">
      <c r="B2825" s="65" t="str">
        <f t="shared" si="44"/>
        <v>doc-2334:1</v>
      </c>
      <c r="C2825" t="s">
        <v>10103</v>
      </c>
      <c r="D2825">
        <v>1</v>
      </c>
      <c r="E2825" t="s">
        <v>1461</v>
      </c>
    </row>
    <row r="2826" spans="2:5">
      <c r="B2826" s="65" t="str">
        <f t="shared" si="44"/>
        <v>doc-2334:2</v>
      </c>
      <c r="C2826" t="s">
        <v>10103</v>
      </c>
      <c r="D2826">
        <v>2</v>
      </c>
      <c r="E2826" t="s">
        <v>2915</v>
      </c>
    </row>
    <row r="2827" spans="2:5">
      <c r="B2827" s="65" t="str">
        <f t="shared" si="44"/>
        <v>doc-2334:3</v>
      </c>
      <c r="C2827" t="s">
        <v>10103</v>
      </c>
      <c r="D2827">
        <v>3</v>
      </c>
      <c r="E2827" t="s">
        <v>2960</v>
      </c>
    </row>
    <row r="2828" spans="2:5">
      <c r="B2828" s="65" t="str">
        <f t="shared" si="44"/>
        <v>doc-2334:4</v>
      </c>
      <c r="C2828" t="s">
        <v>10103</v>
      </c>
      <c r="D2828">
        <v>4</v>
      </c>
      <c r="E2828" t="s">
        <v>299</v>
      </c>
    </row>
    <row r="2829" spans="2:5">
      <c r="B2829" s="65" t="str">
        <f t="shared" si="44"/>
        <v>doc-2335:1</v>
      </c>
      <c r="C2829" t="s">
        <v>10104</v>
      </c>
      <c r="D2829">
        <v>1</v>
      </c>
      <c r="E2829" t="s">
        <v>1833</v>
      </c>
    </row>
    <row r="2830" spans="2:5">
      <c r="B2830" s="65" t="str">
        <f t="shared" si="44"/>
        <v>doc-2335:2</v>
      </c>
      <c r="C2830" t="s">
        <v>10104</v>
      </c>
      <c r="D2830">
        <v>2</v>
      </c>
      <c r="E2830" t="s">
        <v>1321</v>
      </c>
    </row>
    <row r="2831" spans="2:5">
      <c r="B2831" s="65" t="str">
        <f t="shared" si="44"/>
        <v>doc-2335:3</v>
      </c>
      <c r="C2831" t="s">
        <v>10104</v>
      </c>
      <c r="D2831">
        <v>3</v>
      </c>
      <c r="E2831" t="s">
        <v>1461</v>
      </c>
    </row>
    <row r="2832" spans="2:5">
      <c r="B2832" s="65" t="str">
        <f t="shared" si="44"/>
        <v>doc-2335:4</v>
      </c>
      <c r="C2832" t="s">
        <v>10104</v>
      </c>
      <c r="D2832">
        <v>4</v>
      </c>
      <c r="E2832" t="s">
        <v>2960</v>
      </c>
    </row>
    <row r="2833" spans="2:5">
      <c r="B2833" s="65" t="str">
        <f t="shared" si="44"/>
        <v>doc-2339:1</v>
      </c>
      <c r="C2833" t="s">
        <v>10105</v>
      </c>
      <c r="D2833">
        <v>1</v>
      </c>
      <c r="E2833" t="s">
        <v>79</v>
      </c>
    </row>
    <row r="2834" spans="2:5">
      <c r="B2834" s="65" t="str">
        <f t="shared" si="44"/>
        <v>doc-2340:1</v>
      </c>
      <c r="C2834" t="s">
        <v>10106</v>
      </c>
      <c r="D2834">
        <v>1</v>
      </c>
      <c r="E2834" t="s">
        <v>82</v>
      </c>
    </row>
    <row r="2835" spans="2:5">
      <c r="B2835" s="65" t="str">
        <f t="shared" si="44"/>
        <v>doc-2340:2</v>
      </c>
      <c r="C2835" t="s">
        <v>10106</v>
      </c>
      <c r="D2835">
        <v>2</v>
      </c>
      <c r="E2835" t="s">
        <v>1227</v>
      </c>
    </row>
    <row r="2836" spans="2:5">
      <c r="B2836" s="65" t="str">
        <f t="shared" si="44"/>
        <v>doc-2340:3</v>
      </c>
      <c r="C2836" t="s">
        <v>10106</v>
      </c>
      <c r="D2836">
        <v>3</v>
      </c>
      <c r="E2836" t="s">
        <v>1221</v>
      </c>
    </row>
    <row r="2837" spans="2:5">
      <c r="B2837" s="65" t="str">
        <f t="shared" si="44"/>
        <v>doc-2340:4</v>
      </c>
      <c r="C2837" t="s">
        <v>10106</v>
      </c>
      <c r="D2837">
        <v>4</v>
      </c>
      <c r="E2837" t="s">
        <v>1203</v>
      </c>
    </row>
    <row r="2838" spans="2:5">
      <c r="B2838" s="65" t="str">
        <f t="shared" si="44"/>
        <v>doc-2341:1</v>
      </c>
      <c r="C2838" t="s">
        <v>10107</v>
      </c>
      <c r="D2838">
        <v>1</v>
      </c>
      <c r="E2838" t="s">
        <v>82</v>
      </c>
    </row>
    <row r="2839" spans="2:5">
      <c r="B2839" s="65" t="str">
        <f t="shared" si="44"/>
        <v>doc-2342:1</v>
      </c>
      <c r="C2839" t="s">
        <v>10108</v>
      </c>
      <c r="D2839">
        <v>1</v>
      </c>
      <c r="E2839" t="s">
        <v>82</v>
      </c>
    </row>
    <row r="2840" spans="2:5">
      <c r="B2840" s="65" t="str">
        <f t="shared" si="44"/>
        <v>doc-2343:1</v>
      </c>
      <c r="C2840" t="s">
        <v>10109</v>
      </c>
      <c r="D2840">
        <v>1</v>
      </c>
      <c r="E2840" t="s">
        <v>1321</v>
      </c>
    </row>
    <row r="2841" spans="2:5">
      <c r="B2841" s="65" t="str">
        <f t="shared" si="44"/>
        <v>doc-2343:2</v>
      </c>
      <c r="C2841" t="s">
        <v>10109</v>
      </c>
      <c r="D2841">
        <v>2</v>
      </c>
      <c r="E2841" t="s">
        <v>2960</v>
      </c>
    </row>
    <row r="2842" spans="2:5">
      <c r="B2842" s="65" t="str">
        <f t="shared" si="44"/>
        <v>doc-2343:3</v>
      </c>
      <c r="C2842" t="s">
        <v>10109</v>
      </c>
      <c r="D2842">
        <v>3</v>
      </c>
      <c r="E2842" t="s">
        <v>1417</v>
      </c>
    </row>
    <row r="2843" spans="2:5">
      <c r="B2843" s="65" t="str">
        <f t="shared" si="44"/>
        <v>doc-2343:4</v>
      </c>
      <c r="C2843" t="s">
        <v>10109</v>
      </c>
      <c r="D2843">
        <v>4</v>
      </c>
      <c r="E2843" t="s">
        <v>254</v>
      </c>
    </row>
    <row r="2844" spans="2:5">
      <c r="B2844" s="65" t="str">
        <f t="shared" si="44"/>
        <v>doc-2344:1</v>
      </c>
      <c r="C2844" t="s">
        <v>10110</v>
      </c>
      <c r="D2844">
        <v>1</v>
      </c>
      <c r="E2844" t="s">
        <v>2926</v>
      </c>
    </row>
    <row r="2845" spans="2:5">
      <c r="B2845" s="65" t="str">
        <f t="shared" si="44"/>
        <v>doc-2344:2</v>
      </c>
      <c r="C2845" t="s">
        <v>10110</v>
      </c>
      <c r="D2845">
        <v>2</v>
      </c>
      <c r="E2845" t="s">
        <v>2960</v>
      </c>
    </row>
    <row r="2846" spans="2:5">
      <c r="B2846" s="65" t="str">
        <f t="shared" si="44"/>
        <v>doc-2345:1</v>
      </c>
      <c r="C2846" t="s">
        <v>10111</v>
      </c>
      <c r="D2846">
        <v>1</v>
      </c>
      <c r="E2846" t="s">
        <v>1108</v>
      </c>
    </row>
    <row r="2847" spans="2:5">
      <c r="B2847" s="65" t="str">
        <f t="shared" si="44"/>
        <v>doc-2345:2</v>
      </c>
      <c r="C2847" t="s">
        <v>10111</v>
      </c>
      <c r="D2847">
        <v>2</v>
      </c>
      <c r="E2847" t="s">
        <v>2954</v>
      </c>
    </row>
    <row r="2848" spans="2:5">
      <c r="B2848" s="65" t="str">
        <f t="shared" si="44"/>
        <v>doc-2345:3</v>
      </c>
      <c r="C2848" t="s">
        <v>10111</v>
      </c>
      <c r="D2848">
        <v>3</v>
      </c>
      <c r="E2848" t="s">
        <v>1321</v>
      </c>
    </row>
    <row r="2849" spans="2:5">
      <c r="B2849" s="65" t="str">
        <f t="shared" si="44"/>
        <v>doc-2345:4</v>
      </c>
      <c r="C2849" t="s">
        <v>10111</v>
      </c>
      <c r="D2849">
        <v>4</v>
      </c>
      <c r="E2849" t="s">
        <v>2720</v>
      </c>
    </row>
    <row r="2850" spans="2:5">
      <c r="B2850" s="65" t="str">
        <f t="shared" si="44"/>
        <v>doc-2345:5</v>
      </c>
      <c r="C2850" t="s">
        <v>10111</v>
      </c>
      <c r="D2850">
        <v>5</v>
      </c>
      <c r="E2850" t="s">
        <v>1833</v>
      </c>
    </row>
    <row r="2851" spans="2:5">
      <c r="B2851" s="65" t="str">
        <f t="shared" si="44"/>
        <v>doc-2345:6</v>
      </c>
      <c r="C2851" t="s">
        <v>10111</v>
      </c>
      <c r="D2851">
        <v>6</v>
      </c>
      <c r="E2851" t="s">
        <v>90</v>
      </c>
    </row>
    <row r="2852" spans="2:5">
      <c r="B2852" s="65" t="str">
        <f t="shared" si="44"/>
        <v>doc-2346:1</v>
      </c>
      <c r="C2852" t="s">
        <v>10112</v>
      </c>
      <c r="D2852">
        <v>1</v>
      </c>
      <c r="E2852" t="s">
        <v>3061</v>
      </c>
    </row>
    <row r="2853" spans="2:5">
      <c r="B2853" s="65" t="str">
        <f t="shared" si="44"/>
        <v>doc-2346:2</v>
      </c>
      <c r="C2853" t="s">
        <v>10112</v>
      </c>
      <c r="D2853">
        <v>2</v>
      </c>
      <c r="E2853" t="s">
        <v>254</v>
      </c>
    </row>
    <row r="2854" spans="2:5">
      <c r="B2854" s="65" t="str">
        <f t="shared" si="44"/>
        <v>doc-2346:3</v>
      </c>
      <c r="C2854" t="s">
        <v>10112</v>
      </c>
      <c r="D2854">
        <v>3</v>
      </c>
      <c r="E2854" t="s">
        <v>3050</v>
      </c>
    </row>
    <row r="2855" spans="2:5">
      <c r="B2855" s="65" t="str">
        <f t="shared" si="44"/>
        <v>doc-2348:1</v>
      </c>
      <c r="C2855" t="s">
        <v>10113</v>
      </c>
      <c r="D2855">
        <v>1</v>
      </c>
      <c r="E2855" t="s">
        <v>2954</v>
      </c>
    </row>
    <row r="2856" spans="2:5">
      <c r="B2856" s="65" t="str">
        <f t="shared" si="44"/>
        <v>doc-2348:2</v>
      </c>
      <c r="C2856" t="s">
        <v>10113</v>
      </c>
      <c r="D2856">
        <v>2</v>
      </c>
      <c r="E2856" t="s">
        <v>90</v>
      </c>
    </row>
    <row r="2857" spans="2:5">
      <c r="B2857" s="65" t="str">
        <f t="shared" si="44"/>
        <v>doc-2348:3</v>
      </c>
      <c r="C2857" t="s">
        <v>10113</v>
      </c>
      <c r="D2857">
        <v>3</v>
      </c>
      <c r="E2857" t="s">
        <v>1795</v>
      </c>
    </row>
    <row r="2858" spans="2:5">
      <c r="B2858" s="65" t="str">
        <f t="shared" si="44"/>
        <v>doc-2348:4</v>
      </c>
      <c r="C2858" t="s">
        <v>10113</v>
      </c>
      <c r="D2858">
        <v>4</v>
      </c>
      <c r="E2858" t="s">
        <v>299</v>
      </c>
    </row>
    <row r="2859" spans="2:5">
      <c r="B2859" s="65" t="str">
        <f t="shared" si="44"/>
        <v>doc-2348:5</v>
      </c>
      <c r="C2859" t="s">
        <v>10113</v>
      </c>
      <c r="D2859">
        <v>5</v>
      </c>
      <c r="E2859" t="s">
        <v>2943</v>
      </c>
    </row>
    <row r="2860" spans="2:5">
      <c r="B2860" s="65" t="str">
        <f t="shared" si="44"/>
        <v>doc-2348:6</v>
      </c>
      <c r="C2860" t="s">
        <v>10113</v>
      </c>
      <c r="D2860">
        <v>6</v>
      </c>
      <c r="E2860" t="s">
        <v>1321</v>
      </c>
    </row>
    <row r="2861" spans="2:5">
      <c r="B2861" s="65" t="str">
        <f t="shared" si="44"/>
        <v>doc-2348:7</v>
      </c>
      <c r="C2861" t="s">
        <v>10113</v>
      </c>
      <c r="D2861">
        <v>7</v>
      </c>
      <c r="E2861" t="s">
        <v>2960</v>
      </c>
    </row>
    <row r="2862" spans="2:5">
      <c r="B2862" s="65" t="str">
        <f t="shared" si="44"/>
        <v>doc-2348:8</v>
      </c>
      <c r="C2862" t="s">
        <v>10113</v>
      </c>
      <c r="D2862">
        <v>8</v>
      </c>
      <c r="E2862" t="s">
        <v>254</v>
      </c>
    </row>
    <row r="2863" spans="2:5">
      <c r="B2863" s="65" t="str">
        <f t="shared" si="44"/>
        <v>doc-2348:9</v>
      </c>
      <c r="C2863" t="s">
        <v>10113</v>
      </c>
      <c r="D2863">
        <v>9</v>
      </c>
      <c r="E2863" t="s">
        <v>1108</v>
      </c>
    </row>
    <row r="2864" spans="2:5">
      <c r="B2864" s="65" t="str">
        <f t="shared" si="44"/>
        <v>doc-2348:10</v>
      </c>
      <c r="C2864" t="s">
        <v>10113</v>
      </c>
      <c r="D2864">
        <v>10</v>
      </c>
      <c r="E2864" t="s">
        <v>107</v>
      </c>
    </row>
    <row r="2865" spans="2:5">
      <c r="B2865" s="65" t="str">
        <f t="shared" si="44"/>
        <v>doc-2349:1</v>
      </c>
      <c r="C2865" t="s">
        <v>10114</v>
      </c>
      <c r="D2865">
        <v>1</v>
      </c>
      <c r="E2865" t="s">
        <v>2874</v>
      </c>
    </row>
    <row r="2866" spans="2:5">
      <c r="B2866" s="65" t="str">
        <f t="shared" si="44"/>
        <v>doc-2349:2</v>
      </c>
      <c r="C2866" t="s">
        <v>10114</v>
      </c>
      <c r="D2866">
        <v>2</v>
      </c>
      <c r="E2866" t="s">
        <v>2847</v>
      </c>
    </row>
    <row r="2867" spans="2:5">
      <c r="B2867" s="65" t="str">
        <f t="shared" si="44"/>
        <v>doc-2349:3</v>
      </c>
      <c r="C2867" t="s">
        <v>10114</v>
      </c>
      <c r="D2867">
        <v>3</v>
      </c>
      <c r="E2867" t="s">
        <v>2023</v>
      </c>
    </row>
    <row r="2868" spans="2:5">
      <c r="B2868" s="65" t="str">
        <f t="shared" si="44"/>
        <v>doc-2349:4</v>
      </c>
      <c r="C2868" t="s">
        <v>10114</v>
      </c>
      <c r="D2868">
        <v>4</v>
      </c>
      <c r="E2868" t="s">
        <v>2849</v>
      </c>
    </row>
    <row r="2869" spans="2:5">
      <c r="B2869" s="65" t="str">
        <f t="shared" si="44"/>
        <v>doc-2355:1</v>
      </c>
      <c r="C2869" t="s">
        <v>10115</v>
      </c>
      <c r="D2869">
        <v>1</v>
      </c>
      <c r="E2869" t="s">
        <v>1221</v>
      </c>
    </row>
    <row r="2870" spans="2:5">
      <c r="B2870" s="65" t="str">
        <f t="shared" si="44"/>
        <v>doc-2355:2</v>
      </c>
      <c r="C2870" t="s">
        <v>10115</v>
      </c>
      <c r="D2870">
        <v>2</v>
      </c>
      <c r="E2870" t="s">
        <v>1227</v>
      </c>
    </row>
    <row r="2871" spans="2:5">
      <c r="B2871" s="65" t="str">
        <f t="shared" si="44"/>
        <v>doc-2355:3</v>
      </c>
      <c r="C2871" t="s">
        <v>10115</v>
      </c>
      <c r="D2871">
        <v>3</v>
      </c>
      <c r="E2871" t="s">
        <v>1203</v>
      </c>
    </row>
    <row r="2872" spans="2:5">
      <c r="B2872" s="65" t="str">
        <f t="shared" si="44"/>
        <v>doc-2355:4</v>
      </c>
      <c r="C2872" t="s">
        <v>10115</v>
      </c>
      <c r="D2872">
        <v>4</v>
      </c>
      <c r="E2872" t="s">
        <v>82</v>
      </c>
    </row>
    <row r="2873" spans="2:5">
      <c r="B2873" s="65" t="str">
        <f t="shared" si="44"/>
        <v>doc-2355:5</v>
      </c>
      <c r="C2873" t="s">
        <v>10115</v>
      </c>
      <c r="D2873">
        <v>5</v>
      </c>
      <c r="E2873" t="s">
        <v>79</v>
      </c>
    </row>
    <row r="2874" spans="2:5">
      <c r="B2874" s="65" t="str">
        <f t="shared" si="44"/>
        <v>doc-2357:1</v>
      </c>
      <c r="C2874" t="s">
        <v>6098</v>
      </c>
      <c r="D2874">
        <v>1</v>
      </c>
      <c r="E2874" t="s">
        <v>2194</v>
      </c>
    </row>
    <row r="2875" spans="2:5">
      <c r="B2875" s="65" t="str">
        <f t="shared" si="44"/>
        <v>doc-2357:2</v>
      </c>
      <c r="C2875" t="s">
        <v>6098</v>
      </c>
      <c r="D2875">
        <v>2</v>
      </c>
      <c r="E2875" t="s">
        <v>2192</v>
      </c>
    </row>
    <row r="2876" spans="2:5">
      <c r="B2876" s="65" t="str">
        <f t="shared" si="44"/>
        <v>doc-2357:3</v>
      </c>
      <c r="C2876" t="s">
        <v>6098</v>
      </c>
      <c r="D2876">
        <v>3</v>
      </c>
      <c r="E2876" t="s">
        <v>1343</v>
      </c>
    </row>
    <row r="2877" spans="2:5">
      <c r="B2877" s="65" t="str">
        <f t="shared" si="44"/>
        <v>doc-2357:4</v>
      </c>
      <c r="C2877" t="s">
        <v>6098</v>
      </c>
      <c r="D2877">
        <v>4</v>
      </c>
      <c r="E2877" t="s">
        <v>2361</v>
      </c>
    </row>
    <row r="2878" spans="2:5">
      <c r="B2878" s="65" t="str">
        <f t="shared" si="44"/>
        <v>doc-2358:1</v>
      </c>
      <c r="C2878" t="s">
        <v>6104</v>
      </c>
      <c r="D2878">
        <v>1</v>
      </c>
      <c r="E2878" t="s">
        <v>3195</v>
      </c>
    </row>
    <row r="2879" spans="2:5">
      <c r="B2879" s="65" t="str">
        <f t="shared" si="44"/>
        <v>doc-2358:2</v>
      </c>
      <c r="C2879" t="s">
        <v>6104</v>
      </c>
      <c r="D2879">
        <v>2</v>
      </c>
      <c r="E2879" t="s">
        <v>3197</v>
      </c>
    </row>
    <row r="2880" spans="2:5">
      <c r="B2880" s="65" t="str">
        <f t="shared" si="44"/>
        <v>doc-2358:3</v>
      </c>
      <c r="C2880" t="s">
        <v>6104</v>
      </c>
      <c r="D2880">
        <v>3</v>
      </c>
      <c r="E2880" t="s">
        <v>3200</v>
      </c>
    </row>
    <row r="2881" spans="2:5">
      <c r="B2881" s="65" t="str">
        <f t="shared" si="44"/>
        <v>doc-2358:4</v>
      </c>
      <c r="C2881" t="s">
        <v>6104</v>
      </c>
      <c r="D2881">
        <v>4</v>
      </c>
      <c r="E2881" t="s">
        <v>2064</v>
      </c>
    </row>
    <row r="2882" spans="2:5">
      <c r="B2882" s="65" t="str">
        <f t="shared" si="44"/>
        <v>doc-2359:1</v>
      </c>
      <c r="C2882" t="s">
        <v>10116</v>
      </c>
      <c r="D2882">
        <v>1</v>
      </c>
      <c r="E2882" t="s">
        <v>2782</v>
      </c>
    </row>
    <row r="2883" spans="2:5">
      <c r="B2883" s="65" t="str">
        <f t="shared" si="44"/>
        <v>doc-2359:2</v>
      </c>
      <c r="C2883" t="s">
        <v>10116</v>
      </c>
      <c r="D2883">
        <v>2</v>
      </c>
      <c r="E2883" t="s">
        <v>2799</v>
      </c>
    </row>
    <row r="2884" spans="2:5">
      <c r="B2884" s="65" t="str">
        <f t="shared" ref="B2884:B2947" si="45">$C2884&amp;":"&amp;$D2884</f>
        <v>doc-2359:3</v>
      </c>
      <c r="C2884" t="s">
        <v>10116</v>
      </c>
      <c r="D2884">
        <v>3</v>
      </c>
      <c r="E2884" t="s">
        <v>2787</v>
      </c>
    </row>
    <row r="2885" spans="2:5">
      <c r="B2885" s="65" t="str">
        <f t="shared" si="45"/>
        <v>doc-2359:4</v>
      </c>
      <c r="C2885" t="s">
        <v>10116</v>
      </c>
      <c r="D2885">
        <v>4</v>
      </c>
      <c r="E2885" t="s">
        <v>2766</v>
      </c>
    </row>
    <row r="2886" spans="2:5">
      <c r="B2886" s="65" t="str">
        <f t="shared" si="45"/>
        <v>doc-2360:1</v>
      </c>
      <c r="C2886" t="s">
        <v>10117</v>
      </c>
      <c r="D2886">
        <v>1</v>
      </c>
      <c r="E2886" t="s">
        <v>1401</v>
      </c>
    </row>
    <row r="2887" spans="2:5">
      <c r="B2887" s="65" t="str">
        <f t="shared" si="45"/>
        <v>doc-2360:2</v>
      </c>
      <c r="C2887" t="s">
        <v>10117</v>
      </c>
      <c r="D2887">
        <v>2</v>
      </c>
      <c r="E2887" t="s">
        <v>1409</v>
      </c>
    </row>
    <row r="2888" spans="2:5">
      <c r="B2888" s="65" t="str">
        <f t="shared" si="45"/>
        <v>doc-2360:3</v>
      </c>
      <c r="C2888" t="s">
        <v>10117</v>
      </c>
      <c r="D2888">
        <v>3</v>
      </c>
      <c r="E2888" t="s">
        <v>1378</v>
      </c>
    </row>
    <row r="2889" spans="2:5">
      <c r="B2889" s="65" t="str">
        <f t="shared" si="45"/>
        <v>doc-2360:4</v>
      </c>
      <c r="C2889" t="s">
        <v>10117</v>
      </c>
      <c r="D2889">
        <v>4</v>
      </c>
      <c r="E2889" t="s">
        <v>1434</v>
      </c>
    </row>
    <row r="2890" spans="2:5">
      <c r="B2890" s="65" t="str">
        <f t="shared" si="45"/>
        <v>doc-2362:1</v>
      </c>
      <c r="C2890" t="s">
        <v>10118</v>
      </c>
      <c r="D2890">
        <v>1</v>
      </c>
      <c r="E2890" t="s">
        <v>1918</v>
      </c>
    </row>
    <row r="2891" spans="2:5">
      <c r="B2891" s="65" t="str">
        <f t="shared" si="45"/>
        <v>doc-2362:2</v>
      </c>
      <c r="C2891" t="s">
        <v>10118</v>
      </c>
      <c r="D2891">
        <v>2</v>
      </c>
      <c r="E2891" t="s">
        <v>3041</v>
      </c>
    </row>
    <row r="2892" spans="2:5">
      <c r="B2892" s="65" t="str">
        <f t="shared" si="45"/>
        <v>doc-2362:3</v>
      </c>
      <c r="C2892" t="s">
        <v>10118</v>
      </c>
      <c r="D2892">
        <v>3</v>
      </c>
      <c r="E2892" t="s">
        <v>1872</v>
      </c>
    </row>
    <row r="2893" spans="2:5">
      <c r="B2893" s="65" t="str">
        <f t="shared" si="45"/>
        <v>doc-2362:4</v>
      </c>
      <c r="C2893" t="s">
        <v>10118</v>
      </c>
      <c r="D2893">
        <v>4</v>
      </c>
      <c r="E2893" t="s">
        <v>2324</v>
      </c>
    </row>
    <row r="2894" spans="2:5">
      <c r="B2894" s="65" t="str">
        <f t="shared" si="45"/>
        <v>doc-2362:5</v>
      </c>
      <c r="C2894" t="s">
        <v>10118</v>
      </c>
      <c r="D2894">
        <v>5</v>
      </c>
      <c r="E2894" t="s">
        <v>1953</v>
      </c>
    </row>
    <row r="2895" spans="2:5">
      <c r="B2895" s="65" t="str">
        <f t="shared" si="45"/>
        <v>doc-2362:6</v>
      </c>
      <c r="C2895" t="s">
        <v>10118</v>
      </c>
      <c r="D2895">
        <v>6</v>
      </c>
      <c r="E2895" t="s">
        <v>1787</v>
      </c>
    </row>
    <row r="2896" spans="2:5">
      <c r="B2896" s="65" t="str">
        <f t="shared" si="45"/>
        <v>doc-2362:7</v>
      </c>
      <c r="C2896" t="s">
        <v>10118</v>
      </c>
      <c r="D2896">
        <v>7</v>
      </c>
      <c r="E2896" t="s">
        <v>2003</v>
      </c>
    </row>
    <row r="2897" spans="2:5">
      <c r="B2897" s="65" t="str">
        <f t="shared" si="45"/>
        <v>doc-2362:8</v>
      </c>
      <c r="C2897" t="s">
        <v>10118</v>
      </c>
      <c r="D2897">
        <v>8</v>
      </c>
      <c r="E2897" t="s">
        <v>3039</v>
      </c>
    </row>
    <row r="2898" spans="2:5">
      <c r="B2898" s="65" t="str">
        <f t="shared" si="45"/>
        <v>doc-2364:1</v>
      </c>
      <c r="C2898" t="s">
        <v>10119</v>
      </c>
      <c r="D2898">
        <v>1</v>
      </c>
      <c r="E2898" t="s">
        <v>2720</v>
      </c>
    </row>
    <row r="2899" spans="2:5">
      <c r="B2899" s="65" t="str">
        <f t="shared" si="45"/>
        <v>doc-2364:2</v>
      </c>
      <c r="C2899" t="s">
        <v>10119</v>
      </c>
      <c r="D2899">
        <v>2</v>
      </c>
      <c r="E2899" t="s">
        <v>2680</v>
      </c>
    </row>
    <row r="2900" spans="2:5">
      <c r="B2900" s="65" t="str">
        <f t="shared" si="45"/>
        <v>doc-2364:3</v>
      </c>
      <c r="C2900" t="s">
        <v>10119</v>
      </c>
      <c r="D2900">
        <v>3</v>
      </c>
      <c r="E2900" t="s">
        <v>2664</v>
      </c>
    </row>
    <row r="2901" spans="2:5">
      <c r="B2901" s="65" t="str">
        <f t="shared" si="45"/>
        <v>doc-2364:4</v>
      </c>
      <c r="C2901" t="s">
        <v>10119</v>
      </c>
      <c r="D2901">
        <v>4</v>
      </c>
      <c r="E2901" t="s">
        <v>2655</v>
      </c>
    </row>
    <row r="2902" spans="2:5">
      <c r="B2902" s="65" t="str">
        <f t="shared" si="45"/>
        <v>doc-2367:1</v>
      </c>
      <c r="C2902" t="s">
        <v>6110</v>
      </c>
      <c r="D2902">
        <v>1</v>
      </c>
      <c r="E2902" t="s">
        <v>2112</v>
      </c>
    </row>
    <row r="2903" spans="2:5">
      <c r="B2903" s="65" t="str">
        <f t="shared" si="45"/>
        <v>doc-2367:2</v>
      </c>
      <c r="C2903" t="s">
        <v>6110</v>
      </c>
      <c r="D2903">
        <v>2</v>
      </c>
      <c r="E2903" t="s">
        <v>1877</v>
      </c>
    </row>
    <row r="2904" spans="2:5">
      <c r="B2904" s="65" t="str">
        <f t="shared" si="45"/>
        <v>doc-2367:3</v>
      </c>
      <c r="C2904" t="s">
        <v>6110</v>
      </c>
      <c r="D2904">
        <v>3</v>
      </c>
      <c r="E2904" t="s">
        <v>1854</v>
      </c>
    </row>
    <row r="2905" spans="2:5">
      <c r="B2905" s="65" t="str">
        <f t="shared" si="45"/>
        <v>doc-2367:4</v>
      </c>
      <c r="C2905" t="s">
        <v>6110</v>
      </c>
      <c r="D2905">
        <v>4</v>
      </c>
      <c r="E2905" t="s">
        <v>2061</v>
      </c>
    </row>
    <row r="2906" spans="2:5">
      <c r="B2906" s="65" t="str">
        <f t="shared" si="45"/>
        <v>doc-2367:5</v>
      </c>
      <c r="C2906" t="s">
        <v>6110</v>
      </c>
      <c r="D2906">
        <v>5</v>
      </c>
      <c r="E2906" t="s">
        <v>1905</v>
      </c>
    </row>
    <row r="2907" spans="2:5">
      <c r="B2907" s="65" t="str">
        <f t="shared" si="45"/>
        <v>doc-2368:1</v>
      </c>
      <c r="C2907" t="s">
        <v>10120</v>
      </c>
      <c r="D2907">
        <v>1</v>
      </c>
      <c r="E2907" t="s">
        <v>1988</v>
      </c>
    </row>
    <row r="2908" spans="2:5">
      <c r="B2908" s="65" t="str">
        <f t="shared" si="45"/>
        <v>doc-2368:2</v>
      </c>
      <c r="C2908" t="s">
        <v>10120</v>
      </c>
      <c r="D2908">
        <v>2</v>
      </c>
      <c r="E2908" t="s">
        <v>1179</v>
      </c>
    </row>
    <row r="2909" spans="2:5">
      <c r="B2909" s="65" t="str">
        <f t="shared" si="45"/>
        <v>doc-2368:3</v>
      </c>
      <c r="C2909" t="s">
        <v>10120</v>
      </c>
      <c r="D2909">
        <v>3</v>
      </c>
      <c r="E2909" t="s">
        <v>1171</v>
      </c>
    </row>
    <row r="2910" spans="2:5">
      <c r="B2910" s="65" t="str">
        <f t="shared" si="45"/>
        <v>doc-2368:4</v>
      </c>
      <c r="C2910" t="s">
        <v>10120</v>
      </c>
      <c r="D2910">
        <v>4</v>
      </c>
      <c r="E2910" t="s">
        <v>2510</v>
      </c>
    </row>
    <row r="2911" spans="2:5">
      <c r="B2911" s="65" t="str">
        <f t="shared" si="45"/>
        <v>doc-2368:5</v>
      </c>
      <c r="C2911" t="s">
        <v>10120</v>
      </c>
      <c r="D2911">
        <v>5</v>
      </c>
      <c r="E2911" t="s">
        <v>2519</v>
      </c>
    </row>
    <row r="2912" spans="2:5">
      <c r="B2912" s="65" t="str">
        <f t="shared" si="45"/>
        <v>doc-2368:6</v>
      </c>
      <c r="C2912" t="s">
        <v>10120</v>
      </c>
      <c r="D2912">
        <v>6</v>
      </c>
      <c r="E2912" t="s">
        <v>2515</v>
      </c>
    </row>
    <row r="2913" spans="2:5">
      <c r="B2913" s="65" t="str">
        <f t="shared" si="45"/>
        <v>doc-2368:7</v>
      </c>
      <c r="C2913" t="s">
        <v>10120</v>
      </c>
      <c r="D2913">
        <v>7</v>
      </c>
      <c r="E2913" t="s">
        <v>2825</v>
      </c>
    </row>
    <row r="2914" spans="2:5">
      <c r="B2914" s="65" t="str">
        <f t="shared" si="45"/>
        <v>doc-2368:8</v>
      </c>
      <c r="C2914" t="s">
        <v>10120</v>
      </c>
      <c r="D2914">
        <v>8</v>
      </c>
      <c r="E2914" t="s">
        <v>2860</v>
      </c>
    </row>
    <row r="2915" spans="2:5">
      <c r="B2915" s="65" t="str">
        <f t="shared" si="45"/>
        <v>doc-2368:9</v>
      </c>
      <c r="C2915" t="s">
        <v>10120</v>
      </c>
      <c r="D2915">
        <v>9</v>
      </c>
      <c r="E2915" t="s">
        <v>2895</v>
      </c>
    </row>
    <row r="2916" spans="2:5">
      <c r="B2916" s="65" t="str">
        <f t="shared" si="45"/>
        <v>doc-2368:10</v>
      </c>
      <c r="C2916" t="s">
        <v>10120</v>
      </c>
      <c r="D2916">
        <v>10</v>
      </c>
      <c r="E2916" t="s">
        <v>1556</v>
      </c>
    </row>
    <row r="2917" spans="2:5">
      <c r="B2917" s="65" t="str">
        <f t="shared" si="45"/>
        <v>doc-2369:1</v>
      </c>
      <c r="C2917" t="s">
        <v>6116</v>
      </c>
      <c r="D2917">
        <v>1</v>
      </c>
      <c r="E2917" t="s">
        <v>1642</v>
      </c>
    </row>
    <row r="2918" spans="2:5">
      <c r="B2918" s="65" t="str">
        <f t="shared" si="45"/>
        <v>doc-2369:2</v>
      </c>
      <c r="C2918" t="s">
        <v>6116</v>
      </c>
      <c r="D2918">
        <v>2</v>
      </c>
      <c r="E2918" t="s">
        <v>2740</v>
      </c>
    </row>
    <row r="2919" spans="2:5">
      <c r="B2919" s="65" t="str">
        <f t="shared" si="45"/>
        <v>doc-2369:3</v>
      </c>
      <c r="C2919" t="s">
        <v>6116</v>
      </c>
      <c r="D2919">
        <v>3</v>
      </c>
      <c r="E2919" t="s">
        <v>1932</v>
      </c>
    </row>
    <row r="2920" spans="2:5">
      <c r="B2920" s="65" t="str">
        <f t="shared" si="45"/>
        <v>doc-2369:4</v>
      </c>
      <c r="C2920" t="s">
        <v>6116</v>
      </c>
      <c r="D2920">
        <v>4</v>
      </c>
      <c r="E2920" t="s">
        <v>1927</v>
      </c>
    </row>
    <row r="2921" spans="2:5">
      <c r="B2921" s="65" t="str">
        <f t="shared" si="45"/>
        <v>doc-2369:5</v>
      </c>
      <c r="C2921" t="s">
        <v>6116</v>
      </c>
      <c r="D2921">
        <v>5</v>
      </c>
      <c r="E2921" t="s">
        <v>1445</v>
      </c>
    </row>
    <row r="2922" spans="2:5">
      <c r="B2922" s="65" t="str">
        <f t="shared" si="45"/>
        <v>doc-2370:1</v>
      </c>
      <c r="C2922" t="s">
        <v>6122</v>
      </c>
      <c r="D2922">
        <v>1</v>
      </c>
      <c r="E2922" t="s">
        <v>1642</v>
      </c>
    </row>
    <row r="2923" spans="2:5">
      <c r="B2923" s="65" t="str">
        <f t="shared" si="45"/>
        <v>doc-2370:2</v>
      </c>
      <c r="C2923" t="s">
        <v>6122</v>
      </c>
      <c r="D2923">
        <v>2</v>
      </c>
      <c r="E2923" t="s">
        <v>2740</v>
      </c>
    </row>
    <row r="2924" spans="2:5">
      <c r="B2924" s="65" t="str">
        <f t="shared" si="45"/>
        <v>doc-2370:3</v>
      </c>
      <c r="C2924" t="s">
        <v>6122</v>
      </c>
      <c r="D2924">
        <v>3</v>
      </c>
      <c r="E2924" t="s">
        <v>1932</v>
      </c>
    </row>
    <row r="2925" spans="2:5">
      <c r="B2925" s="65" t="str">
        <f t="shared" si="45"/>
        <v>doc-2370:4</v>
      </c>
      <c r="C2925" t="s">
        <v>6122</v>
      </c>
      <c r="D2925">
        <v>4</v>
      </c>
      <c r="E2925" t="s">
        <v>1927</v>
      </c>
    </row>
    <row r="2926" spans="2:5">
      <c r="B2926" s="65" t="str">
        <f t="shared" si="45"/>
        <v>doc-2370:5</v>
      </c>
      <c r="C2926" t="s">
        <v>6122</v>
      </c>
      <c r="D2926">
        <v>5</v>
      </c>
      <c r="E2926" t="s">
        <v>1445</v>
      </c>
    </row>
    <row r="2927" spans="2:5">
      <c r="B2927" s="65" t="str">
        <f t="shared" si="45"/>
        <v>doc-2371:1</v>
      </c>
      <c r="C2927" t="s">
        <v>10121</v>
      </c>
      <c r="D2927">
        <v>1</v>
      </c>
      <c r="E2927" t="s">
        <v>2911</v>
      </c>
    </row>
    <row r="2928" spans="2:5">
      <c r="B2928" s="65" t="str">
        <f t="shared" si="45"/>
        <v>doc-2371:2</v>
      </c>
      <c r="C2928" t="s">
        <v>10121</v>
      </c>
      <c r="D2928">
        <v>2</v>
      </c>
      <c r="E2928" t="s">
        <v>2903</v>
      </c>
    </row>
    <row r="2929" spans="2:5">
      <c r="B2929" s="65" t="str">
        <f t="shared" si="45"/>
        <v>doc-2371:3</v>
      </c>
      <c r="C2929" t="s">
        <v>10121</v>
      </c>
      <c r="D2929">
        <v>3</v>
      </c>
      <c r="E2929" t="s">
        <v>3010</v>
      </c>
    </row>
    <row r="2930" spans="2:5">
      <c r="B2930" s="65" t="str">
        <f t="shared" si="45"/>
        <v>doc-2371:4</v>
      </c>
      <c r="C2930" t="s">
        <v>10121</v>
      </c>
      <c r="D2930">
        <v>4</v>
      </c>
      <c r="E2930" t="s">
        <v>1866</v>
      </c>
    </row>
    <row r="2931" spans="2:5">
      <c r="B2931" s="65" t="str">
        <f t="shared" si="45"/>
        <v>doc-2371:5</v>
      </c>
      <c r="C2931" t="s">
        <v>10121</v>
      </c>
      <c r="D2931">
        <v>5</v>
      </c>
      <c r="E2931" t="s">
        <v>2884</v>
      </c>
    </row>
    <row r="2932" spans="2:5">
      <c r="B2932" s="65" t="str">
        <f t="shared" si="45"/>
        <v>doc-2371:6</v>
      </c>
      <c r="C2932" t="s">
        <v>10121</v>
      </c>
      <c r="D2932">
        <v>6</v>
      </c>
      <c r="E2932" t="s">
        <v>2849</v>
      </c>
    </row>
    <row r="2933" spans="2:5">
      <c r="B2933" s="65" t="str">
        <f t="shared" si="45"/>
        <v>doc-2372:1</v>
      </c>
      <c r="C2933" t="s">
        <v>10122</v>
      </c>
      <c r="D2933">
        <v>1</v>
      </c>
      <c r="E2933" t="s">
        <v>1177</v>
      </c>
    </row>
    <row r="2934" spans="2:5">
      <c r="B2934" s="65" t="str">
        <f t="shared" si="45"/>
        <v>doc-2372:2</v>
      </c>
      <c r="C2934" t="s">
        <v>10122</v>
      </c>
      <c r="D2934">
        <v>2</v>
      </c>
      <c r="E2934" t="s">
        <v>1171</v>
      </c>
    </row>
    <row r="2935" spans="2:5">
      <c r="B2935" s="65" t="str">
        <f t="shared" si="45"/>
        <v>doc-2377:1</v>
      </c>
      <c r="C2935" t="s">
        <v>125</v>
      </c>
      <c r="D2935">
        <v>1</v>
      </c>
      <c r="E2935" t="s">
        <v>73</v>
      </c>
    </row>
    <row r="2936" spans="2:5">
      <c r="B2936" s="65" t="str">
        <f t="shared" si="45"/>
        <v>doc-2377:2</v>
      </c>
      <c r="C2936" t="s">
        <v>125</v>
      </c>
      <c r="D2936">
        <v>2</v>
      </c>
      <c r="E2936" t="s">
        <v>79</v>
      </c>
    </row>
    <row r="2937" spans="2:5">
      <c r="B2937" s="65" t="str">
        <f t="shared" si="45"/>
        <v>doc-2377:3</v>
      </c>
      <c r="C2937" t="s">
        <v>125</v>
      </c>
      <c r="D2937">
        <v>3</v>
      </c>
      <c r="E2937" t="s">
        <v>87</v>
      </c>
    </row>
    <row r="2938" spans="2:5">
      <c r="B2938" s="65" t="str">
        <f t="shared" si="45"/>
        <v>doc-2377:4</v>
      </c>
      <c r="C2938" t="s">
        <v>125</v>
      </c>
      <c r="D2938">
        <v>4</v>
      </c>
      <c r="E2938" t="s">
        <v>76</v>
      </c>
    </row>
    <row r="2939" spans="2:5">
      <c r="B2939" s="65" t="str">
        <f t="shared" si="45"/>
        <v>doc-2390:1</v>
      </c>
      <c r="C2939" t="s">
        <v>10123</v>
      </c>
      <c r="D2939">
        <v>1</v>
      </c>
      <c r="E2939" t="s">
        <v>82</v>
      </c>
    </row>
    <row r="2940" spans="2:5">
      <c r="B2940" s="65" t="str">
        <f t="shared" si="45"/>
        <v>doc-2436:1</v>
      </c>
      <c r="C2940" t="s">
        <v>10124</v>
      </c>
      <c r="D2940">
        <v>1</v>
      </c>
      <c r="E2940" t="s">
        <v>1777</v>
      </c>
    </row>
    <row r="2941" spans="2:5">
      <c r="B2941" s="65" t="str">
        <f t="shared" si="45"/>
        <v>doc-2436:2</v>
      </c>
      <c r="C2941" t="s">
        <v>10124</v>
      </c>
      <c r="D2941">
        <v>2</v>
      </c>
      <c r="E2941" t="s">
        <v>92</v>
      </c>
    </row>
    <row r="2942" spans="2:5">
      <c r="B2942" s="65" t="str">
        <f t="shared" si="45"/>
        <v>doc-2436:3</v>
      </c>
      <c r="C2942" t="s">
        <v>10124</v>
      </c>
      <c r="D2942">
        <v>3</v>
      </c>
      <c r="E2942" t="s">
        <v>2375</v>
      </c>
    </row>
    <row r="2943" spans="2:5">
      <c r="B2943" s="65" t="str">
        <f t="shared" si="45"/>
        <v>doc-2436:4</v>
      </c>
      <c r="C2943" t="s">
        <v>10124</v>
      </c>
      <c r="D2943">
        <v>4</v>
      </c>
      <c r="E2943" t="s">
        <v>2418</v>
      </c>
    </row>
    <row r="2944" spans="2:5">
      <c r="B2944" s="65" t="str">
        <f t="shared" si="45"/>
        <v>doc-2439:1</v>
      </c>
      <c r="C2944" t="s">
        <v>10125</v>
      </c>
      <c r="D2944">
        <v>1</v>
      </c>
      <c r="E2944" t="s">
        <v>1409</v>
      </c>
    </row>
    <row r="2945" spans="2:5">
      <c r="B2945" s="65" t="str">
        <f t="shared" si="45"/>
        <v>doc-2439:2</v>
      </c>
      <c r="C2945" t="s">
        <v>10125</v>
      </c>
      <c r="D2945">
        <v>2</v>
      </c>
      <c r="E2945" t="s">
        <v>1381</v>
      </c>
    </row>
    <row r="2946" spans="2:5">
      <c r="B2946" s="65" t="str">
        <f t="shared" si="45"/>
        <v>doc-2439:3</v>
      </c>
      <c r="C2946" t="s">
        <v>10125</v>
      </c>
      <c r="D2946">
        <v>3</v>
      </c>
      <c r="E2946" t="s">
        <v>1390</v>
      </c>
    </row>
    <row r="2947" spans="2:5">
      <c r="B2947" s="65" t="str">
        <f t="shared" si="45"/>
        <v>doc-2439:4</v>
      </c>
      <c r="C2947" t="s">
        <v>10125</v>
      </c>
      <c r="D2947">
        <v>4</v>
      </c>
      <c r="E2947" t="s">
        <v>1434</v>
      </c>
    </row>
    <row r="2948" spans="2:5">
      <c r="B2948" s="65" t="str">
        <f t="shared" ref="B2948:B3011" si="46">$C2948&amp;":"&amp;$D2948</f>
        <v>doc-2478:1</v>
      </c>
      <c r="C2948" t="s">
        <v>10126</v>
      </c>
      <c r="D2948">
        <v>1</v>
      </c>
      <c r="E2948" t="s">
        <v>2915</v>
      </c>
    </row>
    <row r="2949" spans="2:5">
      <c r="B2949" s="65" t="str">
        <f t="shared" si="46"/>
        <v>doc-2478:2</v>
      </c>
      <c r="C2949" t="s">
        <v>10126</v>
      </c>
      <c r="D2949">
        <v>2</v>
      </c>
      <c r="E2949" t="s">
        <v>1461</v>
      </c>
    </row>
    <row r="2950" spans="2:5">
      <c r="B2950" s="65" t="str">
        <f t="shared" si="46"/>
        <v>doc-2478:3</v>
      </c>
      <c r="C2950" t="s">
        <v>10126</v>
      </c>
      <c r="D2950">
        <v>3</v>
      </c>
      <c r="E2950" t="s">
        <v>2960</v>
      </c>
    </row>
    <row r="2951" spans="2:5">
      <c r="B2951" s="65" t="str">
        <f t="shared" si="46"/>
        <v>doc-2478:4</v>
      </c>
      <c r="C2951" t="s">
        <v>10126</v>
      </c>
      <c r="D2951">
        <v>4</v>
      </c>
      <c r="E2951" t="s">
        <v>299</v>
      </c>
    </row>
    <row r="2952" spans="2:5">
      <c r="B2952" s="65" t="str">
        <f t="shared" si="46"/>
        <v>doc-2479:1</v>
      </c>
      <c r="C2952" t="s">
        <v>10127</v>
      </c>
      <c r="D2952">
        <v>1</v>
      </c>
      <c r="E2952" t="s">
        <v>2915</v>
      </c>
    </row>
    <row r="2953" spans="2:5">
      <c r="B2953" s="65" t="str">
        <f t="shared" si="46"/>
        <v>doc-2479:2</v>
      </c>
      <c r="C2953" t="s">
        <v>10127</v>
      </c>
      <c r="D2953">
        <v>2</v>
      </c>
      <c r="E2953" t="s">
        <v>299</v>
      </c>
    </row>
    <row r="2954" spans="2:5">
      <c r="B2954" s="65" t="str">
        <f t="shared" si="46"/>
        <v>doc-2479:3</v>
      </c>
      <c r="C2954" t="s">
        <v>10127</v>
      </c>
      <c r="D2954">
        <v>3</v>
      </c>
      <c r="E2954" t="s">
        <v>2960</v>
      </c>
    </row>
    <row r="2955" spans="2:5">
      <c r="B2955" s="65" t="str">
        <f t="shared" si="46"/>
        <v>doc-2479:4</v>
      </c>
      <c r="C2955" t="s">
        <v>10127</v>
      </c>
      <c r="D2955">
        <v>4</v>
      </c>
      <c r="E2955" t="s">
        <v>2664</v>
      </c>
    </row>
    <row r="2956" spans="2:5">
      <c r="B2956" s="65" t="str">
        <f t="shared" si="46"/>
        <v>doc-2479:5</v>
      </c>
      <c r="C2956" t="s">
        <v>10127</v>
      </c>
      <c r="D2956">
        <v>5</v>
      </c>
      <c r="E2956" t="s">
        <v>1670</v>
      </c>
    </row>
    <row r="2957" spans="2:5">
      <c r="B2957" s="65" t="str">
        <f t="shared" si="46"/>
        <v>doc-2479:6</v>
      </c>
      <c r="C2957" t="s">
        <v>10127</v>
      </c>
      <c r="D2957">
        <v>6</v>
      </c>
      <c r="E2957" t="s">
        <v>1661</v>
      </c>
    </row>
    <row r="2958" spans="2:5">
      <c r="B2958" s="65" t="str">
        <f t="shared" si="46"/>
        <v>doc-2479:7</v>
      </c>
      <c r="C2958" t="s">
        <v>10127</v>
      </c>
      <c r="D2958">
        <v>7</v>
      </c>
      <c r="E2958" t="s">
        <v>1673</v>
      </c>
    </row>
    <row r="2959" spans="2:5">
      <c r="B2959" s="65" t="str">
        <f t="shared" si="46"/>
        <v>doc-2479:8</v>
      </c>
      <c r="C2959" t="s">
        <v>10127</v>
      </c>
      <c r="D2959">
        <v>8</v>
      </c>
      <c r="E2959" t="s">
        <v>90</v>
      </c>
    </row>
    <row r="2960" spans="2:5">
      <c r="B2960" s="65" t="str">
        <f t="shared" si="46"/>
        <v>doc-2479:9</v>
      </c>
      <c r="C2960" t="s">
        <v>10127</v>
      </c>
      <c r="D2960">
        <v>9</v>
      </c>
      <c r="E2960" t="s">
        <v>1139</v>
      </c>
    </row>
    <row r="2961" spans="2:5">
      <c r="B2961" s="65" t="str">
        <f t="shared" si="46"/>
        <v>doc-2479:10</v>
      </c>
      <c r="C2961" t="s">
        <v>10127</v>
      </c>
      <c r="D2961">
        <v>10</v>
      </c>
      <c r="E2961" t="s">
        <v>1136</v>
      </c>
    </row>
    <row r="2962" spans="2:5">
      <c r="B2962" s="65" t="str">
        <f t="shared" si="46"/>
        <v>doc-2480:1</v>
      </c>
      <c r="C2962" t="s">
        <v>10128</v>
      </c>
      <c r="D2962">
        <v>1</v>
      </c>
      <c r="E2962" t="s">
        <v>2915</v>
      </c>
    </row>
    <row r="2963" spans="2:5">
      <c r="B2963" s="65" t="str">
        <f t="shared" si="46"/>
        <v>doc-2480:2</v>
      </c>
      <c r="C2963" t="s">
        <v>10128</v>
      </c>
      <c r="D2963">
        <v>2</v>
      </c>
      <c r="E2963" t="s">
        <v>299</v>
      </c>
    </row>
    <row r="2964" spans="2:5">
      <c r="B2964" s="65" t="str">
        <f t="shared" si="46"/>
        <v>doc-2480:3</v>
      </c>
      <c r="C2964" t="s">
        <v>10128</v>
      </c>
      <c r="D2964">
        <v>3</v>
      </c>
      <c r="E2964" t="s">
        <v>82</v>
      </c>
    </row>
    <row r="2965" spans="2:5">
      <c r="B2965" s="65" t="str">
        <f t="shared" si="46"/>
        <v>doc-2481:1</v>
      </c>
      <c r="C2965" t="s">
        <v>10129</v>
      </c>
      <c r="D2965">
        <v>1</v>
      </c>
      <c r="E2965" t="s">
        <v>2130</v>
      </c>
    </row>
    <row r="2966" spans="2:5">
      <c r="B2966" s="65" t="str">
        <f t="shared" si="46"/>
        <v>doc-2481:2</v>
      </c>
      <c r="C2966" t="s">
        <v>10129</v>
      </c>
      <c r="D2966">
        <v>2</v>
      </c>
      <c r="E2966" t="s">
        <v>2023</v>
      </c>
    </row>
    <row r="2967" spans="2:5">
      <c r="B2967" s="65" t="str">
        <f t="shared" si="46"/>
        <v>doc-2481:3</v>
      </c>
      <c r="C2967" t="s">
        <v>10129</v>
      </c>
      <c r="D2967">
        <v>3</v>
      </c>
      <c r="E2967" t="s">
        <v>2121</v>
      </c>
    </row>
    <row r="2968" spans="2:5">
      <c r="B2968" s="65" t="str">
        <f t="shared" si="46"/>
        <v>doc-2481:4</v>
      </c>
      <c r="C2968" t="s">
        <v>10129</v>
      </c>
      <c r="D2968">
        <v>4</v>
      </c>
      <c r="E2968" t="s">
        <v>296</v>
      </c>
    </row>
    <row r="2969" spans="2:5">
      <c r="B2969" s="65" t="str">
        <f t="shared" si="46"/>
        <v>doc-2481:5</v>
      </c>
      <c r="C2969" t="s">
        <v>10129</v>
      </c>
      <c r="D2969">
        <v>5</v>
      </c>
      <c r="E2969" t="s">
        <v>2849</v>
      </c>
    </row>
    <row r="2970" spans="2:5">
      <c r="B2970" s="65" t="str">
        <f t="shared" si="46"/>
        <v>doc-2482:1</v>
      </c>
      <c r="C2970" t="s">
        <v>10130</v>
      </c>
      <c r="D2970">
        <v>1</v>
      </c>
      <c r="E2970" t="s">
        <v>2130</v>
      </c>
    </row>
    <row r="2971" spans="2:5">
      <c r="B2971" s="65" t="str">
        <f t="shared" si="46"/>
        <v>doc-2482:2</v>
      </c>
      <c r="C2971" t="s">
        <v>10130</v>
      </c>
      <c r="D2971">
        <v>2</v>
      </c>
      <c r="E2971" t="s">
        <v>2023</v>
      </c>
    </row>
    <row r="2972" spans="2:5">
      <c r="B2972" s="65" t="str">
        <f t="shared" si="46"/>
        <v>doc-2482:3</v>
      </c>
      <c r="C2972" t="s">
        <v>10130</v>
      </c>
      <c r="D2972">
        <v>3</v>
      </c>
      <c r="E2972" t="s">
        <v>2121</v>
      </c>
    </row>
    <row r="2973" spans="2:5">
      <c r="B2973" s="65" t="str">
        <f t="shared" si="46"/>
        <v>doc-2482:4</v>
      </c>
      <c r="C2973" t="s">
        <v>10130</v>
      </c>
      <c r="D2973">
        <v>4</v>
      </c>
      <c r="E2973" t="s">
        <v>2849</v>
      </c>
    </row>
    <row r="2974" spans="2:5">
      <c r="B2974" s="65" t="str">
        <f t="shared" si="46"/>
        <v>doc-2482:5</v>
      </c>
      <c r="C2974" t="s">
        <v>10130</v>
      </c>
      <c r="D2974">
        <v>5</v>
      </c>
      <c r="E2974" t="s">
        <v>296</v>
      </c>
    </row>
    <row r="2975" spans="2:5">
      <c r="B2975" s="65" t="str">
        <f t="shared" si="46"/>
        <v>doc-2483:1</v>
      </c>
      <c r="C2975" t="s">
        <v>10131</v>
      </c>
      <c r="D2975">
        <v>1</v>
      </c>
      <c r="E2975" t="s">
        <v>2130</v>
      </c>
    </row>
    <row r="2976" spans="2:5">
      <c r="B2976" s="65" t="str">
        <f t="shared" si="46"/>
        <v>doc-2483:2</v>
      </c>
      <c r="C2976" t="s">
        <v>10131</v>
      </c>
      <c r="D2976">
        <v>2</v>
      </c>
      <c r="E2976" t="s">
        <v>2023</v>
      </c>
    </row>
    <row r="2977" spans="2:5">
      <c r="B2977" s="65" t="str">
        <f t="shared" si="46"/>
        <v>doc-2483:3</v>
      </c>
      <c r="C2977" t="s">
        <v>10131</v>
      </c>
      <c r="D2977">
        <v>3</v>
      </c>
      <c r="E2977" t="s">
        <v>2121</v>
      </c>
    </row>
    <row r="2978" spans="2:5">
      <c r="B2978" s="65" t="str">
        <f t="shared" si="46"/>
        <v>doc-2483:4</v>
      </c>
      <c r="C2978" t="s">
        <v>10131</v>
      </c>
      <c r="D2978">
        <v>4</v>
      </c>
      <c r="E2978" t="s">
        <v>296</v>
      </c>
    </row>
    <row r="2979" spans="2:5">
      <c r="B2979" s="65" t="str">
        <f t="shared" si="46"/>
        <v>doc-2483:5</v>
      </c>
      <c r="C2979" t="s">
        <v>10131</v>
      </c>
      <c r="D2979">
        <v>5</v>
      </c>
      <c r="E2979" t="s">
        <v>2849</v>
      </c>
    </row>
    <row r="2980" spans="2:5">
      <c r="B2980" s="65" t="str">
        <f t="shared" si="46"/>
        <v>doc-2484:1</v>
      </c>
      <c r="C2980" t="s">
        <v>10132</v>
      </c>
      <c r="D2980">
        <v>1</v>
      </c>
      <c r="E2980" t="s">
        <v>2130</v>
      </c>
    </row>
    <row r="2981" spans="2:5">
      <c r="B2981" s="65" t="str">
        <f t="shared" si="46"/>
        <v>doc-2484:2</v>
      </c>
      <c r="C2981" t="s">
        <v>10132</v>
      </c>
      <c r="D2981">
        <v>2</v>
      </c>
      <c r="E2981" t="s">
        <v>2023</v>
      </c>
    </row>
    <row r="2982" spans="2:5">
      <c r="B2982" s="65" t="str">
        <f t="shared" si="46"/>
        <v>doc-2484:3</v>
      </c>
      <c r="C2982" t="s">
        <v>10132</v>
      </c>
      <c r="D2982">
        <v>3</v>
      </c>
      <c r="E2982" t="s">
        <v>2121</v>
      </c>
    </row>
    <row r="2983" spans="2:5">
      <c r="B2983" s="65" t="str">
        <f t="shared" si="46"/>
        <v>doc-2484:4</v>
      </c>
      <c r="C2983" t="s">
        <v>10132</v>
      </c>
      <c r="D2983">
        <v>4</v>
      </c>
      <c r="E2983" t="s">
        <v>296</v>
      </c>
    </row>
    <row r="2984" spans="2:5">
      <c r="B2984" s="65" t="str">
        <f t="shared" si="46"/>
        <v>doc-2484:5</v>
      </c>
      <c r="C2984" t="s">
        <v>10132</v>
      </c>
      <c r="D2984">
        <v>5</v>
      </c>
      <c r="E2984" t="s">
        <v>2849</v>
      </c>
    </row>
    <row r="2985" spans="2:5">
      <c r="B2985" s="65" t="str">
        <f t="shared" si="46"/>
        <v>doc-2486:1</v>
      </c>
      <c r="C2985" t="s">
        <v>10133</v>
      </c>
      <c r="D2985">
        <v>1</v>
      </c>
      <c r="E2985" t="s">
        <v>2903</v>
      </c>
    </row>
    <row r="2986" spans="2:5">
      <c r="B2986" s="65" t="str">
        <f t="shared" si="46"/>
        <v>doc-2486:2</v>
      </c>
      <c r="C2986" t="s">
        <v>10133</v>
      </c>
      <c r="D2986">
        <v>2</v>
      </c>
      <c r="E2986" t="s">
        <v>2911</v>
      </c>
    </row>
    <row r="2987" spans="2:5">
      <c r="B2987" s="65" t="str">
        <f t="shared" si="46"/>
        <v>doc-2486:3</v>
      </c>
      <c r="C2987" t="s">
        <v>10133</v>
      </c>
      <c r="D2987">
        <v>3</v>
      </c>
      <c r="E2987" t="s">
        <v>1866</v>
      </c>
    </row>
    <row r="2988" spans="2:5">
      <c r="B2988" s="65" t="str">
        <f t="shared" si="46"/>
        <v>doc-2486:4</v>
      </c>
      <c r="C2988" t="s">
        <v>10133</v>
      </c>
      <c r="D2988">
        <v>4</v>
      </c>
      <c r="E2988" t="s">
        <v>2849</v>
      </c>
    </row>
    <row r="2989" spans="2:5">
      <c r="B2989" s="65" t="str">
        <f t="shared" si="46"/>
        <v>doc-2486:5</v>
      </c>
      <c r="C2989" t="s">
        <v>10133</v>
      </c>
      <c r="D2989">
        <v>5</v>
      </c>
      <c r="E2989" t="s">
        <v>1911</v>
      </c>
    </row>
    <row r="2990" spans="2:5">
      <c r="B2990" s="65" t="str">
        <f t="shared" si="46"/>
        <v>doc-2488:1</v>
      </c>
      <c r="C2990" t="s">
        <v>10134</v>
      </c>
      <c r="D2990">
        <v>1</v>
      </c>
      <c r="E2990" t="s">
        <v>2954</v>
      </c>
    </row>
    <row r="2991" spans="2:5">
      <c r="B2991" s="65" t="str">
        <f t="shared" si="46"/>
        <v>doc-2488:2</v>
      </c>
      <c r="C2991" t="s">
        <v>10134</v>
      </c>
      <c r="D2991">
        <v>2</v>
      </c>
      <c r="E2991" t="s">
        <v>90</v>
      </c>
    </row>
    <row r="2992" spans="2:5">
      <c r="B2992" s="65" t="str">
        <f t="shared" si="46"/>
        <v>doc-2488:3</v>
      </c>
      <c r="C2992" t="s">
        <v>10134</v>
      </c>
      <c r="D2992">
        <v>3</v>
      </c>
      <c r="E2992" t="s">
        <v>1108</v>
      </c>
    </row>
    <row r="2993" spans="2:5">
      <c r="B2993" s="65" t="str">
        <f t="shared" si="46"/>
        <v>doc-2488:4</v>
      </c>
      <c r="C2993" t="s">
        <v>10134</v>
      </c>
      <c r="D2993">
        <v>4</v>
      </c>
      <c r="E2993" t="s">
        <v>107</v>
      </c>
    </row>
    <row r="2994" spans="2:5">
      <c r="B2994" s="65" t="str">
        <f t="shared" si="46"/>
        <v>doc-2488:5</v>
      </c>
      <c r="C2994" t="s">
        <v>10134</v>
      </c>
      <c r="D2994">
        <v>5</v>
      </c>
      <c r="E2994" t="s">
        <v>299</v>
      </c>
    </row>
    <row r="2995" spans="2:5">
      <c r="B2995" s="65" t="str">
        <f t="shared" si="46"/>
        <v>doc-2490:1</v>
      </c>
      <c r="C2995" t="s">
        <v>10135</v>
      </c>
      <c r="D2995">
        <v>1</v>
      </c>
      <c r="E2995" t="s">
        <v>3050</v>
      </c>
    </row>
    <row r="2996" spans="2:5">
      <c r="B2996" s="65" t="str">
        <f t="shared" si="46"/>
        <v>doc-2490:2</v>
      </c>
      <c r="C2996" t="s">
        <v>10135</v>
      </c>
      <c r="D2996">
        <v>2</v>
      </c>
      <c r="E2996" t="s">
        <v>3061</v>
      </c>
    </row>
    <row r="2997" spans="2:5">
      <c r="B2997" s="65" t="str">
        <f t="shared" si="46"/>
        <v>doc-2490:3</v>
      </c>
      <c r="C2997" t="s">
        <v>10135</v>
      </c>
      <c r="D2997">
        <v>3</v>
      </c>
      <c r="E2997" t="s">
        <v>254</v>
      </c>
    </row>
    <row r="2998" spans="2:5">
      <c r="B2998" s="65" t="str">
        <f t="shared" si="46"/>
        <v>doc-2490:4</v>
      </c>
      <c r="C2998" t="s">
        <v>10135</v>
      </c>
      <c r="D2998">
        <v>4</v>
      </c>
      <c r="E2998" t="s">
        <v>1078</v>
      </c>
    </row>
    <row r="2999" spans="2:5">
      <c r="B2999" s="65" t="str">
        <f t="shared" si="46"/>
        <v>doc-2490:5</v>
      </c>
      <c r="C2999" t="s">
        <v>10135</v>
      </c>
      <c r="D2999">
        <v>5</v>
      </c>
      <c r="E2999" t="s">
        <v>1595</v>
      </c>
    </row>
    <row r="3000" spans="2:5">
      <c r="B3000" s="65" t="str">
        <f t="shared" si="46"/>
        <v>doc-2491:1</v>
      </c>
      <c r="C3000" t="s">
        <v>10136</v>
      </c>
      <c r="D3000">
        <v>1</v>
      </c>
      <c r="E3000" t="s">
        <v>2042</v>
      </c>
    </row>
    <row r="3001" spans="2:5">
      <c r="B3001" s="65" t="str">
        <f t="shared" si="46"/>
        <v>doc-2491:2</v>
      </c>
      <c r="C3001" t="s">
        <v>10136</v>
      </c>
      <c r="D3001">
        <v>2</v>
      </c>
      <c r="E3001" t="s">
        <v>1877</v>
      </c>
    </row>
    <row r="3002" spans="2:5">
      <c r="B3002" s="65" t="str">
        <f t="shared" si="46"/>
        <v>doc-2491:3</v>
      </c>
      <c r="C3002" t="s">
        <v>10136</v>
      </c>
      <c r="D3002">
        <v>3</v>
      </c>
      <c r="E3002" t="s">
        <v>1941</v>
      </c>
    </row>
    <row r="3003" spans="2:5">
      <c r="B3003" s="65" t="str">
        <f t="shared" si="46"/>
        <v>doc-2491:4</v>
      </c>
      <c r="C3003" t="s">
        <v>10136</v>
      </c>
      <c r="D3003">
        <v>4</v>
      </c>
      <c r="E3003" t="s">
        <v>2849</v>
      </c>
    </row>
    <row r="3004" spans="2:5">
      <c r="B3004" s="65" t="str">
        <f t="shared" si="46"/>
        <v>doc-2492:1</v>
      </c>
      <c r="C3004" t="s">
        <v>10137</v>
      </c>
      <c r="D3004">
        <v>1</v>
      </c>
      <c r="E3004" t="s">
        <v>1941</v>
      </c>
    </row>
    <row r="3005" spans="2:5">
      <c r="B3005" s="65" t="str">
        <f t="shared" si="46"/>
        <v>doc-2492:2</v>
      </c>
      <c r="C3005" t="s">
        <v>10137</v>
      </c>
      <c r="D3005">
        <v>2</v>
      </c>
      <c r="E3005" t="s">
        <v>1982</v>
      </c>
    </row>
    <row r="3006" spans="2:5">
      <c r="B3006" s="65" t="str">
        <f t="shared" si="46"/>
        <v>doc-2492:3</v>
      </c>
      <c r="C3006" t="s">
        <v>10137</v>
      </c>
      <c r="D3006">
        <v>3</v>
      </c>
      <c r="E3006" t="s">
        <v>2805</v>
      </c>
    </row>
    <row r="3007" spans="2:5">
      <c r="B3007" s="65" t="str">
        <f t="shared" si="46"/>
        <v>doc-2492:4</v>
      </c>
      <c r="C3007" t="s">
        <v>10137</v>
      </c>
      <c r="D3007">
        <v>4</v>
      </c>
      <c r="E3007" t="s">
        <v>1777</v>
      </c>
    </row>
    <row r="3008" spans="2:5">
      <c r="B3008" s="65" t="str">
        <f t="shared" si="46"/>
        <v>doc-2493:1</v>
      </c>
      <c r="C3008" t="s">
        <v>10138</v>
      </c>
      <c r="D3008">
        <v>1</v>
      </c>
      <c r="E3008" t="s">
        <v>2805</v>
      </c>
    </row>
    <row r="3009" spans="2:5">
      <c r="B3009" s="65" t="str">
        <f t="shared" si="46"/>
        <v>doc-2494:1</v>
      </c>
      <c r="C3009" t="s">
        <v>10139</v>
      </c>
      <c r="D3009">
        <v>1</v>
      </c>
      <c r="E3009" t="s">
        <v>2494</v>
      </c>
    </row>
    <row r="3010" spans="2:5">
      <c r="B3010" s="65" t="str">
        <f t="shared" si="46"/>
        <v>doc-2494:2</v>
      </c>
      <c r="C3010" t="s">
        <v>10139</v>
      </c>
      <c r="D3010">
        <v>2</v>
      </c>
      <c r="E3010" t="s">
        <v>2422</v>
      </c>
    </row>
    <row r="3011" spans="2:5">
      <c r="B3011" s="65" t="str">
        <f t="shared" si="46"/>
        <v>doc-2494:3</v>
      </c>
      <c r="C3011" t="s">
        <v>10139</v>
      </c>
      <c r="D3011">
        <v>3</v>
      </c>
      <c r="E3011" t="s">
        <v>1968</v>
      </c>
    </row>
    <row r="3012" spans="2:5">
      <c r="B3012" s="65" t="str">
        <f t="shared" ref="B3012:B3075" si="47">$C3012&amp;":"&amp;$D3012</f>
        <v>doc-2494:4</v>
      </c>
      <c r="C3012" t="s">
        <v>10139</v>
      </c>
      <c r="D3012">
        <v>4</v>
      </c>
      <c r="E3012" t="s">
        <v>1941</v>
      </c>
    </row>
    <row r="3013" spans="2:5">
      <c r="B3013" s="65" t="str">
        <f t="shared" si="47"/>
        <v>doc-2494:5</v>
      </c>
      <c r="C3013" t="s">
        <v>10139</v>
      </c>
      <c r="D3013">
        <v>5</v>
      </c>
      <c r="E3013" t="s">
        <v>1737</v>
      </c>
    </row>
    <row r="3014" spans="2:5">
      <c r="B3014" s="65" t="str">
        <f t="shared" si="47"/>
        <v>doc-2494:6</v>
      </c>
      <c r="C3014" t="s">
        <v>10139</v>
      </c>
      <c r="D3014">
        <v>6</v>
      </c>
      <c r="E3014" t="s">
        <v>1744</v>
      </c>
    </row>
    <row r="3015" spans="2:5">
      <c r="B3015" s="65" t="str">
        <f t="shared" si="47"/>
        <v>doc-2495:1</v>
      </c>
      <c r="C3015" t="s">
        <v>10140</v>
      </c>
      <c r="D3015">
        <v>1</v>
      </c>
      <c r="E3015" t="s">
        <v>1321</v>
      </c>
    </row>
    <row r="3016" spans="2:5">
      <c r="B3016" s="65" t="str">
        <f t="shared" si="47"/>
        <v>doc-2495:2</v>
      </c>
      <c r="C3016" t="s">
        <v>10140</v>
      </c>
      <c r="D3016">
        <v>2</v>
      </c>
      <c r="E3016" t="s">
        <v>254</v>
      </c>
    </row>
    <row r="3017" spans="2:5">
      <c r="B3017" s="65" t="str">
        <f t="shared" si="47"/>
        <v>doc-2495:3</v>
      </c>
      <c r="C3017" t="s">
        <v>10140</v>
      </c>
      <c r="D3017">
        <v>3</v>
      </c>
      <c r="E3017" t="s">
        <v>1461</v>
      </c>
    </row>
    <row r="3018" spans="2:5">
      <c r="B3018" s="65" t="str">
        <f t="shared" si="47"/>
        <v>doc-2495:4</v>
      </c>
      <c r="C3018" t="s">
        <v>10140</v>
      </c>
      <c r="D3018">
        <v>4</v>
      </c>
      <c r="E3018" t="s">
        <v>2943</v>
      </c>
    </row>
    <row r="3019" spans="2:5">
      <c r="B3019" s="65" t="str">
        <f t="shared" si="47"/>
        <v>doc-2495:5</v>
      </c>
      <c r="C3019" t="s">
        <v>10140</v>
      </c>
      <c r="D3019">
        <v>5</v>
      </c>
      <c r="E3019" t="s">
        <v>1795</v>
      </c>
    </row>
    <row r="3020" spans="2:5">
      <c r="B3020" s="65" t="str">
        <f t="shared" si="47"/>
        <v>doc-2496:1</v>
      </c>
      <c r="C3020" t="s">
        <v>6128</v>
      </c>
      <c r="D3020">
        <v>1</v>
      </c>
      <c r="E3020" t="s">
        <v>1833</v>
      </c>
    </row>
    <row r="3021" spans="2:5">
      <c r="B3021" s="65" t="str">
        <f t="shared" si="47"/>
        <v>doc-2496:2</v>
      </c>
      <c r="C3021" t="s">
        <v>6128</v>
      </c>
      <c r="D3021">
        <v>2</v>
      </c>
      <c r="E3021" t="s">
        <v>1737</v>
      </c>
    </row>
    <row r="3022" spans="2:5">
      <c r="B3022" s="65" t="str">
        <f t="shared" si="47"/>
        <v>doc-2496:3</v>
      </c>
      <c r="C3022" t="s">
        <v>6128</v>
      </c>
      <c r="D3022">
        <v>3</v>
      </c>
      <c r="E3022" t="s">
        <v>2720</v>
      </c>
    </row>
    <row r="3023" spans="2:5">
      <c r="B3023" s="65" t="str">
        <f t="shared" si="47"/>
        <v>doc-2496:4</v>
      </c>
      <c r="C3023" t="s">
        <v>6128</v>
      </c>
      <c r="D3023">
        <v>4</v>
      </c>
      <c r="E3023" t="s">
        <v>2664</v>
      </c>
    </row>
    <row r="3024" spans="2:5">
      <c r="B3024" s="65" t="str">
        <f t="shared" si="47"/>
        <v>doc-2496:5</v>
      </c>
      <c r="C3024" t="s">
        <v>6128</v>
      </c>
      <c r="D3024">
        <v>5</v>
      </c>
      <c r="E3024" t="s">
        <v>2954</v>
      </c>
    </row>
    <row r="3025" spans="2:5">
      <c r="B3025" s="65" t="str">
        <f t="shared" si="47"/>
        <v>doc-2496:6</v>
      </c>
      <c r="C3025" t="s">
        <v>6128</v>
      </c>
      <c r="D3025">
        <v>6</v>
      </c>
      <c r="E3025" t="s">
        <v>299</v>
      </c>
    </row>
    <row r="3026" spans="2:5">
      <c r="B3026" s="65" t="str">
        <f t="shared" si="47"/>
        <v>doc-2498:1</v>
      </c>
      <c r="C3026" t="s">
        <v>10141</v>
      </c>
      <c r="D3026">
        <v>1</v>
      </c>
      <c r="E3026" t="s">
        <v>82</v>
      </c>
    </row>
    <row r="3027" spans="2:5">
      <c r="B3027" s="65" t="str">
        <f t="shared" si="47"/>
        <v>doc-2498:2</v>
      </c>
      <c r="C3027" t="s">
        <v>10141</v>
      </c>
      <c r="D3027">
        <v>2</v>
      </c>
      <c r="E3027" t="s">
        <v>1227</v>
      </c>
    </row>
    <row r="3028" spans="2:5">
      <c r="B3028" s="65" t="str">
        <f t="shared" si="47"/>
        <v>doc-2498:3</v>
      </c>
      <c r="C3028" t="s">
        <v>10141</v>
      </c>
      <c r="D3028">
        <v>3</v>
      </c>
      <c r="E3028" t="s">
        <v>1221</v>
      </c>
    </row>
    <row r="3029" spans="2:5">
      <c r="B3029" s="65" t="str">
        <f t="shared" si="47"/>
        <v>doc-2498:4</v>
      </c>
      <c r="C3029" t="s">
        <v>10141</v>
      </c>
      <c r="D3029">
        <v>4</v>
      </c>
      <c r="E3029" t="s">
        <v>1203</v>
      </c>
    </row>
    <row r="3030" spans="2:5">
      <c r="B3030" s="65" t="str">
        <f t="shared" si="47"/>
        <v>doc-2498:5</v>
      </c>
      <c r="C3030" t="s">
        <v>10141</v>
      </c>
      <c r="D3030">
        <v>5</v>
      </c>
      <c r="E3030" t="s">
        <v>2977</v>
      </c>
    </row>
    <row r="3031" spans="2:5">
      <c r="B3031" s="65" t="str">
        <f t="shared" si="47"/>
        <v>doc-2499:1</v>
      </c>
      <c r="C3031" t="s">
        <v>10142</v>
      </c>
      <c r="D3031">
        <v>1</v>
      </c>
      <c r="E3031" t="s">
        <v>82</v>
      </c>
    </row>
    <row r="3032" spans="2:5">
      <c r="B3032" s="65" t="str">
        <f t="shared" si="47"/>
        <v>doc-2499:2</v>
      </c>
      <c r="C3032" t="s">
        <v>10142</v>
      </c>
      <c r="D3032">
        <v>2</v>
      </c>
      <c r="E3032" t="s">
        <v>1773</v>
      </c>
    </row>
    <row r="3033" spans="2:5">
      <c r="B3033" s="65" t="str">
        <f t="shared" si="47"/>
        <v>doc-2499:3</v>
      </c>
      <c r="C3033" t="s">
        <v>10142</v>
      </c>
      <c r="D3033">
        <v>3</v>
      </c>
      <c r="E3033" t="s">
        <v>3050</v>
      </c>
    </row>
    <row r="3034" spans="2:5">
      <c r="B3034" s="65" t="str">
        <f t="shared" si="47"/>
        <v>doc-2500:1</v>
      </c>
      <c r="C3034" t="s">
        <v>10143</v>
      </c>
      <c r="D3034">
        <v>1</v>
      </c>
      <c r="E3034" t="s">
        <v>82</v>
      </c>
    </row>
    <row r="3035" spans="2:5">
      <c r="B3035" s="65" t="str">
        <f t="shared" si="47"/>
        <v>doc-2500:2</v>
      </c>
      <c r="C3035" t="s">
        <v>10143</v>
      </c>
      <c r="D3035">
        <v>2</v>
      </c>
      <c r="E3035" t="s">
        <v>1227</v>
      </c>
    </row>
    <row r="3036" spans="2:5">
      <c r="B3036" s="65" t="str">
        <f t="shared" si="47"/>
        <v>doc-2500:3</v>
      </c>
      <c r="C3036" t="s">
        <v>10143</v>
      </c>
      <c r="D3036">
        <v>3</v>
      </c>
      <c r="E3036" t="s">
        <v>1221</v>
      </c>
    </row>
    <row r="3037" spans="2:5">
      <c r="B3037" s="65" t="str">
        <f t="shared" si="47"/>
        <v>doc-2500:4</v>
      </c>
      <c r="C3037" t="s">
        <v>10143</v>
      </c>
      <c r="D3037">
        <v>4</v>
      </c>
      <c r="E3037" t="s">
        <v>1203</v>
      </c>
    </row>
    <row r="3038" spans="2:5">
      <c r="B3038" s="65" t="str">
        <f t="shared" si="47"/>
        <v>doc-2500:5</v>
      </c>
      <c r="C3038" t="s">
        <v>10143</v>
      </c>
      <c r="D3038">
        <v>5</v>
      </c>
      <c r="E3038" t="s">
        <v>2977</v>
      </c>
    </row>
    <row r="3039" spans="2:5">
      <c r="B3039" s="65" t="str">
        <f t="shared" si="47"/>
        <v>doc-2501:1</v>
      </c>
      <c r="C3039" t="s">
        <v>10144</v>
      </c>
      <c r="D3039">
        <v>1</v>
      </c>
      <c r="E3039" t="s">
        <v>1956</v>
      </c>
    </row>
    <row r="3040" spans="2:5">
      <c r="B3040" s="65" t="str">
        <f t="shared" si="47"/>
        <v>doc-2501:2</v>
      </c>
      <c r="C3040" t="s">
        <v>10144</v>
      </c>
      <c r="D3040">
        <v>2</v>
      </c>
      <c r="E3040" t="s">
        <v>1795</v>
      </c>
    </row>
    <row r="3041" spans="2:5">
      <c r="B3041" s="65" t="str">
        <f t="shared" si="47"/>
        <v>doc-2501:3</v>
      </c>
      <c r="C3041" t="s">
        <v>10144</v>
      </c>
      <c r="D3041">
        <v>3</v>
      </c>
      <c r="E3041" t="s">
        <v>101</v>
      </c>
    </row>
    <row r="3042" spans="2:5">
      <c r="B3042" s="65" t="str">
        <f t="shared" si="47"/>
        <v>doc-2501:4</v>
      </c>
      <c r="C3042" t="s">
        <v>10144</v>
      </c>
      <c r="D3042">
        <v>4</v>
      </c>
      <c r="E3042" t="s">
        <v>2943</v>
      </c>
    </row>
    <row r="3043" spans="2:5">
      <c r="B3043" s="65" t="str">
        <f t="shared" si="47"/>
        <v>doc-2501:5</v>
      </c>
      <c r="C3043" t="s">
        <v>10144</v>
      </c>
      <c r="D3043">
        <v>5</v>
      </c>
      <c r="E3043" t="s">
        <v>1773</v>
      </c>
    </row>
    <row r="3044" spans="2:5">
      <c r="B3044" s="65" t="str">
        <f t="shared" si="47"/>
        <v>doc-2501:6</v>
      </c>
      <c r="C3044" t="s">
        <v>10144</v>
      </c>
      <c r="D3044">
        <v>6</v>
      </c>
      <c r="E3044" t="s">
        <v>254</v>
      </c>
    </row>
    <row r="3045" spans="2:5">
      <c r="B3045" s="65" t="str">
        <f t="shared" si="47"/>
        <v>doc-2501:7</v>
      </c>
      <c r="C3045" t="s">
        <v>10144</v>
      </c>
      <c r="D3045">
        <v>7</v>
      </c>
      <c r="E3045" t="s">
        <v>1321</v>
      </c>
    </row>
    <row r="3046" spans="2:5">
      <c r="B3046" s="65" t="str">
        <f t="shared" si="47"/>
        <v>doc-2502a:1</v>
      </c>
      <c r="C3046" t="s">
        <v>6134</v>
      </c>
      <c r="D3046">
        <v>1</v>
      </c>
      <c r="E3046" t="s">
        <v>2769</v>
      </c>
    </row>
    <row r="3047" spans="2:5">
      <c r="B3047" s="65" t="str">
        <f t="shared" si="47"/>
        <v>doc-2502a:2</v>
      </c>
      <c r="C3047" t="s">
        <v>6134</v>
      </c>
      <c r="D3047">
        <v>2</v>
      </c>
      <c r="E3047" t="s">
        <v>2805</v>
      </c>
    </row>
    <row r="3048" spans="2:5">
      <c r="B3048" s="65" t="str">
        <f t="shared" si="47"/>
        <v>doc-2502a:3</v>
      </c>
      <c r="C3048" t="s">
        <v>6134</v>
      </c>
      <c r="D3048">
        <v>3</v>
      </c>
      <c r="E3048" t="s">
        <v>2799</v>
      </c>
    </row>
    <row r="3049" spans="2:5">
      <c r="B3049" s="65" t="str">
        <f t="shared" si="47"/>
        <v>doc-2502a:4</v>
      </c>
      <c r="C3049" t="s">
        <v>6134</v>
      </c>
      <c r="D3049">
        <v>4</v>
      </c>
      <c r="E3049" t="s">
        <v>2787</v>
      </c>
    </row>
    <row r="3050" spans="2:5">
      <c r="B3050" s="65" t="str">
        <f t="shared" si="47"/>
        <v>doc-2502b:1</v>
      </c>
      <c r="C3050" t="s">
        <v>6140</v>
      </c>
      <c r="D3050">
        <v>1</v>
      </c>
      <c r="E3050" t="s">
        <v>2799</v>
      </c>
    </row>
    <row r="3051" spans="2:5">
      <c r="B3051" s="65" t="str">
        <f t="shared" si="47"/>
        <v>doc-2503:1</v>
      </c>
      <c r="C3051" t="s">
        <v>10145</v>
      </c>
      <c r="D3051">
        <v>1</v>
      </c>
      <c r="E3051" t="s">
        <v>76</v>
      </c>
    </row>
    <row r="3052" spans="2:5">
      <c r="B3052" s="65" t="str">
        <f t="shared" si="47"/>
        <v>doc-2503:2</v>
      </c>
      <c r="C3052" t="s">
        <v>10145</v>
      </c>
      <c r="D3052">
        <v>2</v>
      </c>
      <c r="E3052" t="s">
        <v>73</v>
      </c>
    </row>
    <row r="3053" spans="2:5">
      <c r="B3053" s="65" t="str">
        <f t="shared" si="47"/>
        <v>doc-2503:3</v>
      </c>
      <c r="C3053" t="s">
        <v>10145</v>
      </c>
      <c r="D3053">
        <v>3</v>
      </c>
      <c r="E3053" t="s">
        <v>1968</v>
      </c>
    </row>
    <row r="3054" spans="2:5">
      <c r="B3054" s="65" t="str">
        <f t="shared" si="47"/>
        <v>doc-2503:4</v>
      </c>
      <c r="C3054" t="s">
        <v>10145</v>
      </c>
      <c r="D3054">
        <v>4</v>
      </c>
      <c r="E3054" t="s">
        <v>2494</v>
      </c>
    </row>
    <row r="3055" spans="2:5">
      <c r="B3055" s="65" t="str">
        <f t="shared" si="47"/>
        <v>doc-2503:5</v>
      </c>
      <c r="C3055" t="s">
        <v>10145</v>
      </c>
      <c r="D3055">
        <v>5</v>
      </c>
      <c r="E3055" t="s">
        <v>2422</v>
      </c>
    </row>
    <row r="3056" spans="2:5">
      <c r="B3056" s="65" t="str">
        <f t="shared" si="47"/>
        <v>doc-2503:6</v>
      </c>
      <c r="C3056" t="s">
        <v>10145</v>
      </c>
      <c r="D3056">
        <v>6</v>
      </c>
      <c r="E3056" t="s">
        <v>1737</v>
      </c>
    </row>
    <row r="3057" spans="2:5">
      <c r="B3057" s="65" t="str">
        <f t="shared" si="47"/>
        <v>doc-2503:7</v>
      </c>
      <c r="C3057" t="s">
        <v>10145</v>
      </c>
      <c r="D3057">
        <v>7</v>
      </c>
      <c r="E3057" t="s">
        <v>1744</v>
      </c>
    </row>
    <row r="3058" spans="2:5">
      <c r="B3058" s="65" t="str">
        <f t="shared" si="47"/>
        <v>doc-2504:1</v>
      </c>
      <c r="C3058" t="s">
        <v>10146</v>
      </c>
      <c r="D3058">
        <v>1</v>
      </c>
      <c r="E3058" t="s">
        <v>2494</v>
      </c>
    </row>
    <row r="3059" spans="2:5">
      <c r="B3059" s="65" t="str">
        <f t="shared" si="47"/>
        <v>doc-2504:2</v>
      </c>
      <c r="C3059" t="s">
        <v>10146</v>
      </c>
      <c r="D3059">
        <v>2</v>
      </c>
      <c r="E3059" t="s">
        <v>2422</v>
      </c>
    </row>
    <row r="3060" spans="2:5">
      <c r="B3060" s="65" t="str">
        <f t="shared" si="47"/>
        <v>doc-2504:3</v>
      </c>
      <c r="C3060" t="s">
        <v>10146</v>
      </c>
      <c r="D3060">
        <v>3</v>
      </c>
      <c r="E3060" t="s">
        <v>1968</v>
      </c>
    </row>
    <row r="3061" spans="2:5">
      <c r="B3061" s="65" t="str">
        <f t="shared" si="47"/>
        <v>doc-2504:4</v>
      </c>
      <c r="C3061" t="s">
        <v>10146</v>
      </c>
      <c r="D3061">
        <v>4</v>
      </c>
      <c r="E3061" t="s">
        <v>1941</v>
      </c>
    </row>
    <row r="3062" spans="2:5">
      <c r="B3062" s="65" t="str">
        <f t="shared" si="47"/>
        <v>doc-2504:5</v>
      </c>
      <c r="C3062" t="s">
        <v>10146</v>
      </c>
      <c r="D3062">
        <v>5</v>
      </c>
      <c r="E3062" t="s">
        <v>1737</v>
      </c>
    </row>
    <row r="3063" spans="2:5">
      <c r="B3063" s="65" t="str">
        <f t="shared" si="47"/>
        <v>doc-2504:6</v>
      </c>
      <c r="C3063" t="s">
        <v>10146</v>
      </c>
      <c r="D3063">
        <v>6</v>
      </c>
      <c r="E3063" t="s">
        <v>1744</v>
      </c>
    </row>
    <row r="3064" spans="2:5">
      <c r="B3064" s="65" t="str">
        <f t="shared" si="47"/>
        <v>doc-2505:1</v>
      </c>
      <c r="C3064" t="s">
        <v>10147</v>
      </c>
      <c r="D3064">
        <v>1</v>
      </c>
      <c r="E3064" t="s">
        <v>76</v>
      </c>
    </row>
    <row r="3065" spans="2:5">
      <c r="B3065" s="65" t="str">
        <f t="shared" si="47"/>
        <v>doc-2505:2</v>
      </c>
      <c r="C3065" t="s">
        <v>10147</v>
      </c>
      <c r="D3065">
        <v>2</v>
      </c>
      <c r="E3065" t="s">
        <v>73</v>
      </c>
    </row>
    <row r="3066" spans="2:5">
      <c r="B3066" s="65" t="str">
        <f t="shared" si="47"/>
        <v>doc-2505:3</v>
      </c>
      <c r="C3066" t="s">
        <v>10147</v>
      </c>
      <c r="D3066">
        <v>3</v>
      </c>
      <c r="E3066" t="s">
        <v>1968</v>
      </c>
    </row>
    <row r="3067" spans="2:5">
      <c r="B3067" s="65" t="str">
        <f t="shared" si="47"/>
        <v>doc-2505:4</v>
      </c>
      <c r="C3067" t="s">
        <v>10147</v>
      </c>
      <c r="D3067">
        <v>4</v>
      </c>
      <c r="E3067" t="s">
        <v>2494</v>
      </c>
    </row>
    <row r="3068" spans="2:5">
      <c r="B3068" s="65" t="str">
        <f t="shared" si="47"/>
        <v>doc-2505:5</v>
      </c>
      <c r="C3068" t="s">
        <v>10147</v>
      </c>
      <c r="D3068">
        <v>5</v>
      </c>
      <c r="E3068" t="s">
        <v>2422</v>
      </c>
    </row>
    <row r="3069" spans="2:5">
      <c r="B3069" s="65" t="str">
        <f t="shared" si="47"/>
        <v>doc-2505:6</v>
      </c>
      <c r="C3069" t="s">
        <v>10147</v>
      </c>
      <c r="D3069">
        <v>6</v>
      </c>
      <c r="E3069" t="s">
        <v>1737</v>
      </c>
    </row>
    <row r="3070" spans="2:5">
      <c r="B3070" s="65" t="str">
        <f t="shared" si="47"/>
        <v>doc-2505:7</v>
      </c>
      <c r="C3070" t="s">
        <v>10147</v>
      </c>
      <c r="D3070">
        <v>7</v>
      </c>
      <c r="E3070" t="s">
        <v>1744</v>
      </c>
    </row>
    <row r="3071" spans="2:5">
      <c r="B3071" s="65" t="str">
        <f t="shared" si="47"/>
        <v>doc-2506:1</v>
      </c>
      <c r="C3071" t="s">
        <v>10148</v>
      </c>
      <c r="D3071">
        <v>1</v>
      </c>
      <c r="E3071" t="s">
        <v>1227</v>
      </c>
    </row>
    <row r="3072" spans="2:5">
      <c r="B3072" s="65" t="str">
        <f t="shared" si="47"/>
        <v>doc-2506:2</v>
      </c>
      <c r="C3072" t="s">
        <v>10148</v>
      </c>
      <c r="D3072">
        <v>2</v>
      </c>
      <c r="E3072" t="s">
        <v>1221</v>
      </c>
    </row>
    <row r="3073" spans="2:5">
      <c r="B3073" s="65" t="str">
        <f t="shared" si="47"/>
        <v>doc-2506:3</v>
      </c>
      <c r="C3073" t="s">
        <v>10148</v>
      </c>
      <c r="D3073">
        <v>3</v>
      </c>
      <c r="E3073" t="s">
        <v>1203</v>
      </c>
    </row>
    <row r="3074" spans="2:5">
      <c r="B3074" s="65" t="str">
        <f t="shared" si="47"/>
        <v>doc-2506:4</v>
      </c>
      <c r="C3074" t="s">
        <v>10148</v>
      </c>
      <c r="D3074">
        <v>4</v>
      </c>
      <c r="E3074" t="s">
        <v>82</v>
      </c>
    </row>
    <row r="3075" spans="2:5">
      <c r="B3075" s="65" t="str">
        <f t="shared" si="47"/>
        <v>doc-2506:5</v>
      </c>
      <c r="C3075" t="s">
        <v>10148</v>
      </c>
      <c r="D3075">
        <v>5</v>
      </c>
      <c r="E3075" t="s">
        <v>79</v>
      </c>
    </row>
    <row r="3076" spans="2:5">
      <c r="B3076" s="65" t="str">
        <f t="shared" ref="B3076:B3139" si="48">$C3076&amp;":"&amp;$D3076</f>
        <v>doc-2506:6</v>
      </c>
      <c r="C3076" t="s">
        <v>10148</v>
      </c>
      <c r="D3076">
        <v>6</v>
      </c>
      <c r="E3076" t="s">
        <v>1078</v>
      </c>
    </row>
    <row r="3077" spans="2:5">
      <c r="B3077" s="65" t="str">
        <f t="shared" si="48"/>
        <v>doc-2508:1</v>
      </c>
      <c r="C3077" t="s">
        <v>10149</v>
      </c>
      <c r="D3077">
        <v>1</v>
      </c>
      <c r="E3077" t="s">
        <v>1227</v>
      </c>
    </row>
    <row r="3078" spans="2:5">
      <c r="B3078" s="65" t="str">
        <f t="shared" si="48"/>
        <v>doc-2508:2</v>
      </c>
      <c r="C3078" t="s">
        <v>10149</v>
      </c>
      <c r="D3078">
        <v>2</v>
      </c>
      <c r="E3078" t="s">
        <v>1221</v>
      </c>
    </row>
    <row r="3079" spans="2:5">
      <c r="B3079" s="65" t="str">
        <f t="shared" si="48"/>
        <v>doc-2508:3</v>
      </c>
      <c r="C3079" t="s">
        <v>10149</v>
      </c>
      <c r="D3079">
        <v>3</v>
      </c>
      <c r="E3079" t="s">
        <v>1203</v>
      </c>
    </row>
    <row r="3080" spans="2:5">
      <c r="B3080" s="65" t="str">
        <f t="shared" si="48"/>
        <v>doc-2509:1</v>
      </c>
      <c r="C3080" t="s">
        <v>10150</v>
      </c>
      <c r="D3080">
        <v>1</v>
      </c>
      <c r="E3080" t="s">
        <v>82</v>
      </c>
    </row>
    <row r="3081" spans="2:5">
      <c r="B3081" s="65" t="str">
        <f t="shared" si="48"/>
        <v>doc-2509:2</v>
      </c>
      <c r="C3081" t="s">
        <v>10150</v>
      </c>
      <c r="D3081">
        <v>2</v>
      </c>
      <c r="E3081" t="s">
        <v>1227</v>
      </c>
    </row>
    <row r="3082" spans="2:5">
      <c r="B3082" s="65" t="str">
        <f t="shared" si="48"/>
        <v>doc-2509:3</v>
      </c>
      <c r="C3082" t="s">
        <v>10150</v>
      </c>
      <c r="D3082">
        <v>3</v>
      </c>
      <c r="E3082" t="s">
        <v>1221</v>
      </c>
    </row>
    <row r="3083" spans="2:5">
      <c r="B3083" s="65" t="str">
        <f t="shared" si="48"/>
        <v>doc-2509:4</v>
      </c>
      <c r="C3083" t="s">
        <v>10150</v>
      </c>
      <c r="D3083">
        <v>4</v>
      </c>
      <c r="E3083" t="s">
        <v>1203</v>
      </c>
    </row>
    <row r="3084" spans="2:5">
      <c r="B3084" s="65" t="str">
        <f t="shared" si="48"/>
        <v>doc-2512:1</v>
      </c>
      <c r="C3084" t="s">
        <v>10151</v>
      </c>
      <c r="D3084">
        <v>1</v>
      </c>
      <c r="E3084" t="s">
        <v>82</v>
      </c>
    </row>
    <row r="3085" spans="2:5">
      <c r="B3085" s="65" t="str">
        <f t="shared" si="48"/>
        <v>doc-2512:2</v>
      </c>
      <c r="C3085" t="s">
        <v>10151</v>
      </c>
      <c r="D3085">
        <v>2</v>
      </c>
      <c r="E3085" t="s">
        <v>1227</v>
      </c>
    </row>
    <row r="3086" spans="2:5">
      <c r="B3086" s="65" t="str">
        <f t="shared" si="48"/>
        <v>doc-2512:3</v>
      </c>
      <c r="C3086" t="s">
        <v>10151</v>
      </c>
      <c r="D3086">
        <v>3</v>
      </c>
      <c r="E3086" t="s">
        <v>1221</v>
      </c>
    </row>
    <row r="3087" spans="2:5">
      <c r="B3087" s="65" t="str">
        <f t="shared" si="48"/>
        <v>doc-2512:4</v>
      </c>
      <c r="C3087" t="s">
        <v>10151</v>
      </c>
      <c r="D3087">
        <v>4</v>
      </c>
      <c r="E3087" t="s">
        <v>1203</v>
      </c>
    </row>
    <row r="3088" spans="2:5">
      <c r="B3088" s="65" t="str">
        <f t="shared" si="48"/>
        <v>doc-2513:1</v>
      </c>
      <c r="C3088" t="s">
        <v>10152</v>
      </c>
      <c r="D3088">
        <v>1</v>
      </c>
      <c r="E3088" t="s">
        <v>2318</v>
      </c>
    </row>
    <row r="3089" spans="2:5">
      <c r="B3089" s="65" t="str">
        <f t="shared" si="48"/>
        <v>doc-2513:2</v>
      </c>
      <c r="C3089" t="s">
        <v>10152</v>
      </c>
      <c r="D3089">
        <v>2</v>
      </c>
      <c r="E3089" t="s">
        <v>2324</v>
      </c>
    </row>
    <row r="3090" spans="2:5">
      <c r="B3090" s="65" t="str">
        <f t="shared" si="48"/>
        <v>doc-2513:3</v>
      </c>
      <c r="C3090" t="s">
        <v>10152</v>
      </c>
      <c r="D3090">
        <v>3</v>
      </c>
      <c r="E3090" t="s">
        <v>1872</v>
      </c>
    </row>
    <row r="3091" spans="2:5">
      <c r="B3091" s="65" t="str">
        <f t="shared" si="48"/>
        <v>doc-2513:4</v>
      </c>
      <c r="C3091" t="s">
        <v>10152</v>
      </c>
      <c r="D3091">
        <v>4</v>
      </c>
      <c r="E3091" t="s">
        <v>1905</v>
      </c>
    </row>
    <row r="3092" spans="2:5">
      <c r="B3092" s="65" t="str">
        <f t="shared" si="48"/>
        <v>doc-2514:1</v>
      </c>
      <c r="C3092" t="s">
        <v>10153</v>
      </c>
      <c r="D3092">
        <v>1</v>
      </c>
      <c r="E3092" t="s">
        <v>82</v>
      </c>
    </row>
    <row r="3093" spans="2:5">
      <c r="B3093" s="65" t="str">
        <f t="shared" si="48"/>
        <v>doc-2514:2</v>
      </c>
      <c r="C3093" t="s">
        <v>10153</v>
      </c>
      <c r="D3093">
        <v>2</v>
      </c>
      <c r="E3093" t="s">
        <v>1227</v>
      </c>
    </row>
    <row r="3094" spans="2:5">
      <c r="B3094" s="65" t="str">
        <f t="shared" si="48"/>
        <v>doc-2514:3</v>
      </c>
      <c r="C3094" t="s">
        <v>10153</v>
      </c>
      <c r="D3094">
        <v>3</v>
      </c>
      <c r="E3094" t="s">
        <v>1221</v>
      </c>
    </row>
    <row r="3095" spans="2:5">
      <c r="B3095" s="65" t="str">
        <f t="shared" si="48"/>
        <v>doc-2514:4</v>
      </c>
      <c r="C3095" t="s">
        <v>10153</v>
      </c>
      <c r="D3095">
        <v>4</v>
      </c>
      <c r="E3095" t="s">
        <v>1203</v>
      </c>
    </row>
    <row r="3096" spans="2:5">
      <c r="B3096" s="65" t="str">
        <f t="shared" si="48"/>
        <v>doc-2515:1</v>
      </c>
      <c r="C3096" t="s">
        <v>10154</v>
      </c>
      <c r="D3096">
        <v>1</v>
      </c>
      <c r="E3096" t="s">
        <v>1171</v>
      </c>
    </row>
    <row r="3097" spans="2:5">
      <c r="B3097" s="65" t="str">
        <f t="shared" si="48"/>
        <v>doc-2515:2</v>
      </c>
      <c r="C3097" t="s">
        <v>10154</v>
      </c>
      <c r="D3097">
        <v>2</v>
      </c>
      <c r="E3097" t="s">
        <v>2983</v>
      </c>
    </row>
    <row r="3098" spans="2:5">
      <c r="B3098" s="65" t="str">
        <f t="shared" si="48"/>
        <v>doc-2515:3</v>
      </c>
      <c r="C3098" t="s">
        <v>10154</v>
      </c>
      <c r="D3098">
        <v>3</v>
      </c>
      <c r="E3098" t="s">
        <v>2973</v>
      </c>
    </row>
    <row r="3099" spans="2:5">
      <c r="B3099" s="65" t="str">
        <f t="shared" si="48"/>
        <v>doc-2515:4</v>
      </c>
      <c r="C3099" t="s">
        <v>10154</v>
      </c>
      <c r="D3099">
        <v>4</v>
      </c>
      <c r="E3099" t="s">
        <v>3010</v>
      </c>
    </row>
    <row r="3100" spans="2:5">
      <c r="B3100" s="65" t="str">
        <f t="shared" si="48"/>
        <v>doc-2515:5</v>
      </c>
      <c r="C3100" t="s">
        <v>10154</v>
      </c>
      <c r="D3100">
        <v>5</v>
      </c>
      <c r="E3100" t="s">
        <v>1179</v>
      </c>
    </row>
    <row r="3101" spans="2:5">
      <c r="B3101" s="65" t="str">
        <f t="shared" si="48"/>
        <v>doc-2517:1</v>
      </c>
      <c r="C3101" t="s">
        <v>10155</v>
      </c>
      <c r="D3101">
        <v>1</v>
      </c>
      <c r="E3101" t="s">
        <v>2112</v>
      </c>
    </row>
    <row r="3102" spans="2:5">
      <c r="B3102" s="65" t="str">
        <f t="shared" si="48"/>
        <v>doc-2517:2</v>
      </c>
      <c r="C3102" t="s">
        <v>10155</v>
      </c>
      <c r="D3102">
        <v>2</v>
      </c>
      <c r="E3102" t="s">
        <v>1877</v>
      </c>
    </row>
    <row r="3103" spans="2:5">
      <c r="B3103" s="65" t="str">
        <f t="shared" si="48"/>
        <v>doc-2517:3</v>
      </c>
      <c r="C3103" t="s">
        <v>10155</v>
      </c>
      <c r="D3103">
        <v>3</v>
      </c>
      <c r="E3103" t="s">
        <v>2061</v>
      </c>
    </row>
    <row r="3104" spans="2:5">
      <c r="B3104" s="65" t="str">
        <f t="shared" si="48"/>
        <v>doc-2517:4</v>
      </c>
      <c r="C3104" t="s">
        <v>10155</v>
      </c>
      <c r="D3104">
        <v>4</v>
      </c>
      <c r="E3104" t="s">
        <v>1905</v>
      </c>
    </row>
    <row r="3105" spans="2:5">
      <c r="B3105" s="65" t="str">
        <f t="shared" si="48"/>
        <v>doc-2518:1</v>
      </c>
      <c r="C3105" t="s">
        <v>10156</v>
      </c>
      <c r="D3105">
        <v>1</v>
      </c>
      <c r="E3105" t="s">
        <v>2067</v>
      </c>
    </row>
    <row r="3106" spans="2:5">
      <c r="B3106" s="65" t="str">
        <f t="shared" si="48"/>
        <v>doc-2518:2</v>
      </c>
      <c r="C3106" t="s">
        <v>10156</v>
      </c>
      <c r="D3106">
        <v>2</v>
      </c>
      <c r="E3106" t="s">
        <v>2112</v>
      </c>
    </row>
    <row r="3107" spans="2:5">
      <c r="B3107" s="65" t="str">
        <f t="shared" si="48"/>
        <v>doc-2518:3</v>
      </c>
      <c r="C3107" t="s">
        <v>10156</v>
      </c>
      <c r="D3107">
        <v>3</v>
      </c>
      <c r="E3107" t="s">
        <v>1854</v>
      </c>
    </row>
    <row r="3108" spans="2:5">
      <c r="B3108" s="65" t="str">
        <f t="shared" si="48"/>
        <v>doc-2518:4</v>
      </c>
      <c r="C3108" t="s">
        <v>10156</v>
      </c>
      <c r="D3108">
        <v>4</v>
      </c>
      <c r="E3108" t="s">
        <v>1877</v>
      </c>
    </row>
    <row r="3109" spans="2:5">
      <c r="B3109" s="65" t="str">
        <f t="shared" si="48"/>
        <v>doc-2518:5</v>
      </c>
      <c r="C3109" t="s">
        <v>10156</v>
      </c>
      <c r="D3109">
        <v>5</v>
      </c>
      <c r="E3109" t="s">
        <v>2061</v>
      </c>
    </row>
    <row r="3110" spans="2:5">
      <c r="B3110" s="65" t="str">
        <f t="shared" si="48"/>
        <v>doc-2518:6</v>
      </c>
      <c r="C3110" t="s">
        <v>10156</v>
      </c>
      <c r="D3110">
        <v>6</v>
      </c>
      <c r="E3110" t="s">
        <v>1905</v>
      </c>
    </row>
    <row r="3111" spans="2:5">
      <c r="B3111" s="65" t="str">
        <f t="shared" si="48"/>
        <v>doc-2520:1</v>
      </c>
      <c r="C3111" t="s">
        <v>10157</v>
      </c>
      <c r="D3111">
        <v>1</v>
      </c>
      <c r="E3111" t="s">
        <v>2112</v>
      </c>
    </row>
    <row r="3112" spans="2:5">
      <c r="B3112" s="65" t="str">
        <f t="shared" si="48"/>
        <v>doc-2520:2</v>
      </c>
      <c r="C3112" t="s">
        <v>10157</v>
      </c>
      <c r="D3112">
        <v>2</v>
      </c>
      <c r="E3112" t="s">
        <v>1854</v>
      </c>
    </row>
    <row r="3113" spans="2:5">
      <c r="B3113" s="65" t="str">
        <f t="shared" si="48"/>
        <v>doc-2520:3</v>
      </c>
      <c r="C3113" t="s">
        <v>10157</v>
      </c>
      <c r="D3113">
        <v>3</v>
      </c>
      <c r="E3113" t="s">
        <v>1877</v>
      </c>
    </row>
    <row r="3114" spans="2:5">
      <c r="B3114" s="65" t="str">
        <f t="shared" si="48"/>
        <v>doc-2520:4</v>
      </c>
      <c r="C3114" t="s">
        <v>10157</v>
      </c>
      <c r="D3114">
        <v>4</v>
      </c>
      <c r="E3114" t="s">
        <v>2061</v>
      </c>
    </row>
    <row r="3115" spans="2:5">
      <c r="B3115" s="65" t="str">
        <f t="shared" si="48"/>
        <v>doc-2520:5</v>
      </c>
      <c r="C3115" t="s">
        <v>10157</v>
      </c>
      <c r="D3115">
        <v>5</v>
      </c>
      <c r="E3115" t="s">
        <v>1905</v>
      </c>
    </row>
    <row r="3116" spans="2:5">
      <c r="B3116" s="65" t="str">
        <f t="shared" si="48"/>
        <v>doc-2522:1</v>
      </c>
      <c r="C3116" t="s">
        <v>10158</v>
      </c>
      <c r="D3116">
        <v>1</v>
      </c>
      <c r="E3116" t="s">
        <v>2160</v>
      </c>
    </row>
    <row r="3117" spans="2:5">
      <c r="B3117" s="65" t="str">
        <f t="shared" si="48"/>
        <v>doc-2522:2</v>
      </c>
      <c r="C3117" t="s">
        <v>10158</v>
      </c>
      <c r="D3117">
        <v>2</v>
      </c>
      <c r="E3117" t="s">
        <v>1944</v>
      </c>
    </row>
    <row r="3118" spans="2:5">
      <c r="B3118" s="65" t="str">
        <f t="shared" si="48"/>
        <v>doc-2522:3</v>
      </c>
      <c r="C3118" t="s">
        <v>10158</v>
      </c>
      <c r="D3118">
        <v>3</v>
      </c>
      <c r="E3118" t="s">
        <v>2121</v>
      </c>
    </row>
    <row r="3119" spans="2:5">
      <c r="B3119" s="65" t="str">
        <f t="shared" si="48"/>
        <v>doc-2522:4</v>
      </c>
      <c r="C3119" t="s">
        <v>10158</v>
      </c>
      <c r="D3119">
        <v>4</v>
      </c>
      <c r="E3119" t="s">
        <v>2023</v>
      </c>
    </row>
    <row r="3120" spans="2:5">
      <c r="B3120" s="65" t="str">
        <f t="shared" si="48"/>
        <v>doc-2523:1</v>
      </c>
      <c r="C3120" t="s">
        <v>10159</v>
      </c>
      <c r="D3120">
        <v>1</v>
      </c>
      <c r="E3120" t="s">
        <v>2160</v>
      </c>
    </row>
    <row r="3121" spans="2:5">
      <c r="B3121" s="65" t="str">
        <f t="shared" si="48"/>
        <v>doc-2523:2</v>
      </c>
      <c r="C3121" t="s">
        <v>10159</v>
      </c>
      <c r="D3121">
        <v>2</v>
      </c>
      <c r="E3121" t="s">
        <v>2625</v>
      </c>
    </row>
    <row r="3122" spans="2:5">
      <c r="B3122" s="65" t="str">
        <f t="shared" si="48"/>
        <v>doc-2523:3</v>
      </c>
      <c r="C3122" t="s">
        <v>10159</v>
      </c>
      <c r="D3122">
        <v>3</v>
      </c>
      <c r="E3122" t="s">
        <v>1982</v>
      </c>
    </row>
    <row r="3123" spans="2:5">
      <c r="B3123" s="65" t="str">
        <f t="shared" si="48"/>
        <v>doc-2523:4</v>
      </c>
      <c r="C3123" t="s">
        <v>10159</v>
      </c>
      <c r="D3123">
        <v>4</v>
      </c>
      <c r="E3123" t="s">
        <v>2023</v>
      </c>
    </row>
    <row r="3124" spans="2:5">
      <c r="B3124" s="65" t="str">
        <f t="shared" si="48"/>
        <v>doc-2523:5</v>
      </c>
      <c r="C3124" t="s">
        <v>10159</v>
      </c>
      <c r="D3124">
        <v>5</v>
      </c>
      <c r="E3124" t="s">
        <v>2121</v>
      </c>
    </row>
    <row r="3125" spans="2:5">
      <c r="B3125" s="65" t="str">
        <f t="shared" si="48"/>
        <v>doc-2523:6</v>
      </c>
      <c r="C3125" t="s">
        <v>10159</v>
      </c>
      <c r="D3125">
        <v>6</v>
      </c>
      <c r="E3125" t="s">
        <v>2510</v>
      </c>
    </row>
    <row r="3126" spans="2:5">
      <c r="B3126" s="65" t="str">
        <f t="shared" si="48"/>
        <v>doc-2523:7</v>
      </c>
      <c r="C3126" t="s">
        <v>10159</v>
      </c>
      <c r="D3126">
        <v>7</v>
      </c>
      <c r="E3126" t="s">
        <v>2512</v>
      </c>
    </row>
    <row r="3127" spans="2:5">
      <c r="B3127" s="65" t="str">
        <f t="shared" si="48"/>
        <v>doc-2523:8</v>
      </c>
      <c r="C3127" t="s">
        <v>10159</v>
      </c>
      <c r="D3127">
        <v>8</v>
      </c>
      <c r="E3127" t="s">
        <v>1944</v>
      </c>
    </row>
    <row r="3128" spans="2:5">
      <c r="B3128" s="65" t="str">
        <f t="shared" si="48"/>
        <v>doc-2524:1</v>
      </c>
      <c r="C3128" t="s">
        <v>10160</v>
      </c>
      <c r="D3128">
        <v>1</v>
      </c>
      <c r="E3128" t="s">
        <v>2036</v>
      </c>
    </row>
    <row r="3129" spans="2:5">
      <c r="B3129" s="65" t="str">
        <f t="shared" si="48"/>
        <v>doc-2524:2</v>
      </c>
      <c r="C3129" t="s">
        <v>10160</v>
      </c>
      <c r="D3129">
        <v>2</v>
      </c>
      <c r="E3129" t="s">
        <v>1994</v>
      </c>
    </row>
    <row r="3130" spans="2:5">
      <c r="B3130" s="65" t="str">
        <f t="shared" si="48"/>
        <v>doc-2524:3</v>
      </c>
      <c r="C3130" t="s">
        <v>10160</v>
      </c>
      <c r="D3130">
        <v>3</v>
      </c>
      <c r="E3130" t="s">
        <v>1982</v>
      </c>
    </row>
    <row r="3131" spans="2:5">
      <c r="B3131" s="65" t="str">
        <f t="shared" si="48"/>
        <v>doc-2524:4</v>
      </c>
      <c r="C3131" t="s">
        <v>10160</v>
      </c>
      <c r="D3131">
        <v>4</v>
      </c>
      <c r="E3131" t="s">
        <v>1941</v>
      </c>
    </row>
    <row r="3132" spans="2:5">
      <c r="B3132" s="65" t="str">
        <f t="shared" si="48"/>
        <v>doc-2524:5</v>
      </c>
      <c r="C3132" t="s">
        <v>10160</v>
      </c>
      <c r="D3132">
        <v>5</v>
      </c>
      <c r="E3132" t="s">
        <v>1856</v>
      </c>
    </row>
    <row r="3133" spans="2:5">
      <c r="B3133" s="65" t="str">
        <f t="shared" si="48"/>
        <v>doc-2526:1</v>
      </c>
      <c r="C3133" t="s">
        <v>10161</v>
      </c>
      <c r="D3133">
        <v>1</v>
      </c>
      <c r="E3133" t="s">
        <v>1386</v>
      </c>
    </row>
    <row r="3134" spans="2:5">
      <c r="B3134" s="65" t="str">
        <f t="shared" si="48"/>
        <v>doc-2526:2</v>
      </c>
      <c r="C3134" t="s">
        <v>10161</v>
      </c>
      <c r="D3134">
        <v>2</v>
      </c>
      <c r="E3134" t="s">
        <v>1378</v>
      </c>
    </row>
    <row r="3135" spans="2:5">
      <c r="B3135" s="65" t="str">
        <f t="shared" si="48"/>
        <v>doc-2526:3</v>
      </c>
      <c r="C3135" t="s">
        <v>10161</v>
      </c>
      <c r="D3135">
        <v>3</v>
      </c>
      <c r="E3135" t="s">
        <v>1375</v>
      </c>
    </row>
    <row r="3136" spans="2:5">
      <c r="B3136" s="65" t="str">
        <f t="shared" si="48"/>
        <v>doc-2526:4</v>
      </c>
      <c r="C3136" t="s">
        <v>10161</v>
      </c>
      <c r="D3136">
        <v>4</v>
      </c>
      <c r="E3136" t="s">
        <v>1401</v>
      </c>
    </row>
    <row r="3137" spans="2:5">
      <c r="B3137" s="65" t="str">
        <f t="shared" si="48"/>
        <v>doc-2526:5</v>
      </c>
      <c r="C3137" t="s">
        <v>10161</v>
      </c>
      <c r="D3137">
        <v>5</v>
      </c>
      <c r="E3137" t="s">
        <v>1409</v>
      </c>
    </row>
    <row r="3138" spans="2:5">
      <c r="B3138" s="65" t="str">
        <f t="shared" si="48"/>
        <v>doc-2526:6</v>
      </c>
      <c r="C3138" t="s">
        <v>10161</v>
      </c>
      <c r="D3138">
        <v>6</v>
      </c>
      <c r="E3138" t="s">
        <v>1422</v>
      </c>
    </row>
    <row r="3139" spans="2:5">
      <c r="B3139" s="65" t="str">
        <f t="shared" si="48"/>
        <v>doc-2535:1</v>
      </c>
      <c r="C3139" t="s">
        <v>10162</v>
      </c>
      <c r="D3139">
        <v>1</v>
      </c>
      <c r="E3139" t="s">
        <v>1628</v>
      </c>
    </row>
    <row r="3140" spans="2:5">
      <c r="B3140" s="65" t="str">
        <f t="shared" ref="B3140:B3203" si="49">$C3140&amp;":"&amp;$D3140</f>
        <v>doc-2535:2</v>
      </c>
      <c r="C3140" t="s">
        <v>10162</v>
      </c>
      <c r="D3140">
        <v>2</v>
      </c>
      <c r="E3140" t="s">
        <v>1625</v>
      </c>
    </row>
    <row r="3141" spans="2:5">
      <c r="B3141" s="65" t="str">
        <f t="shared" si="49"/>
        <v>doc-2535:3</v>
      </c>
      <c r="C3141" t="s">
        <v>10162</v>
      </c>
      <c r="D3141">
        <v>3</v>
      </c>
      <c r="E3141" t="s">
        <v>1941</v>
      </c>
    </row>
    <row r="3142" spans="2:5">
      <c r="B3142" s="65" t="str">
        <f t="shared" si="49"/>
        <v>doc-2535:4</v>
      </c>
      <c r="C3142" t="s">
        <v>10162</v>
      </c>
      <c r="D3142">
        <v>4</v>
      </c>
      <c r="E3142" t="s">
        <v>1652</v>
      </c>
    </row>
    <row r="3143" spans="2:5">
      <c r="B3143" s="65" t="str">
        <f t="shared" si="49"/>
        <v>doc-2535:5</v>
      </c>
      <c r="C3143" t="s">
        <v>10162</v>
      </c>
      <c r="D3143">
        <v>5</v>
      </c>
      <c r="E3143" t="s">
        <v>1650</v>
      </c>
    </row>
    <row r="3144" spans="2:5">
      <c r="B3144" s="65" t="str">
        <f t="shared" si="49"/>
        <v>doc-2542:1</v>
      </c>
      <c r="C3144" t="s">
        <v>10163</v>
      </c>
      <c r="D3144">
        <v>1</v>
      </c>
      <c r="E3144" t="s">
        <v>1645</v>
      </c>
    </row>
    <row r="3145" spans="2:5">
      <c r="B3145" s="65" t="str">
        <f t="shared" si="49"/>
        <v>doc-2542:2</v>
      </c>
      <c r="C3145" t="s">
        <v>10163</v>
      </c>
      <c r="D3145">
        <v>2</v>
      </c>
      <c r="E3145" t="s">
        <v>2026</v>
      </c>
    </row>
    <row r="3146" spans="2:5">
      <c r="B3146" s="65" t="str">
        <f t="shared" si="49"/>
        <v>doc-2542:3</v>
      </c>
      <c r="C3146" t="s">
        <v>10163</v>
      </c>
      <c r="D3146">
        <v>3</v>
      </c>
      <c r="E3146" t="s">
        <v>2033</v>
      </c>
    </row>
    <row r="3147" spans="2:5">
      <c r="B3147" s="65" t="str">
        <f t="shared" si="49"/>
        <v>doc-2542:4</v>
      </c>
      <c r="C3147" t="s">
        <v>10163</v>
      </c>
      <c r="D3147">
        <v>4</v>
      </c>
      <c r="E3147" t="s">
        <v>1997</v>
      </c>
    </row>
    <row r="3148" spans="2:5">
      <c r="B3148" s="65" t="str">
        <f t="shared" si="49"/>
        <v>doc-2542:5</v>
      </c>
      <c r="C3148" t="s">
        <v>10163</v>
      </c>
      <c r="D3148">
        <v>5</v>
      </c>
      <c r="E3148" t="s">
        <v>2146</v>
      </c>
    </row>
    <row r="3149" spans="2:5">
      <c r="B3149" s="65" t="str">
        <f t="shared" si="49"/>
        <v>doc-2543:1</v>
      </c>
      <c r="C3149" t="s">
        <v>10164</v>
      </c>
      <c r="D3149">
        <v>1</v>
      </c>
      <c r="E3149" t="s">
        <v>2860</v>
      </c>
    </row>
    <row r="3150" spans="2:5">
      <c r="B3150" s="65" t="str">
        <f t="shared" si="49"/>
        <v>doc-2543:2</v>
      </c>
      <c r="C3150" t="s">
        <v>10164</v>
      </c>
      <c r="D3150">
        <v>2</v>
      </c>
      <c r="E3150" t="s">
        <v>2085</v>
      </c>
    </row>
    <row r="3151" spans="2:5">
      <c r="B3151" s="65" t="str">
        <f t="shared" si="49"/>
        <v>doc-2543:3</v>
      </c>
      <c r="C3151" t="s">
        <v>10164</v>
      </c>
      <c r="D3151">
        <v>3</v>
      </c>
      <c r="E3151" t="s">
        <v>2146</v>
      </c>
    </row>
    <row r="3152" spans="2:5">
      <c r="B3152" s="65" t="str">
        <f t="shared" si="49"/>
        <v>doc-2543:4</v>
      </c>
      <c r="C3152" t="s">
        <v>10164</v>
      </c>
      <c r="D3152">
        <v>4</v>
      </c>
      <c r="E3152" t="s">
        <v>2020</v>
      </c>
    </row>
    <row r="3153" spans="2:5">
      <c r="B3153" s="65" t="str">
        <f t="shared" si="49"/>
        <v>doc-2543:5</v>
      </c>
      <c r="C3153" t="s">
        <v>10164</v>
      </c>
      <c r="D3153">
        <v>5</v>
      </c>
      <c r="E3153" t="s">
        <v>2825</v>
      </c>
    </row>
    <row r="3154" spans="2:5">
      <c r="B3154" s="65" t="str">
        <f t="shared" si="49"/>
        <v>doc-2543:6</v>
      </c>
      <c r="C3154" t="s">
        <v>10164</v>
      </c>
      <c r="D3154">
        <v>6</v>
      </c>
      <c r="E3154" t="s">
        <v>2849</v>
      </c>
    </row>
    <row r="3155" spans="2:5">
      <c r="B3155" s="65" t="str">
        <f t="shared" si="49"/>
        <v>doc-2544:1</v>
      </c>
      <c r="C3155" t="s">
        <v>10165</v>
      </c>
      <c r="D3155">
        <v>1</v>
      </c>
      <c r="E3155" t="s">
        <v>82</v>
      </c>
    </row>
    <row r="3156" spans="2:5">
      <c r="B3156" s="65" t="str">
        <f t="shared" si="49"/>
        <v>doc-2544:2</v>
      </c>
      <c r="C3156" t="s">
        <v>10165</v>
      </c>
      <c r="D3156">
        <v>2</v>
      </c>
      <c r="E3156" t="s">
        <v>2977</v>
      </c>
    </row>
    <row r="3157" spans="2:5">
      <c r="B3157" s="65" t="str">
        <f t="shared" si="49"/>
        <v>doc-2544:3</v>
      </c>
      <c r="C3157" t="s">
        <v>10165</v>
      </c>
      <c r="D3157">
        <v>3</v>
      </c>
      <c r="E3157" t="s">
        <v>1221</v>
      </c>
    </row>
    <row r="3158" spans="2:5">
      <c r="B3158" s="65" t="str">
        <f t="shared" si="49"/>
        <v>doc-2547:1</v>
      </c>
      <c r="C3158" t="s">
        <v>10166</v>
      </c>
      <c r="D3158">
        <v>1</v>
      </c>
      <c r="E3158" t="s">
        <v>3061</v>
      </c>
    </row>
    <row r="3159" spans="2:5">
      <c r="B3159" s="65" t="str">
        <f t="shared" si="49"/>
        <v>doc-2547:2</v>
      </c>
      <c r="C3159" t="s">
        <v>10166</v>
      </c>
      <c r="D3159">
        <v>2</v>
      </c>
      <c r="E3159" t="s">
        <v>3050</v>
      </c>
    </row>
    <row r="3160" spans="2:5">
      <c r="B3160" s="65" t="str">
        <f t="shared" si="49"/>
        <v>doc-2547:3</v>
      </c>
      <c r="C3160" t="s">
        <v>10166</v>
      </c>
      <c r="D3160">
        <v>3</v>
      </c>
      <c r="E3160" t="s">
        <v>254</v>
      </c>
    </row>
    <row r="3161" spans="2:5">
      <c r="B3161" s="65" t="str">
        <f t="shared" si="49"/>
        <v>doc-2547:4</v>
      </c>
      <c r="C3161" t="s">
        <v>10166</v>
      </c>
      <c r="D3161">
        <v>4</v>
      </c>
      <c r="E3161" t="s">
        <v>1773</v>
      </c>
    </row>
    <row r="3162" spans="2:5">
      <c r="B3162" s="65" t="str">
        <f t="shared" si="49"/>
        <v>doc-2547:5</v>
      </c>
      <c r="C3162" t="s">
        <v>10166</v>
      </c>
      <c r="D3162">
        <v>5</v>
      </c>
      <c r="E3162" t="s">
        <v>1078</v>
      </c>
    </row>
    <row r="3163" spans="2:5">
      <c r="B3163" s="65" t="str">
        <f t="shared" si="49"/>
        <v>doc-2547:6</v>
      </c>
      <c r="C3163" t="s">
        <v>10166</v>
      </c>
      <c r="D3163">
        <v>6</v>
      </c>
      <c r="E3163" t="s">
        <v>1595</v>
      </c>
    </row>
    <row r="3164" spans="2:5">
      <c r="B3164" s="65" t="str">
        <f t="shared" si="49"/>
        <v>doc-2559:1</v>
      </c>
      <c r="C3164" t="s">
        <v>6141</v>
      </c>
      <c r="D3164">
        <v>1</v>
      </c>
      <c r="E3164" t="s">
        <v>1461</v>
      </c>
    </row>
    <row r="3165" spans="2:5">
      <c r="B3165" s="65" t="str">
        <f t="shared" si="49"/>
        <v>doc-2559:2</v>
      </c>
      <c r="C3165" t="s">
        <v>6141</v>
      </c>
      <c r="D3165">
        <v>2</v>
      </c>
      <c r="E3165" t="s">
        <v>1108</v>
      </c>
    </row>
    <row r="3166" spans="2:5">
      <c r="B3166" s="65" t="str">
        <f t="shared" si="49"/>
        <v>doc-2559:3</v>
      </c>
      <c r="C3166" t="s">
        <v>6141</v>
      </c>
      <c r="D3166">
        <v>3</v>
      </c>
      <c r="E3166" t="s">
        <v>299</v>
      </c>
    </row>
    <row r="3167" spans="2:5">
      <c r="B3167" s="65" t="str">
        <f t="shared" si="49"/>
        <v>doc-2559:4</v>
      </c>
      <c r="C3167" t="s">
        <v>6141</v>
      </c>
      <c r="D3167">
        <v>4</v>
      </c>
      <c r="E3167" t="s">
        <v>2960</v>
      </c>
    </row>
    <row r="3168" spans="2:5">
      <c r="B3168" s="65" t="str">
        <f t="shared" si="49"/>
        <v>doc-2559:5</v>
      </c>
      <c r="C3168" t="s">
        <v>6141</v>
      </c>
      <c r="D3168">
        <v>5</v>
      </c>
      <c r="E3168" t="s">
        <v>2915</v>
      </c>
    </row>
    <row r="3169" spans="2:5">
      <c r="B3169" s="65" t="str">
        <f t="shared" si="49"/>
        <v>doc-2560a:1</v>
      </c>
      <c r="C3169" t="s">
        <v>6148</v>
      </c>
      <c r="D3169">
        <v>1</v>
      </c>
      <c r="E3169" t="s">
        <v>1321</v>
      </c>
    </row>
    <row r="3170" spans="2:5">
      <c r="B3170" s="65" t="str">
        <f t="shared" si="49"/>
        <v>doc-2560a:2</v>
      </c>
      <c r="C3170" t="s">
        <v>6148</v>
      </c>
      <c r="D3170">
        <v>2</v>
      </c>
      <c r="E3170" t="s">
        <v>1461</v>
      </c>
    </row>
    <row r="3171" spans="2:5">
      <c r="B3171" s="65" t="str">
        <f t="shared" si="49"/>
        <v>doc-2560a:3</v>
      </c>
      <c r="C3171" t="s">
        <v>6148</v>
      </c>
      <c r="D3171">
        <v>3</v>
      </c>
      <c r="E3171" t="s">
        <v>2960</v>
      </c>
    </row>
    <row r="3172" spans="2:5">
      <c r="B3172" s="65" t="str">
        <f t="shared" si="49"/>
        <v>doc-2560a:4</v>
      </c>
      <c r="C3172" t="s">
        <v>6148</v>
      </c>
      <c r="D3172">
        <v>4</v>
      </c>
      <c r="E3172" t="s">
        <v>1833</v>
      </c>
    </row>
    <row r="3173" spans="2:5">
      <c r="B3173" s="65" t="str">
        <f t="shared" si="49"/>
        <v>doc-2562:1</v>
      </c>
      <c r="C3173" t="s">
        <v>10167</v>
      </c>
      <c r="D3173">
        <v>1</v>
      </c>
      <c r="E3173" t="s">
        <v>82</v>
      </c>
    </row>
    <row r="3174" spans="2:5">
      <c r="B3174" s="65" t="str">
        <f t="shared" si="49"/>
        <v>doc-2563:1</v>
      </c>
      <c r="C3174" t="s">
        <v>10168</v>
      </c>
      <c r="D3174">
        <v>1</v>
      </c>
      <c r="E3174" t="s">
        <v>3061</v>
      </c>
    </row>
    <row r="3175" spans="2:5">
      <c r="B3175" s="65" t="str">
        <f t="shared" si="49"/>
        <v>doc-2563:2</v>
      </c>
      <c r="C3175" t="s">
        <v>10168</v>
      </c>
      <c r="D3175">
        <v>2</v>
      </c>
      <c r="E3175" t="s">
        <v>254</v>
      </c>
    </row>
    <row r="3176" spans="2:5">
      <c r="B3176" s="65" t="str">
        <f t="shared" si="49"/>
        <v>doc-2563:3</v>
      </c>
      <c r="C3176" t="s">
        <v>10168</v>
      </c>
      <c r="D3176">
        <v>3</v>
      </c>
      <c r="E3176" t="s">
        <v>1321</v>
      </c>
    </row>
    <row r="3177" spans="2:5">
      <c r="B3177" s="65" t="str">
        <f t="shared" si="49"/>
        <v>doc-2564:1</v>
      </c>
      <c r="C3177" t="s">
        <v>10169</v>
      </c>
      <c r="D3177">
        <v>1</v>
      </c>
      <c r="E3177" t="s">
        <v>82</v>
      </c>
    </row>
    <row r="3178" spans="2:5">
      <c r="B3178" s="65" t="str">
        <f t="shared" si="49"/>
        <v>doc-2565b:1</v>
      </c>
      <c r="C3178" t="s">
        <v>10170</v>
      </c>
      <c r="D3178">
        <v>1</v>
      </c>
      <c r="E3178" t="s">
        <v>2805</v>
      </c>
    </row>
    <row r="3179" spans="2:5">
      <c r="B3179" s="65" t="str">
        <f t="shared" si="49"/>
        <v>doc-2565d:1</v>
      </c>
      <c r="C3179" t="s">
        <v>10171</v>
      </c>
      <c r="D3179">
        <v>1</v>
      </c>
      <c r="E3179" t="s">
        <v>2805</v>
      </c>
    </row>
    <row r="3180" spans="2:5">
      <c r="B3180" s="65" t="str">
        <f t="shared" si="49"/>
        <v>doc-2566:1</v>
      </c>
      <c r="C3180" t="s">
        <v>10172</v>
      </c>
      <c r="D3180">
        <v>1</v>
      </c>
      <c r="E3180" t="s">
        <v>2810</v>
      </c>
    </row>
    <row r="3181" spans="2:5">
      <c r="B3181" s="65" t="str">
        <f t="shared" si="49"/>
        <v>doc-2566:2</v>
      </c>
      <c r="C3181" t="s">
        <v>10172</v>
      </c>
      <c r="D3181">
        <v>2</v>
      </c>
      <c r="E3181" t="s">
        <v>2805</v>
      </c>
    </row>
    <row r="3182" spans="2:5">
      <c r="B3182" s="65" t="str">
        <f t="shared" si="49"/>
        <v>doc-2566:3</v>
      </c>
      <c r="C3182" t="s">
        <v>10172</v>
      </c>
      <c r="D3182">
        <v>3</v>
      </c>
      <c r="E3182" t="s">
        <v>1941</v>
      </c>
    </row>
    <row r="3183" spans="2:5">
      <c r="B3183" s="65" t="str">
        <f t="shared" si="49"/>
        <v>doc-2567:1</v>
      </c>
      <c r="C3183" t="s">
        <v>10173</v>
      </c>
      <c r="D3183">
        <v>1</v>
      </c>
      <c r="E3183" t="s">
        <v>1777</v>
      </c>
    </row>
    <row r="3184" spans="2:5">
      <c r="B3184" s="65" t="str">
        <f t="shared" si="49"/>
        <v>doc-2567:2</v>
      </c>
      <c r="C3184" t="s">
        <v>10173</v>
      </c>
      <c r="D3184">
        <v>2</v>
      </c>
      <c r="E3184" t="s">
        <v>1941</v>
      </c>
    </row>
    <row r="3185" spans="2:5">
      <c r="B3185" s="65" t="str">
        <f t="shared" si="49"/>
        <v>doc-2567:3</v>
      </c>
      <c r="C3185" t="s">
        <v>10173</v>
      </c>
      <c r="D3185">
        <v>3</v>
      </c>
      <c r="E3185" t="s">
        <v>2805</v>
      </c>
    </row>
    <row r="3186" spans="2:5">
      <c r="B3186" s="65" t="str">
        <f t="shared" si="49"/>
        <v>doc-2568:1</v>
      </c>
      <c r="C3186" t="s">
        <v>10174</v>
      </c>
      <c r="D3186">
        <v>1</v>
      </c>
      <c r="E3186" t="s">
        <v>82</v>
      </c>
    </row>
    <row r="3187" spans="2:5">
      <c r="B3187" s="65" t="str">
        <f t="shared" si="49"/>
        <v>doc-2569a:1</v>
      </c>
      <c r="C3187" t="s">
        <v>10175</v>
      </c>
      <c r="D3187">
        <v>1</v>
      </c>
      <c r="E3187" t="s">
        <v>73</v>
      </c>
    </row>
    <row r="3188" spans="2:5">
      <c r="B3188" s="65" t="str">
        <f t="shared" si="49"/>
        <v>doc-2569a:2</v>
      </c>
      <c r="C3188" t="s">
        <v>10175</v>
      </c>
      <c r="D3188">
        <v>2</v>
      </c>
      <c r="E3188" t="s">
        <v>1453</v>
      </c>
    </row>
    <row r="3189" spans="2:5">
      <c r="B3189" s="65" t="str">
        <f t="shared" si="49"/>
        <v>doc-2569a:3</v>
      </c>
      <c r="C3189" t="s">
        <v>10175</v>
      </c>
      <c r="D3189">
        <v>3</v>
      </c>
      <c r="E3189" t="s">
        <v>76</v>
      </c>
    </row>
    <row r="3190" spans="2:5">
      <c r="B3190" s="65" t="str">
        <f t="shared" si="49"/>
        <v>doc-2569a:4</v>
      </c>
      <c r="C3190" t="s">
        <v>10175</v>
      </c>
      <c r="D3190">
        <v>4</v>
      </c>
      <c r="E3190" t="s">
        <v>87</v>
      </c>
    </row>
    <row r="3191" spans="2:5">
      <c r="B3191" s="65" t="str">
        <f t="shared" si="49"/>
        <v>doc-2569a:5</v>
      </c>
      <c r="C3191" t="s">
        <v>10175</v>
      </c>
      <c r="D3191">
        <v>5</v>
      </c>
      <c r="E3191" t="s">
        <v>1096</v>
      </c>
    </row>
    <row r="3192" spans="2:5">
      <c r="B3192" s="65" t="str">
        <f t="shared" si="49"/>
        <v>doc-2569a:6</v>
      </c>
      <c r="C3192" t="s">
        <v>10175</v>
      </c>
      <c r="D3192">
        <v>6</v>
      </c>
      <c r="E3192" t="s">
        <v>79</v>
      </c>
    </row>
    <row r="3193" spans="2:5">
      <c r="B3193" s="65" t="str">
        <f t="shared" si="49"/>
        <v>doc-2569c:1</v>
      </c>
      <c r="C3193" t="s">
        <v>10176</v>
      </c>
      <c r="D3193">
        <v>1</v>
      </c>
      <c r="E3193" t="s">
        <v>73</v>
      </c>
    </row>
    <row r="3194" spans="2:5">
      <c r="B3194" s="65" t="str">
        <f t="shared" si="49"/>
        <v>doc-2569c:2</v>
      </c>
      <c r="C3194" t="s">
        <v>10176</v>
      </c>
      <c r="D3194">
        <v>2</v>
      </c>
      <c r="E3194" t="s">
        <v>1453</v>
      </c>
    </row>
    <row r="3195" spans="2:5">
      <c r="B3195" s="65" t="str">
        <f t="shared" si="49"/>
        <v>doc-2569c:3</v>
      </c>
      <c r="C3195" t="s">
        <v>10176</v>
      </c>
      <c r="D3195">
        <v>3</v>
      </c>
      <c r="E3195" t="s">
        <v>76</v>
      </c>
    </row>
    <row r="3196" spans="2:5">
      <c r="B3196" s="65" t="str">
        <f t="shared" si="49"/>
        <v>doc-2569c:4</v>
      </c>
      <c r="C3196" t="s">
        <v>10176</v>
      </c>
      <c r="D3196">
        <v>4</v>
      </c>
      <c r="E3196" t="s">
        <v>87</v>
      </c>
    </row>
    <row r="3197" spans="2:5">
      <c r="B3197" s="65" t="str">
        <f t="shared" si="49"/>
        <v>doc-2569c:5</v>
      </c>
      <c r="C3197" t="s">
        <v>10176</v>
      </c>
      <c r="D3197">
        <v>5</v>
      </c>
      <c r="E3197" t="s">
        <v>79</v>
      </c>
    </row>
    <row r="3198" spans="2:5">
      <c r="B3198" s="65" t="str">
        <f t="shared" si="49"/>
        <v>doc-2569c:6</v>
      </c>
      <c r="C3198" t="s">
        <v>10176</v>
      </c>
      <c r="D3198">
        <v>6</v>
      </c>
      <c r="E3198" t="s">
        <v>1096</v>
      </c>
    </row>
    <row r="3199" spans="2:5">
      <c r="B3199" s="65" t="str">
        <f t="shared" si="49"/>
        <v>doc-2570:1</v>
      </c>
      <c r="C3199" t="s">
        <v>10177</v>
      </c>
      <c r="D3199">
        <v>1</v>
      </c>
      <c r="E3199" t="s">
        <v>79</v>
      </c>
    </row>
    <row r="3200" spans="2:5">
      <c r="B3200" s="65" t="str">
        <f t="shared" si="49"/>
        <v>doc-2570:2</v>
      </c>
      <c r="C3200" t="s">
        <v>10177</v>
      </c>
      <c r="D3200">
        <v>2</v>
      </c>
      <c r="E3200" t="s">
        <v>90</v>
      </c>
    </row>
    <row r="3201" spans="2:5">
      <c r="B3201" s="65" t="str">
        <f t="shared" si="49"/>
        <v>doc-2570:3</v>
      </c>
      <c r="C3201" t="s">
        <v>10177</v>
      </c>
      <c r="D3201">
        <v>3</v>
      </c>
      <c r="E3201" t="s">
        <v>1453</v>
      </c>
    </row>
    <row r="3202" spans="2:5">
      <c r="B3202" s="65" t="str">
        <f t="shared" si="49"/>
        <v>doc-2570:4</v>
      </c>
      <c r="C3202" t="s">
        <v>10177</v>
      </c>
      <c r="D3202">
        <v>4</v>
      </c>
      <c r="E3202" t="s">
        <v>76</v>
      </c>
    </row>
    <row r="3203" spans="2:5">
      <c r="B3203" s="65" t="str">
        <f t="shared" si="49"/>
        <v>doc-2570:5</v>
      </c>
      <c r="C3203" t="s">
        <v>10177</v>
      </c>
      <c r="D3203">
        <v>5</v>
      </c>
      <c r="E3203" t="s">
        <v>87</v>
      </c>
    </row>
    <row r="3204" spans="2:5">
      <c r="B3204" s="65" t="str">
        <f t="shared" ref="B3204:B3267" si="50">$C3204&amp;":"&amp;$D3204</f>
        <v>doc-2570:6</v>
      </c>
      <c r="C3204" t="s">
        <v>10177</v>
      </c>
      <c r="D3204">
        <v>6</v>
      </c>
      <c r="E3204" t="s">
        <v>1747</v>
      </c>
    </row>
    <row r="3205" spans="2:5">
      <c r="B3205" s="65" t="str">
        <f t="shared" si="50"/>
        <v>doc-2570:7</v>
      </c>
      <c r="C3205" t="s">
        <v>10177</v>
      </c>
      <c r="D3205">
        <v>7</v>
      </c>
      <c r="E3205" t="s">
        <v>73</v>
      </c>
    </row>
    <row r="3206" spans="2:5">
      <c r="B3206" s="65" t="str">
        <f t="shared" si="50"/>
        <v>doc-2571:1</v>
      </c>
      <c r="C3206" t="s">
        <v>10178</v>
      </c>
      <c r="D3206">
        <v>1</v>
      </c>
      <c r="E3206" t="s">
        <v>1096</v>
      </c>
    </row>
    <row r="3207" spans="2:5">
      <c r="B3207" s="65" t="str">
        <f t="shared" si="50"/>
        <v>doc-2571:2</v>
      </c>
      <c r="C3207" t="s">
        <v>10178</v>
      </c>
      <c r="D3207">
        <v>2</v>
      </c>
      <c r="E3207" t="s">
        <v>87</v>
      </c>
    </row>
    <row r="3208" spans="2:5">
      <c r="B3208" s="65" t="str">
        <f t="shared" si="50"/>
        <v>doc-2571:3</v>
      </c>
      <c r="C3208" t="s">
        <v>10178</v>
      </c>
      <c r="D3208">
        <v>3</v>
      </c>
      <c r="E3208" t="s">
        <v>73</v>
      </c>
    </row>
    <row r="3209" spans="2:5">
      <c r="B3209" s="65" t="str">
        <f t="shared" si="50"/>
        <v>doc-2572:1</v>
      </c>
      <c r="C3209" t="s">
        <v>10179</v>
      </c>
      <c r="D3209">
        <v>1</v>
      </c>
      <c r="E3209" t="s">
        <v>2815</v>
      </c>
    </row>
    <row r="3210" spans="2:5">
      <c r="B3210" s="65" t="str">
        <f t="shared" si="50"/>
        <v>doc-2572:2</v>
      </c>
      <c r="C3210" t="s">
        <v>10179</v>
      </c>
      <c r="D3210">
        <v>2</v>
      </c>
      <c r="E3210" t="s">
        <v>2799</v>
      </c>
    </row>
    <row r="3211" spans="2:5">
      <c r="B3211" s="65" t="str">
        <f t="shared" si="50"/>
        <v>doc-2572:3</v>
      </c>
      <c r="C3211" t="s">
        <v>10179</v>
      </c>
      <c r="D3211">
        <v>3</v>
      </c>
      <c r="E3211" t="s">
        <v>2790</v>
      </c>
    </row>
    <row r="3212" spans="2:5">
      <c r="B3212" s="65" t="str">
        <f t="shared" si="50"/>
        <v>doc-2572:4</v>
      </c>
      <c r="C3212" t="s">
        <v>10179</v>
      </c>
      <c r="D3212">
        <v>4</v>
      </c>
      <c r="E3212" t="s">
        <v>2787</v>
      </c>
    </row>
    <row r="3213" spans="2:5">
      <c r="B3213" s="65" t="str">
        <f t="shared" si="50"/>
        <v>doc-2572:5</v>
      </c>
      <c r="C3213" t="s">
        <v>10179</v>
      </c>
      <c r="D3213">
        <v>5</v>
      </c>
      <c r="E3213" t="s">
        <v>3259</v>
      </c>
    </row>
    <row r="3214" spans="2:5">
      <c r="B3214" s="65" t="str">
        <f t="shared" si="50"/>
        <v>doc-2573:1</v>
      </c>
      <c r="C3214" t="s">
        <v>10180</v>
      </c>
      <c r="D3214">
        <v>1</v>
      </c>
      <c r="E3214" t="s">
        <v>82</v>
      </c>
    </row>
    <row r="3215" spans="2:5">
      <c r="B3215" s="65" t="str">
        <f t="shared" si="50"/>
        <v>doc-2574:1</v>
      </c>
      <c r="C3215" t="s">
        <v>10181</v>
      </c>
      <c r="D3215">
        <v>1</v>
      </c>
      <c r="E3215" t="s">
        <v>1108</v>
      </c>
    </row>
    <row r="3216" spans="2:5">
      <c r="B3216" s="65" t="str">
        <f t="shared" si="50"/>
        <v>doc-2574:2</v>
      </c>
      <c r="C3216" t="s">
        <v>10181</v>
      </c>
      <c r="D3216">
        <v>2</v>
      </c>
      <c r="E3216" t="s">
        <v>2954</v>
      </c>
    </row>
    <row r="3217" spans="2:5">
      <c r="B3217" s="65" t="str">
        <f t="shared" si="50"/>
        <v>doc-2574:3</v>
      </c>
      <c r="C3217" t="s">
        <v>10181</v>
      </c>
      <c r="D3217">
        <v>3</v>
      </c>
      <c r="E3217" t="s">
        <v>90</v>
      </c>
    </row>
    <row r="3218" spans="2:5">
      <c r="B3218" s="65" t="str">
        <f t="shared" si="50"/>
        <v>doc-2575:1</v>
      </c>
      <c r="C3218" t="s">
        <v>10182</v>
      </c>
      <c r="D3218">
        <v>1</v>
      </c>
      <c r="E3218" t="s">
        <v>1944</v>
      </c>
    </row>
    <row r="3219" spans="2:5">
      <c r="B3219" s="65" t="str">
        <f t="shared" si="50"/>
        <v>doc-2575:2</v>
      </c>
      <c r="C3219" t="s">
        <v>10182</v>
      </c>
      <c r="D3219">
        <v>2</v>
      </c>
      <c r="E3219" t="s">
        <v>1813</v>
      </c>
    </row>
    <row r="3220" spans="2:5">
      <c r="B3220" s="65" t="str">
        <f t="shared" si="50"/>
        <v>doc-2575:3</v>
      </c>
      <c r="C3220" t="s">
        <v>10182</v>
      </c>
      <c r="D3220">
        <v>3</v>
      </c>
      <c r="E3220" t="s">
        <v>1911</v>
      </c>
    </row>
    <row r="3221" spans="2:5">
      <c r="B3221" s="65" t="str">
        <f t="shared" si="50"/>
        <v>doc-2575:4</v>
      </c>
      <c r="C3221" t="s">
        <v>10182</v>
      </c>
      <c r="D3221">
        <v>4</v>
      </c>
      <c r="E3221" t="s">
        <v>2148</v>
      </c>
    </row>
    <row r="3222" spans="2:5">
      <c r="B3222" s="65" t="str">
        <f t="shared" si="50"/>
        <v>doc-2575:5</v>
      </c>
      <c r="C3222" t="s">
        <v>10182</v>
      </c>
      <c r="D3222">
        <v>5</v>
      </c>
      <c r="E3222" t="s">
        <v>2064</v>
      </c>
    </row>
    <row r="3223" spans="2:5">
      <c r="B3223" s="65" t="str">
        <f t="shared" si="50"/>
        <v>doc-2576:1</v>
      </c>
      <c r="C3223" t="s">
        <v>10183</v>
      </c>
      <c r="D3223">
        <v>1</v>
      </c>
      <c r="E3223" t="s">
        <v>76</v>
      </c>
    </row>
    <row r="3224" spans="2:5">
      <c r="B3224" s="65" t="str">
        <f t="shared" si="50"/>
        <v>doc-2576:2</v>
      </c>
      <c r="C3224" t="s">
        <v>10183</v>
      </c>
      <c r="D3224">
        <v>2</v>
      </c>
      <c r="E3224" t="s">
        <v>87</v>
      </c>
    </row>
    <row r="3225" spans="2:5">
      <c r="B3225" s="65" t="str">
        <f t="shared" si="50"/>
        <v>doc-2576:3</v>
      </c>
      <c r="C3225" t="s">
        <v>10183</v>
      </c>
      <c r="D3225">
        <v>3</v>
      </c>
      <c r="E3225" t="s">
        <v>73</v>
      </c>
    </row>
    <row r="3226" spans="2:5">
      <c r="B3226" s="65" t="str">
        <f t="shared" si="50"/>
        <v>doc-2576:4</v>
      </c>
      <c r="C3226" t="s">
        <v>10183</v>
      </c>
      <c r="D3226">
        <v>4</v>
      </c>
      <c r="E3226" t="s">
        <v>1968</v>
      </c>
    </row>
    <row r="3227" spans="2:5">
      <c r="B3227" s="65" t="str">
        <f t="shared" si="50"/>
        <v>doc-2580:1</v>
      </c>
      <c r="C3227" t="s">
        <v>10184</v>
      </c>
      <c r="D3227">
        <v>1</v>
      </c>
      <c r="E3227" t="s">
        <v>2160</v>
      </c>
    </row>
    <row r="3228" spans="2:5">
      <c r="B3228" s="65" t="str">
        <f t="shared" si="50"/>
        <v>doc-2580:2</v>
      </c>
      <c r="C3228" t="s">
        <v>10184</v>
      </c>
      <c r="D3228">
        <v>2</v>
      </c>
      <c r="E3228" t="s">
        <v>1944</v>
      </c>
    </row>
    <row r="3229" spans="2:5">
      <c r="B3229" s="65" t="str">
        <f t="shared" si="50"/>
        <v>doc-2580:3</v>
      </c>
      <c r="C3229" t="s">
        <v>10184</v>
      </c>
      <c r="D3229">
        <v>3</v>
      </c>
      <c r="E3229" t="s">
        <v>2121</v>
      </c>
    </row>
    <row r="3230" spans="2:5">
      <c r="B3230" s="65" t="str">
        <f t="shared" si="50"/>
        <v>doc-2583:1</v>
      </c>
      <c r="C3230" t="s">
        <v>10185</v>
      </c>
      <c r="D3230">
        <v>1</v>
      </c>
      <c r="E3230" t="s">
        <v>3172</v>
      </c>
    </row>
    <row r="3231" spans="2:5">
      <c r="B3231" s="65" t="str">
        <f t="shared" si="50"/>
        <v>doc-2583:2</v>
      </c>
      <c r="C3231" t="s">
        <v>10185</v>
      </c>
      <c r="D3231">
        <v>2</v>
      </c>
      <c r="E3231" t="s">
        <v>2020</v>
      </c>
    </row>
    <row r="3232" spans="2:5">
      <c r="B3232" s="65" t="str">
        <f t="shared" si="50"/>
        <v>doc-2583:3</v>
      </c>
      <c r="C3232" t="s">
        <v>10185</v>
      </c>
      <c r="D3232">
        <v>3</v>
      </c>
      <c r="E3232" t="s">
        <v>2003</v>
      </c>
    </row>
    <row r="3233" spans="2:5">
      <c r="B3233" s="65" t="str">
        <f t="shared" si="50"/>
        <v>doc-2584:1</v>
      </c>
      <c r="C3233" t="s">
        <v>10186</v>
      </c>
      <c r="D3233">
        <v>1</v>
      </c>
      <c r="E3233" t="s">
        <v>1645</v>
      </c>
    </row>
    <row r="3234" spans="2:5">
      <c r="B3234" s="65" t="str">
        <f t="shared" si="50"/>
        <v>doc-2584:2</v>
      </c>
      <c r="C3234" t="s">
        <v>10186</v>
      </c>
      <c r="D3234">
        <v>2</v>
      </c>
      <c r="E3234" t="s">
        <v>2026</v>
      </c>
    </row>
    <row r="3235" spans="2:5">
      <c r="B3235" s="65" t="str">
        <f t="shared" si="50"/>
        <v>doc-2584:3</v>
      </c>
      <c r="C3235" t="s">
        <v>10186</v>
      </c>
      <c r="D3235">
        <v>3</v>
      </c>
      <c r="E3235" t="s">
        <v>2033</v>
      </c>
    </row>
    <row r="3236" spans="2:5">
      <c r="B3236" s="65" t="str">
        <f t="shared" si="50"/>
        <v>doc-2584:4</v>
      </c>
      <c r="C3236" t="s">
        <v>10186</v>
      </c>
      <c r="D3236">
        <v>4</v>
      </c>
      <c r="E3236" t="s">
        <v>1997</v>
      </c>
    </row>
    <row r="3237" spans="2:5">
      <c r="B3237" s="65" t="str">
        <f t="shared" si="50"/>
        <v>doc-2584:5</v>
      </c>
      <c r="C3237" t="s">
        <v>10186</v>
      </c>
      <c r="D3237">
        <v>5</v>
      </c>
      <c r="E3237" t="s">
        <v>2146</v>
      </c>
    </row>
    <row r="3238" spans="2:5">
      <c r="B3238" s="65" t="str">
        <f t="shared" si="50"/>
        <v>doc-2584:6</v>
      </c>
      <c r="C3238" t="s">
        <v>10186</v>
      </c>
      <c r="D3238">
        <v>6</v>
      </c>
      <c r="E3238" t="s">
        <v>1632</v>
      </c>
    </row>
    <row r="3239" spans="2:5">
      <c r="B3239" s="65" t="str">
        <f t="shared" si="50"/>
        <v>doc-2585:1</v>
      </c>
      <c r="C3239" t="s">
        <v>10187</v>
      </c>
      <c r="D3239">
        <v>1</v>
      </c>
      <c r="E3239" t="s">
        <v>1645</v>
      </c>
    </row>
    <row r="3240" spans="2:5">
      <c r="B3240" s="65" t="str">
        <f t="shared" si="50"/>
        <v>doc-2585:2</v>
      </c>
      <c r="C3240" t="s">
        <v>10187</v>
      </c>
      <c r="D3240">
        <v>2</v>
      </c>
      <c r="E3240" t="s">
        <v>2026</v>
      </c>
    </row>
    <row r="3241" spans="2:5">
      <c r="B3241" s="65" t="str">
        <f t="shared" si="50"/>
        <v>doc-2585:3</v>
      </c>
      <c r="C3241" t="s">
        <v>10187</v>
      </c>
      <c r="D3241">
        <v>3</v>
      </c>
      <c r="E3241" t="s">
        <v>2033</v>
      </c>
    </row>
    <row r="3242" spans="2:5">
      <c r="B3242" s="65" t="str">
        <f t="shared" si="50"/>
        <v>doc-2585:4</v>
      </c>
      <c r="C3242" t="s">
        <v>10187</v>
      </c>
      <c r="D3242">
        <v>4</v>
      </c>
      <c r="E3242" t="s">
        <v>1997</v>
      </c>
    </row>
    <row r="3243" spans="2:5">
      <c r="B3243" s="65" t="str">
        <f t="shared" si="50"/>
        <v>doc-2585:5</v>
      </c>
      <c r="C3243" t="s">
        <v>10187</v>
      </c>
      <c r="D3243">
        <v>5</v>
      </c>
      <c r="E3243" t="s">
        <v>2146</v>
      </c>
    </row>
    <row r="3244" spans="2:5">
      <c r="B3244" s="65" t="str">
        <f t="shared" si="50"/>
        <v>doc-2586:1</v>
      </c>
      <c r="C3244" t="s">
        <v>10188</v>
      </c>
      <c r="D3244">
        <v>1</v>
      </c>
      <c r="E3244" t="s">
        <v>1782</v>
      </c>
    </row>
    <row r="3245" spans="2:5">
      <c r="B3245" s="65" t="str">
        <f t="shared" si="50"/>
        <v>doc-2586:2</v>
      </c>
      <c r="C3245" t="s">
        <v>10188</v>
      </c>
      <c r="D3245">
        <v>2</v>
      </c>
      <c r="E3245" t="s">
        <v>2720</v>
      </c>
    </row>
    <row r="3246" spans="2:5">
      <c r="B3246" s="65" t="str">
        <f t="shared" si="50"/>
        <v>doc-2587:1</v>
      </c>
      <c r="C3246" t="s">
        <v>10189</v>
      </c>
      <c r="D3246">
        <v>1</v>
      </c>
      <c r="E3246" t="s">
        <v>2720</v>
      </c>
    </row>
    <row r="3247" spans="2:5">
      <c r="B3247" s="65" t="str">
        <f t="shared" si="50"/>
        <v>doc-2587:2</v>
      </c>
      <c r="C3247" t="s">
        <v>10189</v>
      </c>
      <c r="D3247">
        <v>2</v>
      </c>
      <c r="E3247" t="s">
        <v>2600</v>
      </c>
    </row>
    <row r="3248" spans="2:5">
      <c r="B3248" s="65" t="str">
        <f t="shared" si="50"/>
        <v>doc-2587:3</v>
      </c>
      <c r="C3248" t="s">
        <v>10189</v>
      </c>
      <c r="D3248">
        <v>3</v>
      </c>
      <c r="E3248" t="s">
        <v>2651</v>
      </c>
    </row>
    <row r="3249" spans="2:5">
      <c r="B3249" s="65" t="str">
        <f t="shared" si="50"/>
        <v>doc-2587:4</v>
      </c>
      <c r="C3249" t="s">
        <v>10189</v>
      </c>
      <c r="D3249">
        <v>4</v>
      </c>
      <c r="E3249" t="s">
        <v>2735</v>
      </c>
    </row>
    <row r="3250" spans="2:5">
      <c r="B3250" s="65" t="str">
        <f t="shared" si="50"/>
        <v>doc-2587:5</v>
      </c>
      <c r="C3250" t="s">
        <v>10189</v>
      </c>
      <c r="D3250">
        <v>5</v>
      </c>
      <c r="E3250" t="s">
        <v>2670</v>
      </c>
    </row>
    <row r="3251" spans="2:5">
      <c r="B3251" s="65" t="str">
        <f t="shared" si="50"/>
        <v>doc-2587:6</v>
      </c>
      <c r="C3251" t="s">
        <v>10189</v>
      </c>
      <c r="D3251">
        <v>6</v>
      </c>
      <c r="E3251" t="s">
        <v>2664</v>
      </c>
    </row>
    <row r="3252" spans="2:5">
      <c r="B3252" s="65" t="str">
        <f t="shared" si="50"/>
        <v>doc-2593:1</v>
      </c>
      <c r="C3252" t="s">
        <v>10190</v>
      </c>
      <c r="D3252">
        <v>1</v>
      </c>
      <c r="E3252" t="s">
        <v>2130</v>
      </c>
    </row>
    <row r="3253" spans="2:5">
      <c r="B3253" s="65" t="str">
        <f t="shared" si="50"/>
        <v>doc-2593:2</v>
      </c>
      <c r="C3253" t="s">
        <v>10190</v>
      </c>
      <c r="D3253">
        <v>2</v>
      </c>
      <c r="E3253" t="s">
        <v>2023</v>
      </c>
    </row>
    <row r="3254" spans="2:5">
      <c r="B3254" s="65" t="str">
        <f t="shared" si="50"/>
        <v>doc-2593:3</v>
      </c>
      <c r="C3254" t="s">
        <v>10190</v>
      </c>
      <c r="D3254">
        <v>3</v>
      </c>
      <c r="E3254" t="s">
        <v>2121</v>
      </c>
    </row>
    <row r="3255" spans="2:5">
      <c r="B3255" s="65" t="str">
        <f t="shared" si="50"/>
        <v>doc-2593:4</v>
      </c>
      <c r="C3255" t="s">
        <v>10190</v>
      </c>
      <c r="D3255">
        <v>4</v>
      </c>
      <c r="E3255" t="s">
        <v>2849</v>
      </c>
    </row>
    <row r="3256" spans="2:5">
      <c r="B3256" s="65" t="str">
        <f t="shared" si="50"/>
        <v>doc-2593:5</v>
      </c>
      <c r="C3256" t="s">
        <v>10190</v>
      </c>
      <c r="D3256">
        <v>5</v>
      </c>
      <c r="E3256" t="s">
        <v>296</v>
      </c>
    </row>
    <row r="3257" spans="2:5">
      <c r="B3257" s="65" t="str">
        <f t="shared" si="50"/>
        <v>doc-2594:1</v>
      </c>
      <c r="C3257" t="s">
        <v>10191</v>
      </c>
      <c r="D3257">
        <v>1</v>
      </c>
      <c r="E3257" t="s">
        <v>2130</v>
      </c>
    </row>
    <row r="3258" spans="2:5">
      <c r="B3258" s="65" t="str">
        <f t="shared" si="50"/>
        <v>doc-2594:2</v>
      </c>
      <c r="C3258" t="s">
        <v>10191</v>
      </c>
      <c r="D3258">
        <v>2</v>
      </c>
      <c r="E3258" t="s">
        <v>2023</v>
      </c>
    </row>
    <row r="3259" spans="2:5">
      <c r="B3259" s="65" t="str">
        <f t="shared" si="50"/>
        <v>doc-2594:3</v>
      </c>
      <c r="C3259" t="s">
        <v>10191</v>
      </c>
      <c r="D3259">
        <v>3</v>
      </c>
      <c r="E3259" t="s">
        <v>2121</v>
      </c>
    </row>
    <row r="3260" spans="2:5">
      <c r="B3260" s="65" t="str">
        <f t="shared" si="50"/>
        <v>doc-2594:4</v>
      </c>
      <c r="C3260" t="s">
        <v>10191</v>
      </c>
      <c r="D3260">
        <v>4</v>
      </c>
      <c r="E3260" t="s">
        <v>296</v>
      </c>
    </row>
    <row r="3261" spans="2:5">
      <c r="B3261" s="65" t="str">
        <f t="shared" si="50"/>
        <v>doc-2594:5</v>
      </c>
      <c r="C3261" t="s">
        <v>10191</v>
      </c>
      <c r="D3261">
        <v>5</v>
      </c>
      <c r="E3261" t="s">
        <v>2849</v>
      </c>
    </row>
    <row r="3262" spans="2:5">
      <c r="B3262" s="65" t="str">
        <f t="shared" si="50"/>
        <v>doc-2595:1</v>
      </c>
      <c r="C3262" t="s">
        <v>10192</v>
      </c>
      <c r="D3262">
        <v>1</v>
      </c>
      <c r="E3262" t="s">
        <v>2846</v>
      </c>
    </row>
    <row r="3263" spans="2:5">
      <c r="B3263" s="65" t="str">
        <f t="shared" si="50"/>
        <v>doc-2595:2</v>
      </c>
      <c r="C3263" t="s">
        <v>10192</v>
      </c>
      <c r="D3263">
        <v>2</v>
      </c>
      <c r="E3263" t="s">
        <v>2023</v>
      </c>
    </row>
    <row r="3264" spans="2:5">
      <c r="B3264" s="65" t="str">
        <f t="shared" si="50"/>
        <v>doc-2595:3</v>
      </c>
      <c r="C3264" t="s">
        <v>10192</v>
      </c>
      <c r="D3264">
        <v>3</v>
      </c>
      <c r="E3264" t="s">
        <v>296</v>
      </c>
    </row>
    <row r="3265" spans="2:5">
      <c r="B3265" s="65" t="str">
        <f t="shared" si="50"/>
        <v>doc-2595:4</v>
      </c>
      <c r="C3265" t="s">
        <v>10192</v>
      </c>
      <c r="D3265">
        <v>4</v>
      </c>
      <c r="E3265" t="s">
        <v>2849</v>
      </c>
    </row>
    <row r="3266" spans="2:5">
      <c r="B3266" s="65" t="str">
        <f t="shared" si="50"/>
        <v>doc-2595:5</v>
      </c>
      <c r="C3266" t="s">
        <v>10192</v>
      </c>
      <c r="D3266">
        <v>5</v>
      </c>
      <c r="E3266" t="s">
        <v>2020</v>
      </c>
    </row>
    <row r="3267" spans="2:5">
      <c r="B3267" s="65" t="str">
        <f t="shared" si="50"/>
        <v>doc-2595:6</v>
      </c>
      <c r="C3267" t="s">
        <v>10192</v>
      </c>
      <c r="D3267">
        <v>6</v>
      </c>
      <c r="E3267" t="s">
        <v>2121</v>
      </c>
    </row>
    <row r="3268" spans="2:5">
      <c r="B3268" s="65" t="str">
        <f t="shared" ref="B3268:B3331" si="51">$C3268&amp;":"&amp;$D3268</f>
        <v>doc-2596:1</v>
      </c>
      <c r="C3268" t="s">
        <v>10193</v>
      </c>
      <c r="D3268">
        <v>1</v>
      </c>
      <c r="E3268" t="s">
        <v>2911</v>
      </c>
    </row>
    <row r="3269" spans="2:5">
      <c r="B3269" s="65" t="str">
        <f t="shared" si="51"/>
        <v>doc-2596:2</v>
      </c>
      <c r="C3269" t="s">
        <v>10193</v>
      </c>
      <c r="D3269">
        <v>2</v>
      </c>
      <c r="E3269" t="s">
        <v>2903</v>
      </c>
    </row>
    <row r="3270" spans="2:5">
      <c r="B3270" s="65" t="str">
        <f t="shared" si="51"/>
        <v>doc-2596:3</v>
      </c>
      <c r="C3270" t="s">
        <v>10193</v>
      </c>
      <c r="D3270">
        <v>3</v>
      </c>
      <c r="E3270" t="s">
        <v>3010</v>
      </c>
    </row>
    <row r="3271" spans="2:5">
      <c r="B3271" s="65" t="str">
        <f t="shared" si="51"/>
        <v>doc-2596:4</v>
      </c>
      <c r="C3271" t="s">
        <v>10193</v>
      </c>
      <c r="D3271">
        <v>4</v>
      </c>
      <c r="E3271" t="s">
        <v>1866</v>
      </c>
    </row>
    <row r="3272" spans="2:5">
      <c r="B3272" s="65" t="str">
        <f t="shared" si="51"/>
        <v>doc-2596:5</v>
      </c>
      <c r="C3272" t="s">
        <v>10193</v>
      </c>
      <c r="D3272">
        <v>5</v>
      </c>
      <c r="E3272" t="s">
        <v>2884</v>
      </c>
    </row>
    <row r="3273" spans="2:5">
      <c r="B3273" s="65" t="str">
        <f t="shared" si="51"/>
        <v>doc-2596:6</v>
      </c>
      <c r="C3273" t="s">
        <v>10193</v>
      </c>
      <c r="D3273">
        <v>6</v>
      </c>
      <c r="E3273" t="s">
        <v>2849</v>
      </c>
    </row>
    <row r="3274" spans="2:5">
      <c r="B3274" s="65" t="str">
        <f t="shared" si="51"/>
        <v>doc-2597:1</v>
      </c>
      <c r="C3274" t="s">
        <v>10194</v>
      </c>
      <c r="D3274">
        <v>1</v>
      </c>
      <c r="E3274" t="s">
        <v>2903</v>
      </c>
    </row>
    <row r="3275" spans="2:5">
      <c r="B3275" s="65" t="str">
        <f t="shared" si="51"/>
        <v>doc-2597:2</v>
      </c>
      <c r="C3275" t="s">
        <v>10194</v>
      </c>
      <c r="D3275">
        <v>2</v>
      </c>
      <c r="E3275" t="s">
        <v>2911</v>
      </c>
    </row>
    <row r="3276" spans="2:5">
      <c r="B3276" s="65" t="str">
        <f t="shared" si="51"/>
        <v>doc-2597:3</v>
      </c>
      <c r="C3276" t="s">
        <v>10194</v>
      </c>
      <c r="D3276">
        <v>3</v>
      </c>
      <c r="E3276" t="s">
        <v>1866</v>
      </c>
    </row>
    <row r="3277" spans="2:5">
      <c r="B3277" s="65" t="str">
        <f t="shared" si="51"/>
        <v>doc-2597:4</v>
      </c>
      <c r="C3277" t="s">
        <v>10194</v>
      </c>
      <c r="D3277">
        <v>4</v>
      </c>
      <c r="E3277" t="s">
        <v>2849</v>
      </c>
    </row>
    <row r="3278" spans="2:5">
      <c r="B3278" s="65" t="str">
        <f t="shared" si="51"/>
        <v>doc-2597:5</v>
      </c>
      <c r="C3278" t="s">
        <v>10194</v>
      </c>
      <c r="D3278">
        <v>5</v>
      </c>
      <c r="E3278" t="s">
        <v>1911</v>
      </c>
    </row>
    <row r="3279" spans="2:5">
      <c r="B3279" s="65" t="str">
        <f t="shared" si="51"/>
        <v>doc-2603:1</v>
      </c>
      <c r="C3279" t="s">
        <v>10195</v>
      </c>
      <c r="D3279">
        <v>1</v>
      </c>
      <c r="E3279" t="s">
        <v>82</v>
      </c>
    </row>
    <row r="3280" spans="2:5">
      <c r="B3280" s="65" t="str">
        <f t="shared" si="51"/>
        <v>doc-2604:1</v>
      </c>
      <c r="C3280" t="s">
        <v>10196</v>
      </c>
      <c r="D3280">
        <v>1</v>
      </c>
      <c r="E3280" t="s">
        <v>82</v>
      </c>
    </row>
    <row r="3281" spans="2:5">
      <c r="B3281" s="65" t="str">
        <f t="shared" si="51"/>
        <v>doc-2605:1</v>
      </c>
      <c r="C3281" t="s">
        <v>10197</v>
      </c>
      <c r="D3281">
        <v>1</v>
      </c>
      <c r="E3281" t="s">
        <v>82</v>
      </c>
    </row>
    <row r="3282" spans="2:5">
      <c r="B3282" s="65" t="str">
        <f t="shared" si="51"/>
        <v>doc-2607:1</v>
      </c>
      <c r="C3282" t="s">
        <v>10198</v>
      </c>
      <c r="D3282">
        <v>1</v>
      </c>
      <c r="E3282" t="s">
        <v>82</v>
      </c>
    </row>
    <row r="3283" spans="2:5">
      <c r="B3283" s="65" t="str">
        <f t="shared" si="51"/>
        <v>doc-2607:2</v>
      </c>
      <c r="C3283" t="s">
        <v>10198</v>
      </c>
      <c r="D3283">
        <v>2</v>
      </c>
      <c r="E3283" t="s">
        <v>1227</v>
      </c>
    </row>
    <row r="3284" spans="2:5">
      <c r="B3284" s="65" t="str">
        <f t="shared" si="51"/>
        <v>doc-2607:3</v>
      </c>
      <c r="C3284" t="s">
        <v>10198</v>
      </c>
      <c r="D3284">
        <v>3</v>
      </c>
      <c r="E3284" t="s">
        <v>1203</v>
      </c>
    </row>
    <row r="3285" spans="2:5">
      <c r="B3285" s="65" t="str">
        <f t="shared" si="51"/>
        <v>doc-2607:4</v>
      </c>
      <c r="C3285" t="s">
        <v>10198</v>
      </c>
      <c r="D3285">
        <v>4</v>
      </c>
      <c r="E3285" t="s">
        <v>1221</v>
      </c>
    </row>
    <row r="3286" spans="2:5">
      <c r="B3286" s="65" t="str">
        <f t="shared" si="51"/>
        <v>doc-2607:5</v>
      </c>
      <c r="C3286" t="s">
        <v>10198</v>
      </c>
      <c r="D3286">
        <v>5</v>
      </c>
      <c r="E3286" t="s">
        <v>2977</v>
      </c>
    </row>
    <row r="3287" spans="2:5">
      <c r="B3287" s="65" t="str">
        <f t="shared" si="51"/>
        <v>doc-2610:1</v>
      </c>
      <c r="C3287" t="s">
        <v>10199</v>
      </c>
      <c r="D3287">
        <v>1</v>
      </c>
      <c r="E3287" t="s">
        <v>82</v>
      </c>
    </row>
    <row r="3288" spans="2:5">
      <c r="B3288" s="65" t="str">
        <f t="shared" si="51"/>
        <v>doc-2611:1</v>
      </c>
      <c r="C3288" t="s">
        <v>10200</v>
      </c>
      <c r="D3288">
        <v>1</v>
      </c>
      <c r="E3288" t="s">
        <v>82</v>
      </c>
    </row>
    <row r="3289" spans="2:5">
      <c r="B3289" s="65" t="str">
        <f t="shared" si="51"/>
        <v>doc-2612:1</v>
      </c>
      <c r="C3289" t="s">
        <v>10201</v>
      </c>
      <c r="D3289">
        <v>1</v>
      </c>
      <c r="E3289" t="s">
        <v>82</v>
      </c>
    </row>
    <row r="3290" spans="2:5">
      <c r="B3290" s="65" t="str">
        <f t="shared" si="51"/>
        <v>doc-2613:1</v>
      </c>
      <c r="C3290" t="s">
        <v>10202</v>
      </c>
      <c r="D3290">
        <v>1</v>
      </c>
      <c r="E3290" t="s">
        <v>1159</v>
      </c>
    </row>
    <row r="3291" spans="2:5">
      <c r="B3291" s="65" t="str">
        <f t="shared" si="51"/>
        <v>doc-2613:2</v>
      </c>
      <c r="C3291" t="s">
        <v>10202</v>
      </c>
      <c r="D3291">
        <v>2</v>
      </c>
      <c r="E3291" t="s">
        <v>2799</v>
      </c>
    </row>
    <row r="3292" spans="2:5">
      <c r="B3292" s="65" t="str">
        <f t="shared" si="51"/>
        <v>doc-2613:3</v>
      </c>
      <c r="C3292" t="s">
        <v>10202</v>
      </c>
      <c r="D3292">
        <v>3</v>
      </c>
      <c r="E3292" t="s">
        <v>2790</v>
      </c>
    </row>
    <row r="3293" spans="2:5">
      <c r="B3293" s="65" t="str">
        <f t="shared" si="51"/>
        <v>doc-2613:4</v>
      </c>
      <c r="C3293" t="s">
        <v>10202</v>
      </c>
      <c r="D3293">
        <v>4</v>
      </c>
      <c r="E3293" t="s">
        <v>2787</v>
      </c>
    </row>
    <row r="3294" spans="2:5">
      <c r="B3294" s="65" t="str">
        <f t="shared" si="51"/>
        <v>doc-2613:5</v>
      </c>
      <c r="C3294" t="s">
        <v>10202</v>
      </c>
      <c r="D3294">
        <v>5</v>
      </c>
      <c r="E3294" t="s">
        <v>3259</v>
      </c>
    </row>
    <row r="3295" spans="2:5">
      <c r="B3295" s="65" t="str">
        <f t="shared" si="51"/>
        <v>doc-2618:1</v>
      </c>
      <c r="C3295" t="s">
        <v>10203</v>
      </c>
      <c r="D3295">
        <v>1</v>
      </c>
      <c r="E3295" t="s">
        <v>3061</v>
      </c>
    </row>
    <row r="3296" spans="2:5">
      <c r="B3296" s="65" t="str">
        <f t="shared" si="51"/>
        <v>doc-2618:2</v>
      </c>
      <c r="C3296" t="s">
        <v>10203</v>
      </c>
      <c r="D3296">
        <v>2</v>
      </c>
      <c r="E3296" t="s">
        <v>254</v>
      </c>
    </row>
    <row r="3297" spans="2:5">
      <c r="B3297" s="65" t="str">
        <f t="shared" si="51"/>
        <v>doc-2619:1</v>
      </c>
      <c r="C3297" t="s">
        <v>10204</v>
      </c>
      <c r="D3297">
        <v>1</v>
      </c>
      <c r="E3297" t="s">
        <v>3061</v>
      </c>
    </row>
    <row r="3298" spans="2:5">
      <c r="B3298" s="65" t="str">
        <f t="shared" si="51"/>
        <v>doc-2619:2</v>
      </c>
      <c r="C3298" t="s">
        <v>10204</v>
      </c>
      <c r="D3298">
        <v>2</v>
      </c>
      <c r="E3298" t="s">
        <v>3050</v>
      </c>
    </row>
    <row r="3299" spans="2:5">
      <c r="B3299" s="65" t="str">
        <f t="shared" si="51"/>
        <v>doc-2619:3</v>
      </c>
      <c r="C3299" t="s">
        <v>10204</v>
      </c>
      <c r="D3299">
        <v>3</v>
      </c>
      <c r="E3299" t="s">
        <v>254</v>
      </c>
    </row>
    <row r="3300" spans="2:5">
      <c r="B3300" s="65" t="str">
        <f t="shared" si="51"/>
        <v>doc-2619:4</v>
      </c>
      <c r="C3300" t="s">
        <v>10204</v>
      </c>
      <c r="D3300">
        <v>4</v>
      </c>
      <c r="E3300" t="s">
        <v>1321</v>
      </c>
    </row>
    <row r="3301" spans="2:5">
      <c r="B3301" s="65" t="str">
        <f t="shared" si="51"/>
        <v>doc-2624:1</v>
      </c>
      <c r="C3301" t="s">
        <v>10205</v>
      </c>
      <c r="D3301">
        <v>1</v>
      </c>
      <c r="E3301" t="s">
        <v>1777</v>
      </c>
    </row>
    <row r="3302" spans="2:5">
      <c r="B3302" s="65" t="str">
        <f t="shared" si="51"/>
        <v>doc-2624:2</v>
      </c>
      <c r="C3302" t="s">
        <v>10205</v>
      </c>
      <c r="D3302">
        <v>2</v>
      </c>
      <c r="E3302" t="s">
        <v>1941</v>
      </c>
    </row>
    <row r="3303" spans="2:5">
      <c r="B3303" s="65" t="str">
        <f t="shared" si="51"/>
        <v>doc-2624:3</v>
      </c>
      <c r="C3303" t="s">
        <v>10205</v>
      </c>
      <c r="D3303">
        <v>3</v>
      </c>
      <c r="E3303" t="s">
        <v>1482</v>
      </c>
    </row>
    <row r="3304" spans="2:5">
      <c r="B3304" s="65" t="str">
        <f t="shared" si="51"/>
        <v>doc-2625:1</v>
      </c>
      <c r="C3304" t="s">
        <v>6154</v>
      </c>
      <c r="D3304">
        <v>1</v>
      </c>
      <c r="E3304" t="s">
        <v>3071</v>
      </c>
    </row>
    <row r="3305" spans="2:5">
      <c r="B3305" s="65" t="str">
        <f t="shared" si="51"/>
        <v>doc-2625:2</v>
      </c>
      <c r="C3305" t="s">
        <v>6154</v>
      </c>
      <c r="D3305">
        <v>2</v>
      </c>
      <c r="E3305" t="s">
        <v>1625</v>
      </c>
    </row>
    <row r="3306" spans="2:5">
      <c r="B3306" s="65" t="str">
        <f t="shared" si="51"/>
        <v>doc-2625:3</v>
      </c>
      <c r="C3306" t="s">
        <v>6154</v>
      </c>
      <c r="D3306">
        <v>3</v>
      </c>
      <c r="E3306" t="s">
        <v>1941</v>
      </c>
    </row>
    <row r="3307" spans="2:5">
      <c r="B3307" s="65" t="str">
        <f t="shared" si="51"/>
        <v>doc-2626:1</v>
      </c>
      <c r="C3307" t="s">
        <v>10206</v>
      </c>
      <c r="D3307">
        <v>1</v>
      </c>
      <c r="E3307" t="s">
        <v>1637</v>
      </c>
    </row>
    <row r="3308" spans="2:5">
      <c r="B3308" s="65" t="str">
        <f t="shared" si="51"/>
        <v>doc-2626:2</v>
      </c>
      <c r="C3308" t="s">
        <v>10206</v>
      </c>
      <c r="D3308">
        <v>2</v>
      </c>
      <c r="E3308" t="s">
        <v>1639</v>
      </c>
    </row>
    <row r="3309" spans="2:5">
      <c r="B3309" s="65" t="str">
        <f t="shared" si="51"/>
        <v>doc-2626:3</v>
      </c>
      <c r="C3309" t="s">
        <v>10206</v>
      </c>
      <c r="D3309">
        <v>3</v>
      </c>
      <c r="E3309" t="s">
        <v>1941</v>
      </c>
    </row>
    <row r="3310" spans="2:5">
      <c r="B3310" s="65" t="str">
        <f t="shared" si="51"/>
        <v>doc-2626:4</v>
      </c>
      <c r="C3310" t="s">
        <v>10206</v>
      </c>
      <c r="D3310">
        <v>4</v>
      </c>
      <c r="E3310" t="s">
        <v>2205</v>
      </c>
    </row>
    <row r="3311" spans="2:5">
      <c r="B3311" s="65" t="str">
        <f t="shared" si="51"/>
        <v>doc-2626:5</v>
      </c>
      <c r="C3311" t="s">
        <v>10206</v>
      </c>
      <c r="D3311">
        <v>5</v>
      </c>
      <c r="E3311" t="s">
        <v>1634</v>
      </c>
    </row>
    <row r="3312" spans="2:5">
      <c r="B3312" s="65" t="str">
        <f t="shared" si="51"/>
        <v>doc-2627:1</v>
      </c>
      <c r="C3312" t="s">
        <v>10207</v>
      </c>
      <c r="D3312">
        <v>1</v>
      </c>
      <c r="E3312" t="s">
        <v>2416</v>
      </c>
    </row>
    <row r="3313" spans="2:5">
      <c r="B3313" s="65" t="str">
        <f t="shared" si="51"/>
        <v>doc-2627:2</v>
      </c>
      <c r="C3313" t="s">
        <v>10207</v>
      </c>
      <c r="D3313">
        <v>2</v>
      </c>
      <c r="E3313" t="s">
        <v>2372</v>
      </c>
    </row>
    <row r="3314" spans="2:5">
      <c r="B3314" s="65" t="str">
        <f t="shared" si="51"/>
        <v>doc-2627:3</v>
      </c>
      <c r="C3314" t="s">
        <v>10207</v>
      </c>
      <c r="D3314">
        <v>3</v>
      </c>
      <c r="E3314" t="s">
        <v>2375</v>
      </c>
    </row>
    <row r="3315" spans="2:5">
      <c r="B3315" s="65" t="str">
        <f t="shared" si="51"/>
        <v>doc-2629:1</v>
      </c>
      <c r="C3315" t="s">
        <v>10208</v>
      </c>
      <c r="D3315">
        <v>1</v>
      </c>
      <c r="E3315" t="s">
        <v>2915</v>
      </c>
    </row>
    <row r="3316" spans="2:5">
      <c r="B3316" s="65" t="str">
        <f t="shared" si="51"/>
        <v>doc-2629:2</v>
      </c>
      <c r="C3316" t="s">
        <v>10208</v>
      </c>
      <c r="D3316">
        <v>2</v>
      </c>
      <c r="E3316" t="s">
        <v>1461</v>
      </c>
    </row>
    <row r="3317" spans="2:5">
      <c r="B3317" s="65" t="str">
        <f t="shared" si="51"/>
        <v>doc-2629:3</v>
      </c>
      <c r="C3317" t="s">
        <v>10208</v>
      </c>
      <c r="D3317">
        <v>3</v>
      </c>
      <c r="E3317" t="s">
        <v>2960</v>
      </c>
    </row>
    <row r="3318" spans="2:5">
      <c r="B3318" s="65" t="str">
        <f t="shared" si="51"/>
        <v>doc-2629:4</v>
      </c>
      <c r="C3318" t="s">
        <v>10208</v>
      </c>
      <c r="D3318">
        <v>4</v>
      </c>
      <c r="E3318" t="s">
        <v>299</v>
      </c>
    </row>
    <row r="3319" spans="2:5">
      <c r="B3319" s="65" t="str">
        <f t="shared" si="51"/>
        <v>doc-2629:5</v>
      </c>
      <c r="C3319" t="s">
        <v>10208</v>
      </c>
      <c r="D3319">
        <v>5</v>
      </c>
      <c r="E3319" t="s">
        <v>254</v>
      </c>
    </row>
    <row r="3320" spans="2:5">
      <c r="B3320" s="65" t="str">
        <f t="shared" si="51"/>
        <v>doc-2630:1</v>
      </c>
      <c r="C3320" t="s">
        <v>128</v>
      </c>
      <c r="D3320">
        <v>1</v>
      </c>
      <c r="E3320" t="s">
        <v>73</v>
      </c>
    </row>
    <row r="3321" spans="2:5">
      <c r="B3321" s="65" t="str">
        <f t="shared" si="51"/>
        <v>doc-2630:2</v>
      </c>
      <c r="C3321" t="s">
        <v>128</v>
      </c>
      <c r="D3321">
        <v>2</v>
      </c>
      <c r="E3321" t="s">
        <v>79</v>
      </c>
    </row>
    <row r="3322" spans="2:5">
      <c r="B3322" s="65" t="str">
        <f t="shared" si="51"/>
        <v>doc-2630:3</v>
      </c>
      <c r="C3322" t="s">
        <v>128</v>
      </c>
      <c r="D3322">
        <v>3</v>
      </c>
      <c r="E3322" t="s">
        <v>87</v>
      </c>
    </row>
    <row r="3323" spans="2:5">
      <c r="B3323" s="65" t="str">
        <f t="shared" si="51"/>
        <v>doc-2630:4</v>
      </c>
      <c r="C3323" t="s">
        <v>128</v>
      </c>
      <c r="D3323">
        <v>4</v>
      </c>
      <c r="E3323" t="s">
        <v>76</v>
      </c>
    </row>
    <row r="3324" spans="2:5">
      <c r="B3324" s="65" t="str">
        <f t="shared" si="51"/>
        <v>doc-2631:1</v>
      </c>
      <c r="C3324" t="s">
        <v>10209</v>
      </c>
      <c r="D3324">
        <v>1</v>
      </c>
      <c r="E3324" t="s">
        <v>3249</v>
      </c>
    </row>
    <row r="3325" spans="2:5">
      <c r="B3325" s="65" t="str">
        <f t="shared" si="51"/>
        <v>doc-2631:2</v>
      </c>
      <c r="C3325" t="s">
        <v>10209</v>
      </c>
      <c r="D3325">
        <v>2</v>
      </c>
      <c r="E3325" t="s">
        <v>2048</v>
      </c>
    </row>
    <row r="3326" spans="2:5">
      <c r="B3326" s="65" t="str">
        <f t="shared" si="51"/>
        <v>doc-2631:3</v>
      </c>
      <c r="C3326" t="s">
        <v>10209</v>
      </c>
      <c r="D3326">
        <v>3</v>
      </c>
      <c r="E3326" t="s">
        <v>1409</v>
      </c>
    </row>
    <row r="3327" spans="2:5">
      <c r="B3327" s="65" t="str">
        <f t="shared" si="51"/>
        <v>doc-2631:4</v>
      </c>
      <c r="C3327" t="s">
        <v>10209</v>
      </c>
      <c r="D3327">
        <v>4</v>
      </c>
      <c r="E3327" t="s">
        <v>3247</v>
      </c>
    </row>
    <row r="3328" spans="2:5">
      <c r="B3328" s="65" t="str">
        <f t="shared" si="51"/>
        <v>doc-2633:1</v>
      </c>
      <c r="C3328" t="s">
        <v>10210</v>
      </c>
      <c r="D3328">
        <v>1</v>
      </c>
      <c r="E3328" t="s">
        <v>1782</v>
      </c>
    </row>
    <row r="3329" spans="2:5">
      <c r="B3329" s="65" t="str">
        <f t="shared" si="51"/>
        <v>doc-2633:2</v>
      </c>
      <c r="C3329" t="s">
        <v>10210</v>
      </c>
      <c r="D3329">
        <v>2</v>
      </c>
      <c r="E3329" t="s">
        <v>1461</v>
      </c>
    </row>
    <row r="3330" spans="2:5">
      <c r="B3330" s="65" t="str">
        <f t="shared" si="51"/>
        <v>doc-2633:3</v>
      </c>
      <c r="C3330" t="s">
        <v>10210</v>
      </c>
      <c r="D3330">
        <v>3</v>
      </c>
      <c r="E3330" t="s">
        <v>2720</v>
      </c>
    </row>
    <row r="3331" spans="2:5">
      <c r="B3331" s="65" t="str">
        <f t="shared" si="51"/>
        <v>doc-2633:4</v>
      </c>
      <c r="C3331" t="s">
        <v>10210</v>
      </c>
      <c r="D3331">
        <v>4</v>
      </c>
      <c r="E3331" t="s">
        <v>1737</v>
      </c>
    </row>
    <row r="3332" spans="2:5">
      <c r="B3332" s="65" t="str">
        <f t="shared" ref="B3332:B3395" si="52">$C3332&amp;":"&amp;$D3332</f>
        <v>doc-2633:5</v>
      </c>
      <c r="C3332" t="s">
        <v>10210</v>
      </c>
      <c r="D3332">
        <v>5</v>
      </c>
      <c r="E3332" t="s">
        <v>299</v>
      </c>
    </row>
    <row r="3333" spans="2:5">
      <c r="B3333" s="65" t="str">
        <f t="shared" si="52"/>
        <v>doc-2633:6</v>
      </c>
      <c r="C3333" t="s">
        <v>10210</v>
      </c>
      <c r="D3333">
        <v>6</v>
      </c>
      <c r="E3333" t="s">
        <v>2960</v>
      </c>
    </row>
    <row r="3334" spans="2:5">
      <c r="B3334" s="65" t="str">
        <f t="shared" si="52"/>
        <v>doc-2633:7</v>
      </c>
      <c r="C3334" t="s">
        <v>10210</v>
      </c>
      <c r="D3334">
        <v>7</v>
      </c>
      <c r="E3334" t="s">
        <v>2664</v>
      </c>
    </row>
    <row r="3335" spans="2:5">
      <c r="B3335" s="65" t="str">
        <f t="shared" si="52"/>
        <v>doc-2635:1</v>
      </c>
      <c r="C3335" t="s">
        <v>10211</v>
      </c>
      <c r="D3335">
        <v>1</v>
      </c>
      <c r="E3335" t="s">
        <v>1321</v>
      </c>
    </row>
    <row r="3336" spans="2:5">
      <c r="B3336" s="65" t="str">
        <f t="shared" si="52"/>
        <v>doc-2635:2</v>
      </c>
      <c r="C3336" t="s">
        <v>10211</v>
      </c>
      <c r="D3336">
        <v>2</v>
      </c>
      <c r="E3336" t="s">
        <v>2915</v>
      </c>
    </row>
    <row r="3337" spans="2:5">
      <c r="B3337" s="65" t="str">
        <f t="shared" si="52"/>
        <v>doc-2635:3</v>
      </c>
      <c r="C3337" t="s">
        <v>10211</v>
      </c>
      <c r="D3337">
        <v>3</v>
      </c>
      <c r="E3337" t="s">
        <v>254</v>
      </c>
    </row>
    <row r="3338" spans="2:5">
      <c r="B3338" s="65" t="str">
        <f t="shared" si="52"/>
        <v>doc-2635:4</v>
      </c>
      <c r="C3338" t="s">
        <v>10211</v>
      </c>
      <c r="D3338">
        <v>4</v>
      </c>
      <c r="E3338" t="s">
        <v>2960</v>
      </c>
    </row>
    <row r="3339" spans="2:5">
      <c r="B3339" s="65" t="str">
        <f t="shared" si="52"/>
        <v>doc-2636:1</v>
      </c>
      <c r="C3339" t="s">
        <v>10212</v>
      </c>
      <c r="D3339">
        <v>1</v>
      </c>
      <c r="E3339" t="s">
        <v>1321</v>
      </c>
    </row>
    <row r="3340" spans="2:5">
      <c r="B3340" s="65" t="str">
        <f t="shared" si="52"/>
        <v>doc-2636:2</v>
      </c>
      <c r="C3340" t="s">
        <v>10212</v>
      </c>
      <c r="D3340">
        <v>2</v>
      </c>
      <c r="E3340" t="s">
        <v>2915</v>
      </c>
    </row>
    <row r="3341" spans="2:5">
      <c r="B3341" s="65" t="str">
        <f t="shared" si="52"/>
        <v>doc-2636:3</v>
      </c>
      <c r="C3341" t="s">
        <v>10212</v>
      </c>
      <c r="D3341">
        <v>3</v>
      </c>
      <c r="E3341" t="s">
        <v>254</v>
      </c>
    </row>
    <row r="3342" spans="2:5">
      <c r="B3342" s="65" t="str">
        <f t="shared" si="52"/>
        <v>doc-2636:4</v>
      </c>
      <c r="C3342" t="s">
        <v>10212</v>
      </c>
      <c r="D3342">
        <v>4</v>
      </c>
      <c r="E3342" t="s">
        <v>2960</v>
      </c>
    </row>
    <row r="3343" spans="2:5">
      <c r="B3343" s="65" t="str">
        <f t="shared" si="52"/>
        <v>doc-2637:1</v>
      </c>
      <c r="C3343" t="s">
        <v>10213</v>
      </c>
      <c r="D3343">
        <v>1</v>
      </c>
      <c r="E3343" t="s">
        <v>2731</v>
      </c>
    </row>
    <row r="3344" spans="2:5">
      <c r="B3344" s="65" t="str">
        <f t="shared" si="52"/>
        <v>doc-2637:2</v>
      </c>
      <c r="C3344" t="s">
        <v>10213</v>
      </c>
      <c r="D3344">
        <v>2</v>
      </c>
      <c r="E3344" t="s">
        <v>2664</v>
      </c>
    </row>
    <row r="3345" spans="2:5">
      <c r="B3345" s="65" t="str">
        <f t="shared" si="52"/>
        <v>doc-2637:3</v>
      </c>
      <c r="C3345" t="s">
        <v>10213</v>
      </c>
      <c r="D3345">
        <v>3</v>
      </c>
      <c r="E3345" t="s">
        <v>2915</v>
      </c>
    </row>
    <row r="3346" spans="2:5">
      <c r="B3346" s="65" t="str">
        <f t="shared" si="52"/>
        <v>doc-2637:4</v>
      </c>
      <c r="C3346" t="s">
        <v>10213</v>
      </c>
      <c r="D3346">
        <v>4</v>
      </c>
      <c r="E3346" t="s">
        <v>299</v>
      </c>
    </row>
    <row r="3347" spans="2:5">
      <c r="B3347" s="65" t="str">
        <f t="shared" si="52"/>
        <v>doc-2638a:1</v>
      </c>
      <c r="C3347" t="s">
        <v>10214</v>
      </c>
      <c r="D3347">
        <v>1</v>
      </c>
      <c r="E3347" t="s">
        <v>2625</v>
      </c>
    </row>
    <row r="3348" spans="2:5">
      <c r="B3348" s="65" t="str">
        <f t="shared" si="52"/>
        <v>doc-2638a:2</v>
      </c>
      <c r="C3348" t="s">
        <v>10214</v>
      </c>
      <c r="D3348">
        <v>2</v>
      </c>
      <c r="E3348" t="s">
        <v>1982</v>
      </c>
    </row>
    <row r="3349" spans="2:5">
      <c r="B3349" s="65" t="str">
        <f t="shared" si="52"/>
        <v>doc-2638a:3</v>
      </c>
      <c r="C3349" t="s">
        <v>10214</v>
      </c>
      <c r="D3349">
        <v>3</v>
      </c>
      <c r="E3349" t="s">
        <v>1941</v>
      </c>
    </row>
    <row r="3350" spans="2:5">
      <c r="B3350" s="65" t="str">
        <f t="shared" si="52"/>
        <v>doc-2638a:4</v>
      </c>
      <c r="C3350" t="s">
        <v>10214</v>
      </c>
      <c r="D3350">
        <v>4</v>
      </c>
      <c r="E3350" t="s">
        <v>2715</v>
      </c>
    </row>
    <row r="3351" spans="2:5">
      <c r="B3351" s="65" t="str">
        <f t="shared" si="52"/>
        <v>doc-2639:1</v>
      </c>
      <c r="C3351" t="s">
        <v>6164</v>
      </c>
      <c r="D3351">
        <v>1</v>
      </c>
      <c r="E3351" t="s">
        <v>2342</v>
      </c>
    </row>
    <row r="3352" spans="2:5">
      <c r="B3352" s="65" t="str">
        <f t="shared" si="52"/>
        <v>doc-2639:2</v>
      </c>
      <c r="C3352" t="s">
        <v>6164</v>
      </c>
      <c r="D3352">
        <v>2</v>
      </c>
      <c r="E3352" t="s">
        <v>1813</v>
      </c>
    </row>
    <row r="3353" spans="2:5">
      <c r="B3353" s="65" t="str">
        <f t="shared" si="52"/>
        <v>doc-2639:3</v>
      </c>
      <c r="C3353" t="s">
        <v>6164</v>
      </c>
      <c r="D3353">
        <v>3</v>
      </c>
      <c r="E3353" t="s">
        <v>2305</v>
      </c>
    </row>
    <row r="3354" spans="2:5">
      <c r="B3354" s="65" t="str">
        <f t="shared" si="52"/>
        <v>doc-2639:4</v>
      </c>
      <c r="C3354" t="s">
        <v>6164</v>
      </c>
      <c r="D3354">
        <v>4</v>
      </c>
      <c r="E3354" t="s">
        <v>296</v>
      </c>
    </row>
    <row r="3355" spans="2:5">
      <c r="B3355" s="65" t="str">
        <f t="shared" si="52"/>
        <v>doc-2639:5</v>
      </c>
      <c r="C3355" t="s">
        <v>6164</v>
      </c>
      <c r="D3355">
        <v>5</v>
      </c>
      <c r="E3355" t="s">
        <v>281</v>
      </c>
    </row>
    <row r="3356" spans="2:5">
      <c r="B3356" s="65" t="str">
        <f t="shared" si="52"/>
        <v>doc-2643:1</v>
      </c>
      <c r="C3356" t="s">
        <v>10215</v>
      </c>
      <c r="D3356">
        <v>1</v>
      </c>
      <c r="E3356" t="s">
        <v>2720</v>
      </c>
    </row>
    <row r="3357" spans="2:5">
      <c r="B3357" s="65" t="str">
        <f t="shared" si="52"/>
        <v>doc-2644:1</v>
      </c>
      <c r="C3357" t="s">
        <v>10216</v>
      </c>
      <c r="D3357">
        <v>1</v>
      </c>
      <c r="E3357" t="s">
        <v>1227</v>
      </c>
    </row>
    <row r="3358" spans="2:5">
      <c r="B3358" s="65" t="str">
        <f t="shared" si="52"/>
        <v>doc-2644:2</v>
      </c>
      <c r="C3358" t="s">
        <v>10216</v>
      </c>
      <c r="D3358">
        <v>2</v>
      </c>
      <c r="E3358" t="s">
        <v>1221</v>
      </c>
    </row>
    <row r="3359" spans="2:5">
      <c r="B3359" s="65" t="str">
        <f t="shared" si="52"/>
        <v>doc-2644:3</v>
      </c>
      <c r="C3359" t="s">
        <v>10216</v>
      </c>
      <c r="D3359">
        <v>3</v>
      </c>
      <c r="E3359" t="s">
        <v>82</v>
      </c>
    </row>
    <row r="3360" spans="2:5">
      <c r="B3360" s="65" t="str">
        <f t="shared" si="52"/>
        <v>doc-2644:4</v>
      </c>
      <c r="C3360" t="s">
        <v>10216</v>
      </c>
      <c r="D3360">
        <v>4</v>
      </c>
      <c r="E3360" t="s">
        <v>1203</v>
      </c>
    </row>
    <row r="3361" spans="2:5">
      <c r="B3361" s="65" t="str">
        <f t="shared" si="52"/>
        <v>doc-2645a:1</v>
      </c>
      <c r="C3361" t="s">
        <v>10217</v>
      </c>
      <c r="D3361">
        <v>1</v>
      </c>
      <c r="E3361" t="s">
        <v>3137</v>
      </c>
    </row>
    <row r="3362" spans="2:5">
      <c r="B3362" s="65" t="str">
        <f t="shared" si="52"/>
        <v>doc-2645a:2</v>
      </c>
      <c r="C3362" t="s">
        <v>10217</v>
      </c>
      <c r="D3362">
        <v>2</v>
      </c>
      <c r="E3362" t="s">
        <v>1994</v>
      </c>
    </row>
    <row r="3363" spans="2:5">
      <c r="B3363" s="65" t="str">
        <f t="shared" si="52"/>
        <v>doc-2645a:3</v>
      </c>
      <c r="C3363" t="s">
        <v>10217</v>
      </c>
      <c r="D3363">
        <v>3</v>
      </c>
      <c r="E3363" t="s">
        <v>3132</v>
      </c>
    </row>
    <row r="3364" spans="2:5">
      <c r="B3364" s="65" t="str">
        <f t="shared" si="52"/>
        <v>doc-2660:1</v>
      </c>
      <c r="C3364" t="s">
        <v>6617</v>
      </c>
      <c r="D3364">
        <v>1</v>
      </c>
      <c r="E3364" t="s">
        <v>2033</v>
      </c>
    </row>
    <row r="3365" spans="2:5">
      <c r="B3365" s="65" t="str">
        <f t="shared" si="52"/>
        <v>doc-2660:2</v>
      </c>
      <c r="C3365" t="s">
        <v>6617</v>
      </c>
      <c r="D3365">
        <v>2</v>
      </c>
      <c r="E3365" t="s">
        <v>2026</v>
      </c>
    </row>
    <row r="3366" spans="2:5">
      <c r="B3366" s="65" t="str">
        <f t="shared" si="52"/>
        <v>doc-2660:3</v>
      </c>
      <c r="C3366" t="s">
        <v>6617</v>
      </c>
      <c r="D3366">
        <v>3</v>
      </c>
      <c r="E3366" t="s">
        <v>1924</v>
      </c>
    </row>
    <row r="3367" spans="2:5">
      <c r="B3367" s="65" t="str">
        <f t="shared" si="52"/>
        <v>doc-2660:4</v>
      </c>
      <c r="C3367" t="s">
        <v>6617</v>
      </c>
      <c r="D3367">
        <v>4</v>
      </c>
      <c r="E3367" t="s">
        <v>1864</v>
      </c>
    </row>
    <row r="3368" spans="2:5">
      <c r="B3368" s="65" t="str">
        <f t="shared" si="52"/>
        <v>doc-2660:5</v>
      </c>
      <c r="C3368" t="s">
        <v>6617</v>
      </c>
      <c r="D3368">
        <v>5</v>
      </c>
      <c r="E3368" t="s">
        <v>1899</v>
      </c>
    </row>
    <row r="3369" spans="2:5">
      <c r="B3369" s="65" t="str">
        <f t="shared" si="52"/>
        <v>doc-2660:6</v>
      </c>
      <c r="C3369" t="s">
        <v>6617</v>
      </c>
      <c r="D3369">
        <v>6</v>
      </c>
      <c r="E3369" t="s">
        <v>1997</v>
      </c>
    </row>
    <row r="3370" spans="2:5">
      <c r="B3370" s="65" t="str">
        <f t="shared" si="52"/>
        <v>doc-2669a:1</v>
      </c>
      <c r="C3370" t="s">
        <v>10218</v>
      </c>
      <c r="D3370">
        <v>1</v>
      </c>
      <c r="E3370" t="s">
        <v>2160</v>
      </c>
    </row>
    <row r="3371" spans="2:5">
      <c r="B3371" s="65" t="str">
        <f t="shared" si="52"/>
        <v>doc-2669a:2</v>
      </c>
      <c r="C3371" t="s">
        <v>10218</v>
      </c>
      <c r="D3371">
        <v>2</v>
      </c>
      <c r="E3371" t="s">
        <v>1988</v>
      </c>
    </row>
    <row r="3372" spans="2:5">
      <c r="B3372" s="65" t="str">
        <f t="shared" si="52"/>
        <v>doc-2669a:3</v>
      </c>
      <c r="C3372" t="s">
        <v>10218</v>
      </c>
      <c r="D3372">
        <v>3</v>
      </c>
      <c r="E3372" t="s">
        <v>2023</v>
      </c>
    </row>
    <row r="3373" spans="2:5">
      <c r="B3373" s="65" t="str">
        <f t="shared" si="52"/>
        <v>doc-2669a:4</v>
      </c>
      <c r="C3373" t="s">
        <v>10218</v>
      </c>
      <c r="D3373">
        <v>4</v>
      </c>
      <c r="E3373" t="s">
        <v>1944</v>
      </c>
    </row>
    <row r="3374" spans="2:5">
      <c r="B3374" s="65" t="str">
        <f t="shared" si="52"/>
        <v>doc-2669a:5</v>
      </c>
      <c r="C3374" t="s">
        <v>10218</v>
      </c>
      <c r="D3374">
        <v>5</v>
      </c>
      <c r="E3374" t="s">
        <v>1105</v>
      </c>
    </row>
    <row r="3375" spans="2:5">
      <c r="B3375" s="65" t="str">
        <f t="shared" si="52"/>
        <v>doc-2669a:6</v>
      </c>
      <c r="C3375" t="s">
        <v>10218</v>
      </c>
      <c r="D3375">
        <v>6</v>
      </c>
      <c r="E3375" t="s">
        <v>2121</v>
      </c>
    </row>
    <row r="3376" spans="2:5">
      <c r="B3376" s="65" t="str">
        <f t="shared" si="52"/>
        <v>doc-2670:1</v>
      </c>
      <c r="C3376" t="s">
        <v>10219</v>
      </c>
      <c r="D3376">
        <v>1</v>
      </c>
      <c r="E3376" t="s">
        <v>1461</v>
      </c>
    </row>
    <row r="3377" spans="2:5">
      <c r="B3377" s="65" t="str">
        <f t="shared" si="52"/>
        <v>doc-2670:2</v>
      </c>
      <c r="C3377" t="s">
        <v>10219</v>
      </c>
      <c r="D3377">
        <v>2</v>
      </c>
      <c r="E3377" t="s">
        <v>90</v>
      </c>
    </row>
    <row r="3378" spans="2:5">
      <c r="B3378" s="65" t="str">
        <f t="shared" si="52"/>
        <v>doc-2670:3</v>
      </c>
      <c r="C3378" t="s">
        <v>10219</v>
      </c>
      <c r="D3378">
        <v>3</v>
      </c>
      <c r="E3378" t="s">
        <v>299</v>
      </c>
    </row>
    <row r="3379" spans="2:5">
      <c r="B3379" s="65" t="str">
        <f t="shared" si="52"/>
        <v>doc-2670:4</v>
      </c>
      <c r="C3379" t="s">
        <v>10219</v>
      </c>
      <c r="D3379">
        <v>4</v>
      </c>
      <c r="E3379" t="s">
        <v>2960</v>
      </c>
    </row>
    <row r="3380" spans="2:5">
      <c r="B3380" s="65" t="str">
        <f t="shared" si="52"/>
        <v>doc-2670:5</v>
      </c>
      <c r="C3380" t="s">
        <v>10219</v>
      </c>
      <c r="D3380">
        <v>5</v>
      </c>
      <c r="E3380" t="s">
        <v>2920</v>
      </c>
    </row>
    <row r="3381" spans="2:5">
      <c r="B3381" s="65" t="str">
        <f t="shared" si="52"/>
        <v>doc-2670:6</v>
      </c>
      <c r="C3381" t="s">
        <v>10219</v>
      </c>
      <c r="D3381">
        <v>6</v>
      </c>
      <c r="E3381" t="s">
        <v>1119</v>
      </c>
    </row>
    <row r="3382" spans="2:5">
      <c r="B3382" s="65" t="str">
        <f t="shared" si="52"/>
        <v>doc-2670:7</v>
      </c>
      <c r="C3382" t="s">
        <v>10219</v>
      </c>
      <c r="D3382">
        <v>7</v>
      </c>
      <c r="E3382" t="s">
        <v>2915</v>
      </c>
    </row>
    <row r="3383" spans="2:5">
      <c r="B3383" s="65" t="str">
        <f t="shared" si="52"/>
        <v>doc-2675:1</v>
      </c>
      <c r="C3383" t="s">
        <v>10220</v>
      </c>
      <c r="D3383">
        <v>1</v>
      </c>
      <c r="E3383" t="s">
        <v>82</v>
      </c>
    </row>
    <row r="3384" spans="2:5">
      <c r="B3384" s="65" t="str">
        <f t="shared" si="52"/>
        <v>doc-2675:2</v>
      </c>
      <c r="C3384" t="s">
        <v>10220</v>
      </c>
      <c r="D3384">
        <v>2</v>
      </c>
      <c r="E3384" t="s">
        <v>1227</v>
      </c>
    </row>
    <row r="3385" spans="2:5">
      <c r="B3385" s="65" t="str">
        <f t="shared" si="52"/>
        <v>doc-2675:3</v>
      </c>
      <c r="C3385" t="s">
        <v>10220</v>
      </c>
      <c r="D3385">
        <v>3</v>
      </c>
      <c r="E3385" t="s">
        <v>1221</v>
      </c>
    </row>
    <row r="3386" spans="2:5">
      <c r="B3386" s="65" t="str">
        <f t="shared" si="52"/>
        <v>doc-2675:4</v>
      </c>
      <c r="C3386" t="s">
        <v>10220</v>
      </c>
      <c r="D3386">
        <v>4</v>
      </c>
      <c r="E3386" t="s">
        <v>2977</v>
      </c>
    </row>
    <row r="3387" spans="2:5">
      <c r="B3387" s="65" t="str">
        <f t="shared" si="52"/>
        <v>doc-2676:1</v>
      </c>
      <c r="C3387" t="s">
        <v>10221</v>
      </c>
      <c r="D3387">
        <v>1</v>
      </c>
      <c r="E3387" t="s">
        <v>82</v>
      </c>
    </row>
    <row r="3388" spans="2:5">
      <c r="B3388" s="65" t="str">
        <f t="shared" si="52"/>
        <v>doc-2676:2</v>
      </c>
      <c r="C3388" t="s">
        <v>10221</v>
      </c>
      <c r="D3388">
        <v>2</v>
      </c>
      <c r="E3388" t="s">
        <v>79</v>
      </c>
    </row>
    <row r="3389" spans="2:5">
      <c r="B3389" s="65" t="str">
        <f t="shared" si="52"/>
        <v>doc-2676:3</v>
      </c>
      <c r="C3389" t="s">
        <v>10221</v>
      </c>
      <c r="D3389">
        <v>3</v>
      </c>
      <c r="E3389" t="s">
        <v>1221</v>
      </c>
    </row>
    <row r="3390" spans="2:5">
      <c r="B3390" s="65" t="str">
        <f t="shared" si="52"/>
        <v>doc-2676:4</v>
      </c>
      <c r="C3390" t="s">
        <v>10221</v>
      </c>
      <c r="D3390">
        <v>4</v>
      </c>
      <c r="E3390" t="s">
        <v>1227</v>
      </c>
    </row>
    <row r="3391" spans="2:5">
      <c r="B3391" s="65" t="str">
        <f t="shared" si="52"/>
        <v>doc-2677:1</v>
      </c>
      <c r="C3391" t="s">
        <v>10222</v>
      </c>
      <c r="D3391">
        <v>1</v>
      </c>
      <c r="E3391" t="s">
        <v>1221</v>
      </c>
    </row>
    <row r="3392" spans="2:5">
      <c r="B3392" s="65" t="str">
        <f t="shared" si="52"/>
        <v>doc-2677:2</v>
      </c>
      <c r="C3392" t="s">
        <v>10222</v>
      </c>
      <c r="D3392">
        <v>2</v>
      </c>
      <c r="E3392" t="s">
        <v>1227</v>
      </c>
    </row>
    <row r="3393" spans="2:5">
      <c r="B3393" s="65" t="str">
        <f t="shared" si="52"/>
        <v>doc-2677:3</v>
      </c>
      <c r="C3393" t="s">
        <v>10222</v>
      </c>
      <c r="D3393">
        <v>3</v>
      </c>
      <c r="E3393" t="s">
        <v>1203</v>
      </c>
    </row>
    <row r="3394" spans="2:5">
      <c r="B3394" s="65" t="str">
        <f t="shared" si="52"/>
        <v>doc-2677:4</v>
      </c>
      <c r="C3394" t="s">
        <v>10222</v>
      </c>
      <c r="D3394">
        <v>4</v>
      </c>
      <c r="E3394" t="s">
        <v>82</v>
      </c>
    </row>
    <row r="3395" spans="2:5">
      <c r="B3395" s="65" t="str">
        <f t="shared" si="52"/>
        <v>doc-2677:5</v>
      </c>
      <c r="C3395" t="s">
        <v>10222</v>
      </c>
      <c r="D3395">
        <v>5</v>
      </c>
      <c r="E3395" t="s">
        <v>1078</v>
      </c>
    </row>
    <row r="3396" spans="2:5">
      <c r="B3396" s="65" t="str">
        <f t="shared" ref="B3396:B3459" si="53">$C3396&amp;":"&amp;$D3396</f>
        <v>doc-2685:1</v>
      </c>
      <c r="C3396" t="s">
        <v>10223</v>
      </c>
      <c r="D3396">
        <v>1</v>
      </c>
      <c r="E3396" t="s">
        <v>1795</v>
      </c>
    </row>
    <row r="3397" spans="2:5">
      <c r="B3397" s="65" t="str">
        <f t="shared" si="53"/>
        <v>doc-2685:2</v>
      </c>
      <c r="C3397" t="s">
        <v>10223</v>
      </c>
      <c r="D3397">
        <v>2</v>
      </c>
      <c r="E3397" t="s">
        <v>1935</v>
      </c>
    </row>
    <row r="3398" spans="2:5">
      <c r="B3398" s="65" t="str">
        <f t="shared" si="53"/>
        <v>doc-2685:3</v>
      </c>
      <c r="C3398" t="s">
        <v>10223</v>
      </c>
      <c r="D3398">
        <v>3</v>
      </c>
      <c r="E3398" t="s">
        <v>1908</v>
      </c>
    </row>
    <row r="3399" spans="2:5">
      <c r="B3399" s="65" t="str">
        <f t="shared" si="53"/>
        <v>doc-2685:4</v>
      </c>
      <c r="C3399" t="s">
        <v>10223</v>
      </c>
      <c r="D3399">
        <v>4</v>
      </c>
      <c r="E3399" t="s">
        <v>1801</v>
      </c>
    </row>
    <row r="3400" spans="2:5">
      <c r="B3400" s="65" t="str">
        <f t="shared" si="53"/>
        <v>doc-2685:5</v>
      </c>
      <c r="C3400" t="s">
        <v>10223</v>
      </c>
      <c r="D3400">
        <v>5</v>
      </c>
      <c r="E3400" t="s">
        <v>1913</v>
      </c>
    </row>
    <row r="3401" spans="2:5">
      <c r="B3401" s="65" t="str">
        <f t="shared" si="53"/>
        <v>doc-2687:1</v>
      </c>
      <c r="C3401" t="s">
        <v>10224</v>
      </c>
      <c r="D3401">
        <v>1</v>
      </c>
      <c r="E3401" t="s">
        <v>2915</v>
      </c>
    </row>
    <row r="3402" spans="2:5">
      <c r="B3402" s="65" t="str">
        <f t="shared" si="53"/>
        <v>doc-2687:2</v>
      </c>
      <c r="C3402" t="s">
        <v>10224</v>
      </c>
      <c r="D3402">
        <v>2</v>
      </c>
      <c r="E3402" t="s">
        <v>2731</v>
      </c>
    </row>
    <row r="3403" spans="2:5">
      <c r="B3403" s="65" t="str">
        <f t="shared" si="53"/>
        <v>doc-2687:3</v>
      </c>
      <c r="C3403" t="s">
        <v>10224</v>
      </c>
      <c r="D3403">
        <v>3</v>
      </c>
      <c r="E3403" t="s">
        <v>1685</v>
      </c>
    </row>
    <row r="3404" spans="2:5">
      <c r="B3404" s="65" t="str">
        <f t="shared" si="53"/>
        <v>doc-2687:4</v>
      </c>
      <c r="C3404" t="s">
        <v>10224</v>
      </c>
      <c r="D3404">
        <v>4</v>
      </c>
      <c r="E3404" t="s">
        <v>1673</v>
      </c>
    </row>
    <row r="3405" spans="2:5">
      <c r="B3405" s="65" t="str">
        <f t="shared" si="53"/>
        <v>doc-2687:5</v>
      </c>
      <c r="C3405" t="s">
        <v>10224</v>
      </c>
      <c r="D3405">
        <v>5</v>
      </c>
      <c r="E3405" t="s">
        <v>1661</v>
      </c>
    </row>
    <row r="3406" spans="2:5">
      <c r="B3406" s="65" t="str">
        <f t="shared" si="53"/>
        <v>doc-2687:6</v>
      </c>
      <c r="C3406" t="s">
        <v>10224</v>
      </c>
      <c r="D3406">
        <v>6</v>
      </c>
      <c r="E3406" t="s">
        <v>90</v>
      </c>
    </row>
    <row r="3407" spans="2:5">
      <c r="B3407" s="65" t="str">
        <f t="shared" si="53"/>
        <v>doc-2687:7</v>
      </c>
      <c r="C3407" t="s">
        <v>10224</v>
      </c>
      <c r="D3407">
        <v>7</v>
      </c>
      <c r="E3407" t="s">
        <v>299</v>
      </c>
    </row>
    <row r="3408" spans="2:5">
      <c r="B3408" s="65" t="str">
        <f t="shared" si="53"/>
        <v>doc-2687:8</v>
      </c>
      <c r="C3408" t="s">
        <v>10224</v>
      </c>
      <c r="D3408">
        <v>8</v>
      </c>
      <c r="E3408" t="s">
        <v>2960</v>
      </c>
    </row>
    <row r="3409" spans="2:5">
      <c r="B3409" s="65" t="str">
        <f t="shared" si="53"/>
        <v>doc-2687:9</v>
      </c>
      <c r="C3409" t="s">
        <v>10224</v>
      </c>
      <c r="D3409">
        <v>9</v>
      </c>
      <c r="E3409" t="s">
        <v>2664</v>
      </c>
    </row>
    <row r="3410" spans="2:5">
      <c r="B3410" s="65" t="str">
        <f t="shared" si="53"/>
        <v>doc-2688:1</v>
      </c>
      <c r="C3410" t="s">
        <v>10225</v>
      </c>
      <c r="D3410">
        <v>1</v>
      </c>
      <c r="E3410" t="s">
        <v>2846</v>
      </c>
    </row>
    <row r="3411" spans="2:5">
      <c r="B3411" s="65" t="str">
        <f t="shared" si="53"/>
        <v>doc-2688:2</v>
      </c>
      <c r="C3411" t="s">
        <v>10225</v>
      </c>
      <c r="D3411">
        <v>2</v>
      </c>
      <c r="E3411" t="s">
        <v>2822</v>
      </c>
    </row>
    <row r="3412" spans="2:5">
      <c r="B3412" s="65" t="str">
        <f t="shared" si="53"/>
        <v>doc-2688:3</v>
      </c>
      <c r="C3412" t="s">
        <v>10225</v>
      </c>
      <c r="D3412">
        <v>3</v>
      </c>
      <c r="E3412" t="s">
        <v>2787</v>
      </c>
    </row>
    <row r="3413" spans="2:5">
      <c r="B3413" s="65" t="str">
        <f t="shared" si="53"/>
        <v>doc-2688:4</v>
      </c>
      <c r="C3413" t="s">
        <v>10225</v>
      </c>
      <c r="D3413">
        <v>4</v>
      </c>
      <c r="E3413" t="s">
        <v>2799</v>
      </c>
    </row>
    <row r="3414" spans="2:5">
      <c r="B3414" s="65" t="str">
        <f t="shared" si="53"/>
        <v>doc-2688:5</v>
      </c>
      <c r="C3414" t="s">
        <v>10225</v>
      </c>
      <c r="D3414">
        <v>5</v>
      </c>
      <c r="E3414" t="s">
        <v>2805</v>
      </c>
    </row>
    <row r="3415" spans="2:5">
      <c r="B3415" s="65" t="str">
        <f t="shared" si="53"/>
        <v>doc-2689:1</v>
      </c>
      <c r="C3415" t="s">
        <v>10226</v>
      </c>
      <c r="D3415">
        <v>1</v>
      </c>
      <c r="E3415" t="s">
        <v>1637</v>
      </c>
    </row>
    <row r="3416" spans="2:5">
      <c r="B3416" s="65" t="str">
        <f t="shared" si="53"/>
        <v>doc-2689:2</v>
      </c>
      <c r="C3416" t="s">
        <v>10226</v>
      </c>
      <c r="D3416">
        <v>2</v>
      </c>
      <c r="E3416" t="s">
        <v>1639</v>
      </c>
    </row>
    <row r="3417" spans="2:5">
      <c r="B3417" s="65" t="str">
        <f t="shared" si="53"/>
        <v>doc-2689:3</v>
      </c>
      <c r="C3417" t="s">
        <v>10226</v>
      </c>
      <c r="D3417">
        <v>3</v>
      </c>
      <c r="E3417" t="s">
        <v>1941</v>
      </c>
    </row>
    <row r="3418" spans="2:5">
      <c r="B3418" s="65" t="str">
        <f t="shared" si="53"/>
        <v>doc-2689:4</v>
      </c>
      <c r="C3418" t="s">
        <v>10226</v>
      </c>
      <c r="D3418">
        <v>4</v>
      </c>
      <c r="E3418" t="s">
        <v>2205</v>
      </c>
    </row>
    <row r="3419" spans="2:5">
      <c r="B3419" s="65" t="str">
        <f t="shared" si="53"/>
        <v>doc-2689:5</v>
      </c>
      <c r="C3419" t="s">
        <v>10226</v>
      </c>
      <c r="D3419">
        <v>5</v>
      </c>
      <c r="E3419" t="s">
        <v>1634</v>
      </c>
    </row>
    <row r="3420" spans="2:5">
      <c r="B3420" s="65" t="str">
        <f t="shared" si="53"/>
        <v>doc-2690:1</v>
      </c>
      <c r="C3420" t="s">
        <v>10227</v>
      </c>
      <c r="D3420">
        <v>1</v>
      </c>
      <c r="E3420" t="s">
        <v>82</v>
      </c>
    </row>
    <row r="3421" spans="2:5">
      <c r="B3421" s="65" t="str">
        <f t="shared" si="53"/>
        <v>doc-2690:2</v>
      </c>
      <c r="C3421" t="s">
        <v>10227</v>
      </c>
      <c r="D3421">
        <v>2</v>
      </c>
      <c r="E3421" t="s">
        <v>1227</v>
      </c>
    </row>
    <row r="3422" spans="2:5">
      <c r="B3422" s="65" t="str">
        <f t="shared" si="53"/>
        <v>doc-2691:1</v>
      </c>
      <c r="C3422" t="s">
        <v>10228</v>
      </c>
      <c r="D3422">
        <v>1</v>
      </c>
      <c r="E3422" t="s">
        <v>82</v>
      </c>
    </row>
    <row r="3423" spans="2:5">
      <c r="B3423" s="65" t="str">
        <f t="shared" si="53"/>
        <v>doc-2694:1</v>
      </c>
      <c r="C3423" t="s">
        <v>10229</v>
      </c>
      <c r="D3423">
        <v>1</v>
      </c>
      <c r="E3423" t="s">
        <v>2823</v>
      </c>
    </row>
    <row r="3424" spans="2:5">
      <c r="B3424" s="65" t="str">
        <f t="shared" si="53"/>
        <v>doc-2694:2</v>
      </c>
      <c r="C3424" t="s">
        <v>10229</v>
      </c>
      <c r="D3424">
        <v>2</v>
      </c>
      <c r="E3424" t="s">
        <v>2779</v>
      </c>
    </row>
    <row r="3425" spans="2:5">
      <c r="B3425" s="65" t="str">
        <f t="shared" si="53"/>
        <v>doc-2694:3</v>
      </c>
      <c r="C3425" t="s">
        <v>10229</v>
      </c>
      <c r="D3425">
        <v>3</v>
      </c>
      <c r="E3425" t="s">
        <v>2799</v>
      </c>
    </row>
    <row r="3426" spans="2:5">
      <c r="B3426" s="65" t="str">
        <f t="shared" si="53"/>
        <v>doc-2695:1</v>
      </c>
      <c r="C3426" t="s">
        <v>10230</v>
      </c>
      <c r="D3426">
        <v>1</v>
      </c>
      <c r="E3426" t="s">
        <v>1773</v>
      </c>
    </row>
    <row r="3427" spans="2:5">
      <c r="B3427" s="65" t="str">
        <f t="shared" si="53"/>
        <v>doc-2697:1</v>
      </c>
      <c r="C3427" t="s">
        <v>134</v>
      </c>
      <c r="D3427">
        <v>1</v>
      </c>
      <c r="E3427" t="s">
        <v>79</v>
      </c>
    </row>
    <row r="3428" spans="2:5">
      <c r="B3428" s="65" t="str">
        <f t="shared" si="53"/>
        <v>doc-2697:2</v>
      </c>
      <c r="C3428" t="s">
        <v>134</v>
      </c>
      <c r="D3428">
        <v>2</v>
      </c>
      <c r="E3428" t="s">
        <v>73</v>
      </c>
    </row>
    <row r="3429" spans="2:5">
      <c r="B3429" s="65" t="str">
        <f t="shared" si="53"/>
        <v>doc-2697:3</v>
      </c>
      <c r="C3429" t="s">
        <v>134</v>
      </c>
      <c r="D3429">
        <v>3</v>
      </c>
      <c r="E3429" t="s">
        <v>90</v>
      </c>
    </row>
    <row r="3430" spans="2:5">
      <c r="B3430" s="65" t="str">
        <f t="shared" si="53"/>
        <v>doc-2697:4</v>
      </c>
      <c r="C3430" t="s">
        <v>134</v>
      </c>
      <c r="D3430">
        <v>4</v>
      </c>
      <c r="E3430" t="s">
        <v>107</v>
      </c>
    </row>
    <row r="3431" spans="2:5">
      <c r="B3431" s="65" t="str">
        <f t="shared" si="53"/>
        <v>doc-2701:1</v>
      </c>
      <c r="C3431" t="s">
        <v>10231</v>
      </c>
      <c r="D3431">
        <v>1</v>
      </c>
      <c r="E3431" t="s">
        <v>1461</v>
      </c>
    </row>
    <row r="3432" spans="2:5">
      <c r="B3432" s="65" t="str">
        <f t="shared" si="53"/>
        <v>doc-2701:2</v>
      </c>
      <c r="C3432" t="s">
        <v>10231</v>
      </c>
      <c r="D3432">
        <v>2</v>
      </c>
      <c r="E3432" t="s">
        <v>2720</v>
      </c>
    </row>
    <row r="3433" spans="2:5">
      <c r="B3433" s="65" t="str">
        <f t="shared" si="53"/>
        <v>doc-2701:3</v>
      </c>
      <c r="C3433" t="s">
        <v>10231</v>
      </c>
      <c r="D3433">
        <v>3</v>
      </c>
      <c r="E3433" t="s">
        <v>299</v>
      </c>
    </row>
    <row r="3434" spans="2:5">
      <c r="B3434" s="65" t="str">
        <f t="shared" si="53"/>
        <v>doc-2701:4</v>
      </c>
      <c r="C3434" t="s">
        <v>10231</v>
      </c>
      <c r="D3434">
        <v>4</v>
      </c>
      <c r="E3434" t="s">
        <v>2960</v>
      </c>
    </row>
    <row r="3435" spans="2:5">
      <c r="B3435" s="65" t="str">
        <f t="shared" si="53"/>
        <v>doc-2701:5</v>
      </c>
      <c r="C3435" t="s">
        <v>10231</v>
      </c>
      <c r="D3435">
        <v>5</v>
      </c>
      <c r="E3435" t="s">
        <v>2664</v>
      </c>
    </row>
    <row r="3436" spans="2:5">
      <c r="B3436" s="65" t="str">
        <f t="shared" si="53"/>
        <v>doc-2701:6</v>
      </c>
      <c r="C3436" t="s">
        <v>10231</v>
      </c>
      <c r="D3436">
        <v>6</v>
      </c>
      <c r="E3436" t="s">
        <v>2915</v>
      </c>
    </row>
    <row r="3437" spans="2:5">
      <c r="B3437" s="65" t="str">
        <f t="shared" si="53"/>
        <v>doc-2702:1</v>
      </c>
      <c r="C3437" t="s">
        <v>10232</v>
      </c>
      <c r="D3437">
        <v>1</v>
      </c>
      <c r="E3437" t="s">
        <v>1461</v>
      </c>
    </row>
    <row r="3438" spans="2:5">
      <c r="B3438" s="65" t="str">
        <f t="shared" si="53"/>
        <v>doc-2702:2</v>
      </c>
      <c r="C3438" t="s">
        <v>10232</v>
      </c>
      <c r="D3438">
        <v>2</v>
      </c>
      <c r="E3438" t="s">
        <v>2957</v>
      </c>
    </row>
    <row r="3439" spans="2:5">
      <c r="B3439" s="65" t="str">
        <f t="shared" si="53"/>
        <v>doc-2702:3</v>
      </c>
      <c r="C3439" t="s">
        <v>10232</v>
      </c>
      <c r="D3439">
        <v>3</v>
      </c>
      <c r="E3439" t="s">
        <v>2960</v>
      </c>
    </row>
    <row r="3440" spans="2:5">
      <c r="B3440" s="65" t="str">
        <f t="shared" si="53"/>
        <v>doc-2703:1</v>
      </c>
      <c r="C3440" t="s">
        <v>10233</v>
      </c>
      <c r="D3440">
        <v>1</v>
      </c>
      <c r="E3440" t="s">
        <v>2915</v>
      </c>
    </row>
    <row r="3441" spans="2:5">
      <c r="B3441" s="65" t="str">
        <f t="shared" si="53"/>
        <v>doc-2703:2</v>
      </c>
      <c r="C3441" t="s">
        <v>10233</v>
      </c>
      <c r="D3441">
        <v>2</v>
      </c>
      <c r="E3441" t="s">
        <v>1685</v>
      </c>
    </row>
    <row r="3442" spans="2:5">
      <c r="B3442" s="65" t="str">
        <f t="shared" si="53"/>
        <v>doc-2703:3</v>
      </c>
      <c r="C3442" t="s">
        <v>10233</v>
      </c>
      <c r="D3442">
        <v>3</v>
      </c>
      <c r="E3442" t="s">
        <v>2731</v>
      </c>
    </row>
    <row r="3443" spans="2:5">
      <c r="B3443" s="65" t="str">
        <f t="shared" si="53"/>
        <v>doc-2703:4</v>
      </c>
      <c r="C3443" t="s">
        <v>10233</v>
      </c>
      <c r="D3443">
        <v>4</v>
      </c>
      <c r="E3443" t="s">
        <v>1673</v>
      </c>
    </row>
    <row r="3444" spans="2:5">
      <c r="B3444" s="65" t="str">
        <f t="shared" si="53"/>
        <v>doc-2703:5</v>
      </c>
      <c r="C3444" t="s">
        <v>10233</v>
      </c>
      <c r="D3444">
        <v>5</v>
      </c>
      <c r="E3444" t="s">
        <v>1661</v>
      </c>
    </row>
    <row r="3445" spans="2:5">
      <c r="B3445" s="65" t="str">
        <f t="shared" si="53"/>
        <v>doc-2703:6</v>
      </c>
      <c r="C3445" t="s">
        <v>10233</v>
      </c>
      <c r="D3445">
        <v>6</v>
      </c>
      <c r="E3445" t="s">
        <v>299</v>
      </c>
    </row>
    <row r="3446" spans="2:5">
      <c r="B3446" s="65" t="str">
        <f t="shared" si="53"/>
        <v>doc-2703:7</v>
      </c>
      <c r="C3446" t="s">
        <v>10233</v>
      </c>
      <c r="D3446">
        <v>7</v>
      </c>
      <c r="E3446" t="s">
        <v>2960</v>
      </c>
    </row>
    <row r="3447" spans="2:5">
      <c r="B3447" s="65" t="str">
        <f t="shared" si="53"/>
        <v>doc-2703:8</v>
      </c>
      <c r="C3447" t="s">
        <v>10233</v>
      </c>
      <c r="D3447">
        <v>8</v>
      </c>
      <c r="E3447" t="s">
        <v>2664</v>
      </c>
    </row>
    <row r="3448" spans="2:5">
      <c r="B3448" s="65" t="str">
        <f t="shared" si="53"/>
        <v>doc-2704:1</v>
      </c>
      <c r="C3448" t="s">
        <v>10234</v>
      </c>
      <c r="D3448">
        <v>1</v>
      </c>
      <c r="E3448" t="s">
        <v>2960</v>
      </c>
    </row>
    <row r="3449" spans="2:5">
      <c r="B3449" s="65" t="str">
        <f t="shared" si="53"/>
        <v>doc-2705:1</v>
      </c>
      <c r="C3449" t="s">
        <v>10235</v>
      </c>
      <c r="D3449">
        <v>1</v>
      </c>
      <c r="E3449" t="s">
        <v>1782</v>
      </c>
    </row>
    <row r="3450" spans="2:5">
      <c r="B3450" s="65" t="str">
        <f t="shared" si="53"/>
        <v>doc-2705:2</v>
      </c>
      <c r="C3450" t="s">
        <v>10235</v>
      </c>
      <c r="D3450">
        <v>2</v>
      </c>
      <c r="E3450" t="s">
        <v>1747</v>
      </c>
    </row>
    <row r="3451" spans="2:5">
      <c r="B3451" s="65" t="str">
        <f t="shared" si="53"/>
        <v>doc-2705:3</v>
      </c>
      <c r="C3451" t="s">
        <v>10235</v>
      </c>
      <c r="D3451">
        <v>3</v>
      </c>
      <c r="E3451" t="s">
        <v>1734</v>
      </c>
    </row>
    <row r="3452" spans="2:5">
      <c r="B3452" s="65" t="str">
        <f t="shared" si="53"/>
        <v>doc-2706:1</v>
      </c>
      <c r="C3452" t="s">
        <v>10236</v>
      </c>
      <c r="D3452">
        <v>1</v>
      </c>
      <c r="E3452" t="s">
        <v>2342</v>
      </c>
    </row>
    <row r="3453" spans="2:5">
      <c r="B3453" s="65" t="str">
        <f t="shared" si="53"/>
        <v>doc-2706:2</v>
      </c>
      <c r="C3453" t="s">
        <v>10236</v>
      </c>
      <c r="D3453">
        <v>2</v>
      </c>
      <c r="E3453" t="s">
        <v>2339</v>
      </c>
    </row>
    <row r="3454" spans="2:5">
      <c r="B3454" s="65" t="str">
        <f t="shared" si="53"/>
        <v>doc-2706:3</v>
      </c>
      <c r="C3454" t="s">
        <v>10236</v>
      </c>
      <c r="D3454">
        <v>3</v>
      </c>
      <c r="E3454" t="s">
        <v>2023</v>
      </c>
    </row>
    <row r="3455" spans="2:5">
      <c r="B3455" s="65" t="str">
        <f t="shared" si="53"/>
        <v>doc-2706:4</v>
      </c>
      <c r="C3455" t="s">
        <v>10236</v>
      </c>
      <c r="D3455">
        <v>4</v>
      </c>
      <c r="E3455" t="s">
        <v>281</v>
      </c>
    </row>
    <row r="3456" spans="2:5">
      <c r="B3456" s="65" t="str">
        <f t="shared" si="53"/>
        <v>doc-2715:1</v>
      </c>
      <c r="C3456" t="s">
        <v>10237</v>
      </c>
      <c r="D3456">
        <v>1</v>
      </c>
      <c r="E3456" t="s">
        <v>90</v>
      </c>
    </row>
    <row r="3457" spans="2:5">
      <c r="B3457" s="65" t="str">
        <f t="shared" si="53"/>
        <v>doc-2715:2</v>
      </c>
      <c r="C3457" t="s">
        <v>10237</v>
      </c>
      <c r="D3457">
        <v>2</v>
      </c>
      <c r="E3457" t="s">
        <v>1854</v>
      </c>
    </row>
    <row r="3458" spans="2:5">
      <c r="B3458" s="65" t="str">
        <f t="shared" si="53"/>
        <v>doc-2715:3</v>
      </c>
      <c r="C3458" t="s">
        <v>10237</v>
      </c>
      <c r="D3458">
        <v>3</v>
      </c>
      <c r="E3458" t="s">
        <v>2003</v>
      </c>
    </row>
    <row r="3459" spans="2:5">
      <c r="B3459" s="65" t="str">
        <f t="shared" si="53"/>
        <v>doc-2715:4</v>
      </c>
      <c r="C3459" t="s">
        <v>10237</v>
      </c>
      <c r="D3459">
        <v>4</v>
      </c>
      <c r="E3459" t="s">
        <v>1916</v>
      </c>
    </row>
    <row r="3460" spans="2:5">
      <c r="B3460" s="65" t="str">
        <f t="shared" ref="B3460:B3523" si="54">$C3460&amp;":"&amp;$D3460</f>
        <v>doc-2715:5</v>
      </c>
      <c r="C3460" t="s">
        <v>10237</v>
      </c>
      <c r="D3460">
        <v>5</v>
      </c>
      <c r="E3460" t="s">
        <v>79</v>
      </c>
    </row>
    <row r="3461" spans="2:5">
      <c r="B3461" s="65" t="str">
        <f t="shared" si="54"/>
        <v>doc-2715:6</v>
      </c>
      <c r="C3461" t="s">
        <v>10237</v>
      </c>
      <c r="D3461">
        <v>6</v>
      </c>
      <c r="E3461" t="s">
        <v>1119</v>
      </c>
    </row>
    <row r="3462" spans="2:5">
      <c r="B3462" s="65" t="str">
        <f t="shared" si="54"/>
        <v>doc-2715:7</v>
      </c>
      <c r="C3462" t="s">
        <v>10237</v>
      </c>
      <c r="D3462">
        <v>7</v>
      </c>
      <c r="E3462" t="s">
        <v>107</v>
      </c>
    </row>
    <row r="3463" spans="2:5">
      <c r="B3463" s="65" t="str">
        <f t="shared" si="54"/>
        <v>doc-2715:8</v>
      </c>
      <c r="C3463" t="s">
        <v>10237</v>
      </c>
      <c r="D3463">
        <v>8</v>
      </c>
      <c r="E3463" t="s">
        <v>1856</v>
      </c>
    </row>
    <row r="3464" spans="2:5">
      <c r="B3464" s="65" t="str">
        <f t="shared" si="54"/>
        <v>doc-2716:1</v>
      </c>
      <c r="C3464" t="s">
        <v>10238</v>
      </c>
      <c r="D3464">
        <v>1</v>
      </c>
      <c r="E3464" t="s">
        <v>2911</v>
      </c>
    </row>
    <row r="3465" spans="2:5">
      <c r="B3465" s="65" t="str">
        <f t="shared" si="54"/>
        <v>doc-2716:2</v>
      </c>
      <c r="C3465" t="s">
        <v>10238</v>
      </c>
      <c r="D3465">
        <v>2</v>
      </c>
      <c r="E3465" t="s">
        <v>2849</v>
      </c>
    </row>
    <row r="3466" spans="2:5">
      <c r="B3466" s="65" t="str">
        <f t="shared" si="54"/>
        <v>doc-2717:1</v>
      </c>
      <c r="C3466" t="s">
        <v>6171</v>
      </c>
      <c r="D3466">
        <v>1</v>
      </c>
      <c r="E3466" t="s">
        <v>1210</v>
      </c>
    </row>
    <row r="3467" spans="2:5">
      <c r="B3467" s="65" t="str">
        <f t="shared" si="54"/>
        <v>doc-2717:1</v>
      </c>
      <c r="C3467" t="s">
        <v>6171</v>
      </c>
      <c r="D3467">
        <v>1</v>
      </c>
      <c r="E3467" t="s">
        <v>1587</v>
      </c>
    </row>
    <row r="3468" spans="2:5">
      <c r="B3468" s="65" t="str">
        <f t="shared" si="54"/>
        <v>doc-2717:2</v>
      </c>
      <c r="C3468" t="s">
        <v>6171</v>
      </c>
      <c r="D3468">
        <v>2</v>
      </c>
      <c r="E3468" t="s">
        <v>2911</v>
      </c>
    </row>
    <row r="3469" spans="2:5">
      <c r="B3469" s="65" t="str">
        <f t="shared" si="54"/>
        <v>doc-2717:3</v>
      </c>
      <c r="C3469" t="s">
        <v>6171</v>
      </c>
      <c r="D3469">
        <v>3</v>
      </c>
      <c r="E3469" t="s">
        <v>2884</v>
      </c>
    </row>
    <row r="3470" spans="2:5">
      <c r="B3470" s="65" t="str">
        <f t="shared" si="54"/>
        <v>doc-2717:4</v>
      </c>
      <c r="C3470" t="s">
        <v>6171</v>
      </c>
      <c r="D3470">
        <v>4</v>
      </c>
      <c r="E3470" t="s">
        <v>2849</v>
      </c>
    </row>
    <row r="3471" spans="2:5">
      <c r="B3471" s="65" t="str">
        <f t="shared" si="54"/>
        <v>doc-2717:5</v>
      </c>
      <c r="C3471" t="s">
        <v>6171</v>
      </c>
      <c r="D3471">
        <v>5</v>
      </c>
      <c r="E3471" t="s">
        <v>1584</v>
      </c>
    </row>
    <row r="3472" spans="2:5">
      <c r="B3472" s="65" t="str">
        <f t="shared" si="54"/>
        <v>doc-2719:1</v>
      </c>
      <c r="C3472" t="s">
        <v>10239</v>
      </c>
      <c r="D3472">
        <v>1</v>
      </c>
      <c r="E3472" t="s">
        <v>2903</v>
      </c>
    </row>
    <row r="3473" spans="2:5">
      <c r="B3473" s="65" t="str">
        <f t="shared" si="54"/>
        <v>doc-2719:2</v>
      </c>
      <c r="C3473" t="s">
        <v>10239</v>
      </c>
      <c r="D3473">
        <v>2</v>
      </c>
      <c r="E3473" t="s">
        <v>2911</v>
      </c>
    </row>
    <row r="3474" spans="2:5">
      <c r="B3474" s="65" t="str">
        <f t="shared" si="54"/>
        <v>doc-2719:3</v>
      </c>
      <c r="C3474" t="s">
        <v>10239</v>
      </c>
      <c r="D3474">
        <v>3</v>
      </c>
      <c r="E3474" t="s">
        <v>1866</v>
      </c>
    </row>
    <row r="3475" spans="2:5">
      <c r="B3475" s="65" t="str">
        <f t="shared" si="54"/>
        <v>doc-2719:4</v>
      </c>
      <c r="C3475" t="s">
        <v>10239</v>
      </c>
      <c r="D3475">
        <v>4</v>
      </c>
      <c r="E3475" t="s">
        <v>2849</v>
      </c>
    </row>
    <row r="3476" spans="2:5">
      <c r="B3476" s="65" t="str">
        <f t="shared" si="54"/>
        <v>doc-2719:5</v>
      </c>
      <c r="C3476" t="s">
        <v>10239</v>
      </c>
      <c r="D3476">
        <v>5</v>
      </c>
      <c r="E3476" t="s">
        <v>3010</v>
      </c>
    </row>
    <row r="3477" spans="2:5">
      <c r="B3477" s="65" t="str">
        <f t="shared" si="54"/>
        <v>doc-2720:1</v>
      </c>
      <c r="C3477" t="s">
        <v>10240</v>
      </c>
      <c r="D3477">
        <v>1</v>
      </c>
      <c r="E3477" t="s">
        <v>3097</v>
      </c>
    </row>
    <row r="3478" spans="2:5">
      <c r="B3478" s="65" t="str">
        <f t="shared" si="54"/>
        <v>doc-2720:2</v>
      </c>
      <c r="C3478" t="s">
        <v>10240</v>
      </c>
      <c r="D3478">
        <v>2</v>
      </c>
      <c r="E3478" t="s">
        <v>1905</v>
      </c>
    </row>
    <row r="3479" spans="2:5">
      <c r="B3479" s="65" t="str">
        <f t="shared" si="54"/>
        <v>doc-2721:1</v>
      </c>
      <c r="C3479" t="s">
        <v>10241</v>
      </c>
      <c r="D3479">
        <v>1</v>
      </c>
      <c r="E3479" t="s">
        <v>2494</v>
      </c>
    </row>
    <row r="3480" spans="2:5">
      <c r="B3480" s="65" t="str">
        <f t="shared" si="54"/>
        <v>doc-2721:2</v>
      </c>
      <c r="C3480" t="s">
        <v>10241</v>
      </c>
      <c r="D3480">
        <v>2</v>
      </c>
      <c r="E3480" t="s">
        <v>2422</v>
      </c>
    </row>
    <row r="3481" spans="2:5">
      <c r="B3481" s="65" t="str">
        <f t="shared" si="54"/>
        <v>doc-2722:1</v>
      </c>
      <c r="C3481" t="s">
        <v>10242</v>
      </c>
      <c r="D3481">
        <v>1</v>
      </c>
      <c r="E3481" t="s">
        <v>2497</v>
      </c>
    </row>
    <row r="3482" spans="2:5">
      <c r="B3482" s="65" t="str">
        <f t="shared" si="54"/>
        <v>doc-2722:2</v>
      </c>
      <c r="C3482" t="s">
        <v>10242</v>
      </c>
      <c r="D3482">
        <v>2</v>
      </c>
      <c r="E3482" t="s">
        <v>2422</v>
      </c>
    </row>
    <row r="3483" spans="2:5">
      <c r="B3483" s="65" t="str">
        <f t="shared" si="54"/>
        <v>doc-2723:1</v>
      </c>
      <c r="C3483" t="s">
        <v>6177</v>
      </c>
      <c r="D3483">
        <v>1</v>
      </c>
      <c r="E3483" t="s">
        <v>2494</v>
      </c>
    </row>
    <row r="3484" spans="2:5">
      <c r="B3484" s="65" t="str">
        <f t="shared" si="54"/>
        <v>doc-2723:2</v>
      </c>
      <c r="C3484" t="s">
        <v>6177</v>
      </c>
      <c r="D3484">
        <v>2</v>
      </c>
      <c r="E3484" t="s">
        <v>2422</v>
      </c>
    </row>
    <row r="3485" spans="2:5">
      <c r="B3485" s="65" t="str">
        <f t="shared" si="54"/>
        <v>doc-2723:3</v>
      </c>
      <c r="C3485" t="s">
        <v>6177</v>
      </c>
      <c r="D3485">
        <v>3</v>
      </c>
      <c r="E3485" t="s">
        <v>1968</v>
      </c>
    </row>
    <row r="3486" spans="2:5">
      <c r="B3486" s="65" t="str">
        <f t="shared" si="54"/>
        <v>doc-2723:4</v>
      </c>
      <c r="C3486" t="s">
        <v>6177</v>
      </c>
      <c r="D3486">
        <v>4</v>
      </c>
      <c r="E3486" t="s">
        <v>1737</v>
      </c>
    </row>
    <row r="3487" spans="2:5">
      <c r="B3487" s="65" t="str">
        <f t="shared" si="54"/>
        <v>doc-2724:1</v>
      </c>
      <c r="C3487" t="s">
        <v>10243</v>
      </c>
      <c r="D3487">
        <v>1</v>
      </c>
      <c r="E3487" t="s">
        <v>2874</v>
      </c>
    </row>
    <row r="3488" spans="2:5">
      <c r="B3488" s="65" t="str">
        <f t="shared" si="54"/>
        <v>doc-2724:2</v>
      </c>
      <c r="C3488" t="s">
        <v>10243</v>
      </c>
      <c r="D3488">
        <v>2</v>
      </c>
      <c r="E3488" t="s">
        <v>2825</v>
      </c>
    </row>
    <row r="3489" spans="2:5">
      <c r="B3489" s="65" t="str">
        <f t="shared" si="54"/>
        <v>doc-2724:3</v>
      </c>
      <c r="C3489" t="s">
        <v>10243</v>
      </c>
      <c r="D3489">
        <v>3</v>
      </c>
      <c r="E3489" t="s">
        <v>2023</v>
      </c>
    </row>
    <row r="3490" spans="2:5">
      <c r="B3490" s="65" t="str">
        <f t="shared" si="54"/>
        <v>doc-2724:4</v>
      </c>
      <c r="C3490" t="s">
        <v>10243</v>
      </c>
      <c r="D3490">
        <v>4</v>
      </c>
      <c r="E3490" t="s">
        <v>2020</v>
      </c>
    </row>
    <row r="3491" spans="2:5">
      <c r="B3491" s="65" t="str">
        <f t="shared" si="54"/>
        <v>doc-2724:5</v>
      </c>
      <c r="C3491" t="s">
        <v>10243</v>
      </c>
      <c r="D3491">
        <v>5</v>
      </c>
      <c r="E3491" t="s">
        <v>2860</v>
      </c>
    </row>
    <row r="3492" spans="2:5">
      <c r="B3492" s="65" t="str">
        <f t="shared" si="54"/>
        <v>doc-2724:6</v>
      </c>
      <c r="C3492" t="s">
        <v>10243</v>
      </c>
      <c r="D3492">
        <v>6</v>
      </c>
      <c r="E3492" t="s">
        <v>2849</v>
      </c>
    </row>
    <row r="3493" spans="2:5">
      <c r="B3493" s="65" t="str">
        <f t="shared" si="54"/>
        <v>doc-2726:1</v>
      </c>
      <c r="C3493" t="s">
        <v>10244</v>
      </c>
      <c r="D3493">
        <v>1</v>
      </c>
      <c r="E3493" t="s">
        <v>2130</v>
      </c>
    </row>
    <row r="3494" spans="2:5">
      <c r="B3494" s="65" t="str">
        <f t="shared" si="54"/>
        <v>doc-2726:2</v>
      </c>
      <c r="C3494" t="s">
        <v>10244</v>
      </c>
      <c r="D3494">
        <v>2</v>
      </c>
      <c r="E3494" t="s">
        <v>2023</v>
      </c>
    </row>
    <row r="3495" spans="2:5">
      <c r="B3495" s="65" t="str">
        <f t="shared" si="54"/>
        <v>doc-2726:3</v>
      </c>
      <c r="C3495" t="s">
        <v>10244</v>
      </c>
      <c r="D3495">
        <v>3</v>
      </c>
      <c r="E3495" t="s">
        <v>296</v>
      </c>
    </row>
    <row r="3496" spans="2:5">
      <c r="B3496" s="65" t="str">
        <f t="shared" si="54"/>
        <v>doc-2726:4</v>
      </c>
      <c r="C3496" t="s">
        <v>10244</v>
      </c>
      <c r="D3496">
        <v>4</v>
      </c>
      <c r="E3496" t="s">
        <v>2849</v>
      </c>
    </row>
    <row r="3497" spans="2:5">
      <c r="B3497" s="65" t="str">
        <f t="shared" si="54"/>
        <v>doc-2726:5</v>
      </c>
      <c r="C3497" t="s">
        <v>10244</v>
      </c>
      <c r="D3497">
        <v>5</v>
      </c>
      <c r="E3497" t="s">
        <v>2121</v>
      </c>
    </row>
    <row r="3498" spans="2:5">
      <c r="B3498" s="65" t="str">
        <f t="shared" si="54"/>
        <v>doc-2726:6</v>
      </c>
      <c r="C3498" t="s">
        <v>10244</v>
      </c>
      <c r="D3498">
        <v>6</v>
      </c>
      <c r="E3498" t="s">
        <v>1559</v>
      </c>
    </row>
    <row r="3499" spans="2:5">
      <c r="B3499" s="65" t="str">
        <f t="shared" si="54"/>
        <v>doc-2730:1</v>
      </c>
      <c r="C3499" t="s">
        <v>10245</v>
      </c>
      <c r="D3499">
        <v>1</v>
      </c>
      <c r="E3499" t="s">
        <v>2048</v>
      </c>
    </row>
    <row r="3500" spans="2:5">
      <c r="B3500" s="65" t="str">
        <f t="shared" si="54"/>
        <v>doc-2730:2</v>
      </c>
      <c r="C3500" t="s">
        <v>10245</v>
      </c>
      <c r="D3500">
        <v>2</v>
      </c>
      <c r="E3500" t="s">
        <v>1409</v>
      </c>
    </row>
    <row r="3501" spans="2:5">
      <c r="B3501" s="65" t="str">
        <f t="shared" si="54"/>
        <v>doc-2730:3</v>
      </c>
      <c r="C3501" t="s">
        <v>10245</v>
      </c>
      <c r="D3501">
        <v>3</v>
      </c>
      <c r="E3501" t="s">
        <v>1428</v>
      </c>
    </row>
    <row r="3502" spans="2:5">
      <c r="B3502" s="65" t="str">
        <f t="shared" si="54"/>
        <v>doc-2743:1</v>
      </c>
      <c r="C3502" t="s">
        <v>10246</v>
      </c>
      <c r="D3502">
        <v>1</v>
      </c>
      <c r="E3502" t="s">
        <v>2026</v>
      </c>
    </row>
    <row r="3503" spans="2:5">
      <c r="B3503" s="65" t="str">
        <f t="shared" si="54"/>
        <v>doc-2743:2</v>
      </c>
      <c r="C3503" t="s">
        <v>10246</v>
      </c>
      <c r="D3503">
        <v>2</v>
      </c>
      <c r="E3503" t="s">
        <v>1849</v>
      </c>
    </row>
    <row r="3504" spans="2:5">
      <c r="B3504" s="65" t="str">
        <f t="shared" si="54"/>
        <v>doc-2743:3</v>
      </c>
      <c r="C3504" t="s">
        <v>10246</v>
      </c>
      <c r="D3504">
        <v>3</v>
      </c>
      <c r="E3504" t="s">
        <v>1875</v>
      </c>
    </row>
    <row r="3505" spans="2:5">
      <c r="B3505" s="65" t="str">
        <f t="shared" si="54"/>
        <v>doc-2744:1</v>
      </c>
      <c r="C3505" t="s">
        <v>10247</v>
      </c>
      <c r="D3505">
        <v>1</v>
      </c>
      <c r="E3505" t="s">
        <v>1637</v>
      </c>
    </row>
    <row r="3506" spans="2:5">
      <c r="B3506" s="65" t="str">
        <f t="shared" si="54"/>
        <v>doc-2744:2</v>
      </c>
      <c r="C3506" t="s">
        <v>10247</v>
      </c>
      <c r="D3506">
        <v>2</v>
      </c>
      <c r="E3506" t="s">
        <v>1639</v>
      </c>
    </row>
    <row r="3507" spans="2:5">
      <c r="B3507" s="65" t="str">
        <f t="shared" si="54"/>
        <v>doc-2744:3</v>
      </c>
      <c r="C3507" t="s">
        <v>10247</v>
      </c>
      <c r="D3507">
        <v>3</v>
      </c>
      <c r="E3507" t="s">
        <v>1941</v>
      </c>
    </row>
    <row r="3508" spans="2:5">
      <c r="B3508" s="65" t="str">
        <f t="shared" si="54"/>
        <v>doc-2744:4</v>
      </c>
      <c r="C3508" t="s">
        <v>10247</v>
      </c>
      <c r="D3508">
        <v>4</v>
      </c>
      <c r="E3508" t="s">
        <v>1634</v>
      </c>
    </row>
    <row r="3509" spans="2:5">
      <c r="B3509" s="65" t="str">
        <f t="shared" si="54"/>
        <v>doc-2745:1</v>
      </c>
      <c r="C3509" t="s">
        <v>10248</v>
      </c>
      <c r="D3509">
        <v>1</v>
      </c>
      <c r="E3509" t="s">
        <v>3061</v>
      </c>
    </row>
    <row r="3510" spans="2:5">
      <c r="B3510" s="65" t="str">
        <f t="shared" si="54"/>
        <v>doc-2745:2</v>
      </c>
      <c r="C3510" t="s">
        <v>10248</v>
      </c>
      <c r="D3510">
        <v>2</v>
      </c>
      <c r="E3510" t="s">
        <v>254</v>
      </c>
    </row>
    <row r="3511" spans="2:5">
      <c r="B3511" s="65" t="str">
        <f t="shared" si="54"/>
        <v>doc-2745:3</v>
      </c>
      <c r="C3511" t="s">
        <v>10248</v>
      </c>
      <c r="D3511">
        <v>3</v>
      </c>
      <c r="E3511" t="s">
        <v>1263</v>
      </c>
    </row>
    <row r="3512" spans="2:5">
      <c r="B3512" s="65" t="str">
        <f t="shared" si="54"/>
        <v>doc-2746:1</v>
      </c>
      <c r="C3512" t="s">
        <v>10249</v>
      </c>
      <c r="D3512">
        <v>1</v>
      </c>
      <c r="E3512" t="s">
        <v>3061</v>
      </c>
    </row>
    <row r="3513" spans="2:5">
      <c r="B3513" s="65" t="str">
        <f t="shared" si="54"/>
        <v>doc-2746:2</v>
      </c>
      <c r="C3513" t="s">
        <v>10249</v>
      </c>
      <c r="D3513">
        <v>2</v>
      </c>
      <c r="E3513" t="s">
        <v>1321</v>
      </c>
    </row>
    <row r="3514" spans="2:5">
      <c r="B3514" s="65" t="str">
        <f t="shared" si="54"/>
        <v>doc-2746:3</v>
      </c>
      <c r="C3514" t="s">
        <v>10249</v>
      </c>
      <c r="D3514">
        <v>3</v>
      </c>
      <c r="E3514" t="s">
        <v>1773</v>
      </c>
    </row>
    <row r="3515" spans="2:5">
      <c r="B3515" s="65" t="str">
        <f t="shared" si="54"/>
        <v>doc-2748:1</v>
      </c>
      <c r="C3515" t="s">
        <v>10250</v>
      </c>
      <c r="D3515">
        <v>1</v>
      </c>
      <c r="E3515" t="s">
        <v>82</v>
      </c>
    </row>
    <row r="3516" spans="2:5">
      <c r="B3516" s="65" t="str">
        <f t="shared" si="54"/>
        <v>doc-2748:2</v>
      </c>
      <c r="C3516" t="s">
        <v>10250</v>
      </c>
      <c r="D3516">
        <v>2</v>
      </c>
      <c r="E3516" t="s">
        <v>1227</v>
      </c>
    </row>
    <row r="3517" spans="2:5">
      <c r="B3517" s="65" t="str">
        <f t="shared" si="54"/>
        <v>doc-2748:3</v>
      </c>
      <c r="C3517" t="s">
        <v>10250</v>
      </c>
      <c r="D3517">
        <v>3</v>
      </c>
      <c r="E3517" t="s">
        <v>1221</v>
      </c>
    </row>
    <row r="3518" spans="2:5">
      <c r="B3518" s="65" t="str">
        <f t="shared" si="54"/>
        <v>doc-2748:4</v>
      </c>
      <c r="C3518" t="s">
        <v>10250</v>
      </c>
      <c r="D3518">
        <v>4</v>
      </c>
      <c r="E3518" t="s">
        <v>1203</v>
      </c>
    </row>
    <row r="3519" spans="2:5">
      <c r="B3519" s="65" t="str">
        <f t="shared" si="54"/>
        <v>doc-2748:5</v>
      </c>
      <c r="C3519" t="s">
        <v>10250</v>
      </c>
      <c r="D3519">
        <v>5</v>
      </c>
      <c r="E3519" t="s">
        <v>2977</v>
      </c>
    </row>
    <row r="3520" spans="2:5">
      <c r="B3520" s="65" t="str">
        <f t="shared" si="54"/>
        <v>doc-2752:1</v>
      </c>
      <c r="C3520" t="s">
        <v>10251</v>
      </c>
      <c r="D3520">
        <v>1</v>
      </c>
      <c r="E3520" t="s">
        <v>82</v>
      </c>
    </row>
    <row r="3521" spans="2:5">
      <c r="B3521" s="65" t="str">
        <f t="shared" si="54"/>
        <v>doc-2753:1</v>
      </c>
      <c r="C3521" t="s">
        <v>10252</v>
      </c>
      <c r="D3521">
        <v>1</v>
      </c>
      <c r="E3521" t="s">
        <v>1221</v>
      </c>
    </row>
    <row r="3522" spans="2:5">
      <c r="B3522" s="65" t="str">
        <f t="shared" si="54"/>
        <v>doc-2753:2</v>
      </c>
      <c r="C3522" t="s">
        <v>10252</v>
      </c>
      <c r="D3522">
        <v>2</v>
      </c>
      <c r="E3522" t="s">
        <v>1227</v>
      </c>
    </row>
    <row r="3523" spans="2:5">
      <c r="B3523" s="65" t="str">
        <f t="shared" si="54"/>
        <v>doc-2753:3</v>
      </c>
      <c r="C3523" t="s">
        <v>10252</v>
      </c>
      <c r="D3523">
        <v>3</v>
      </c>
      <c r="E3523" t="s">
        <v>82</v>
      </c>
    </row>
    <row r="3524" spans="2:5">
      <c r="B3524" s="65" t="str">
        <f t="shared" ref="B3524:B3587" si="55">$C3524&amp;":"&amp;$D3524</f>
        <v>doc-2753:4</v>
      </c>
      <c r="C3524" t="s">
        <v>10252</v>
      </c>
      <c r="D3524">
        <v>4</v>
      </c>
      <c r="E3524" t="s">
        <v>1078</v>
      </c>
    </row>
    <row r="3525" spans="2:5">
      <c r="B3525" s="65" t="str">
        <f t="shared" si="55"/>
        <v>doc-2753:5</v>
      </c>
      <c r="C3525" t="s">
        <v>10252</v>
      </c>
      <c r="D3525">
        <v>5</v>
      </c>
      <c r="E3525" t="s">
        <v>1203</v>
      </c>
    </row>
    <row r="3526" spans="2:5">
      <c r="B3526" s="65" t="str">
        <f t="shared" si="55"/>
        <v>doc-2754:1</v>
      </c>
      <c r="C3526" t="s">
        <v>10253</v>
      </c>
      <c r="D3526">
        <v>1</v>
      </c>
      <c r="E3526" t="s">
        <v>2986</v>
      </c>
    </row>
    <row r="3527" spans="2:5">
      <c r="B3527" s="65" t="str">
        <f t="shared" si="55"/>
        <v>doc-2754:2</v>
      </c>
      <c r="C3527" t="s">
        <v>10253</v>
      </c>
      <c r="D3527">
        <v>2</v>
      </c>
      <c r="E3527" t="s">
        <v>2977</v>
      </c>
    </row>
    <row r="3528" spans="2:5">
      <c r="B3528" s="65" t="str">
        <f t="shared" si="55"/>
        <v>doc-2754:3</v>
      </c>
      <c r="C3528" t="s">
        <v>10253</v>
      </c>
      <c r="D3528">
        <v>3</v>
      </c>
      <c r="E3528" t="s">
        <v>82</v>
      </c>
    </row>
    <row r="3529" spans="2:5">
      <c r="B3529" s="65" t="str">
        <f t="shared" si="55"/>
        <v>doc-2756:1</v>
      </c>
      <c r="C3529" t="s">
        <v>10254</v>
      </c>
      <c r="D3529">
        <v>1</v>
      </c>
      <c r="E3529" t="s">
        <v>1461</v>
      </c>
    </row>
    <row r="3530" spans="2:5">
      <c r="B3530" s="65" t="str">
        <f t="shared" si="55"/>
        <v>doc-2756:2</v>
      </c>
      <c r="C3530" t="s">
        <v>10254</v>
      </c>
      <c r="D3530">
        <v>2</v>
      </c>
      <c r="E3530" t="s">
        <v>82</v>
      </c>
    </row>
    <row r="3531" spans="2:5">
      <c r="B3531" s="65" t="str">
        <f t="shared" si="55"/>
        <v>doc-2756:3</v>
      </c>
      <c r="C3531" t="s">
        <v>10254</v>
      </c>
      <c r="D3531">
        <v>3</v>
      </c>
      <c r="E3531" t="s">
        <v>79</v>
      </c>
    </row>
    <row r="3532" spans="2:5">
      <c r="B3532" s="65" t="str">
        <f t="shared" si="55"/>
        <v>doc-2756:4</v>
      </c>
      <c r="C3532" t="s">
        <v>10254</v>
      </c>
      <c r="D3532">
        <v>4</v>
      </c>
      <c r="E3532" t="s">
        <v>299</v>
      </c>
    </row>
    <row r="3533" spans="2:5">
      <c r="B3533" s="65" t="str">
        <f t="shared" si="55"/>
        <v>doc-2756:5</v>
      </c>
      <c r="C3533" t="s">
        <v>10254</v>
      </c>
      <c r="D3533">
        <v>5</v>
      </c>
      <c r="E3533" t="s">
        <v>2960</v>
      </c>
    </row>
    <row r="3534" spans="2:5">
      <c r="B3534" s="65" t="str">
        <f t="shared" si="55"/>
        <v>doc-2756:6</v>
      </c>
      <c r="C3534" t="s">
        <v>10254</v>
      </c>
      <c r="D3534">
        <v>6</v>
      </c>
      <c r="E3534" t="s">
        <v>1782</v>
      </c>
    </row>
    <row r="3535" spans="2:5">
      <c r="B3535" s="65" t="str">
        <f t="shared" si="55"/>
        <v>doc-2757:1</v>
      </c>
      <c r="C3535" t="s">
        <v>10255</v>
      </c>
      <c r="D3535">
        <v>1</v>
      </c>
      <c r="E3535" t="s">
        <v>82</v>
      </c>
    </row>
    <row r="3536" spans="2:5">
      <c r="B3536" s="65" t="str">
        <f t="shared" si="55"/>
        <v>doc-2757:2</v>
      </c>
      <c r="C3536" t="s">
        <v>10255</v>
      </c>
      <c r="D3536">
        <v>2</v>
      </c>
      <c r="E3536" t="s">
        <v>1227</v>
      </c>
    </row>
    <row r="3537" spans="2:5">
      <c r="B3537" s="65" t="str">
        <f t="shared" si="55"/>
        <v>doc-2757:3</v>
      </c>
      <c r="C3537" t="s">
        <v>10255</v>
      </c>
      <c r="D3537">
        <v>3</v>
      </c>
      <c r="E3537" t="s">
        <v>1221</v>
      </c>
    </row>
    <row r="3538" spans="2:5">
      <c r="B3538" s="65" t="str">
        <f t="shared" si="55"/>
        <v>doc-2757:4</v>
      </c>
      <c r="C3538" t="s">
        <v>10255</v>
      </c>
      <c r="D3538">
        <v>4</v>
      </c>
      <c r="E3538" t="s">
        <v>2977</v>
      </c>
    </row>
    <row r="3539" spans="2:5">
      <c r="B3539" s="65" t="str">
        <f t="shared" si="55"/>
        <v>doc-2758:1</v>
      </c>
      <c r="C3539" t="s">
        <v>10256</v>
      </c>
      <c r="D3539">
        <v>1</v>
      </c>
      <c r="E3539" t="s">
        <v>2130</v>
      </c>
    </row>
    <row r="3540" spans="2:5">
      <c r="B3540" s="65" t="str">
        <f t="shared" si="55"/>
        <v>doc-2758:2</v>
      </c>
      <c r="C3540" t="s">
        <v>10256</v>
      </c>
      <c r="D3540">
        <v>2</v>
      </c>
      <c r="E3540" t="s">
        <v>2023</v>
      </c>
    </row>
    <row r="3541" spans="2:5">
      <c r="B3541" s="65" t="str">
        <f t="shared" si="55"/>
        <v>doc-2758:3</v>
      </c>
      <c r="C3541" t="s">
        <v>10256</v>
      </c>
      <c r="D3541">
        <v>3</v>
      </c>
      <c r="E3541" t="s">
        <v>296</v>
      </c>
    </row>
    <row r="3542" spans="2:5">
      <c r="B3542" s="65" t="str">
        <f t="shared" si="55"/>
        <v>doc-2758:4</v>
      </c>
      <c r="C3542" t="s">
        <v>10256</v>
      </c>
      <c r="D3542">
        <v>4</v>
      </c>
      <c r="E3542" t="s">
        <v>2849</v>
      </c>
    </row>
    <row r="3543" spans="2:5">
      <c r="B3543" s="65" t="str">
        <f t="shared" si="55"/>
        <v>doc-2758:5</v>
      </c>
      <c r="C3543" t="s">
        <v>10256</v>
      </c>
      <c r="D3543">
        <v>5</v>
      </c>
      <c r="E3543" t="s">
        <v>2121</v>
      </c>
    </row>
    <row r="3544" spans="2:5">
      <c r="B3544" s="65" t="str">
        <f t="shared" si="55"/>
        <v>doc-2759:1</v>
      </c>
      <c r="C3544" t="s">
        <v>10257</v>
      </c>
      <c r="D3544">
        <v>1</v>
      </c>
      <c r="E3544" t="s">
        <v>82</v>
      </c>
    </row>
    <row r="3545" spans="2:5">
      <c r="B3545" s="65" t="str">
        <f t="shared" si="55"/>
        <v>doc-2759:2</v>
      </c>
      <c r="C3545" t="s">
        <v>10257</v>
      </c>
      <c r="D3545">
        <v>2</v>
      </c>
      <c r="E3545" t="s">
        <v>79</v>
      </c>
    </row>
    <row r="3546" spans="2:5">
      <c r="B3546" s="65" t="str">
        <f t="shared" si="55"/>
        <v>doc-2760:1</v>
      </c>
      <c r="C3546" t="s">
        <v>10258</v>
      </c>
      <c r="D3546">
        <v>1</v>
      </c>
      <c r="E3546" t="s">
        <v>3050</v>
      </c>
    </row>
    <row r="3547" spans="2:5">
      <c r="B3547" s="65" t="str">
        <f t="shared" si="55"/>
        <v>doc-2760:2</v>
      </c>
      <c r="C3547" t="s">
        <v>10258</v>
      </c>
      <c r="D3547">
        <v>2</v>
      </c>
      <c r="E3547" t="s">
        <v>3053</v>
      </c>
    </row>
    <row r="3548" spans="2:5">
      <c r="B3548" s="65" t="str">
        <f t="shared" si="55"/>
        <v>doc-2760:3</v>
      </c>
      <c r="C3548" t="s">
        <v>10258</v>
      </c>
      <c r="D3548">
        <v>3</v>
      </c>
      <c r="E3548" t="s">
        <v>82</v>
      </c>
    </row>
    <row r="3549" spans="2:5">
      <c r="B3549" s="65" t="str">
        <f t="shared" si="55"/>
        <v>doc-2762:1</v>
      </c>
      <c r="C3549" t="s">
        <v>10259</v>
      </c>
      <c r="D3549">
        <v>1</v>
      </c>
      <c r="E3549" t="s">
        <v>73</v>
      </c>
    </row>
    <row r="3550" spans="2:5">
      <c r="B3550" s="65" t="str">
        <f t="shared" si="55"/>
        <v>doc-2762:2</v>
      </c>
      <c r="C3550" t="s">
        <v>10259</v>
      </c>
      <c r="D3550">
        <v>2</v>
      </c>
      <c r="E3550" t="s">
        <v>1476</v>
      </c>
    </row>
    <row r="3551" spans="2:5">
      <c r="B3551" s="65" t="str">
        <f t="shared" si="55"/>
        <v>doc-2762:3</v>
      </c>
      <c r="C3551" t="s">
        <v>10259</v>
      </c>
      <c r="D3551">
        <v>3</v>
      </c>
      <c r="E3551" t="s">
        <v>1464</v>
      </c>
    </row>
    <row r="3552" spans="2:5">
      <c r="B3552" s="65" t="str">
        <f t="shared" si="55"/>
        <v>doc-2762:4</v>
      </c>
      <c r="C3552" t="s">
        <v>10259</v>
      </c>
      <c r="D3552">
        <v>4</v>
      </c>
      <c r="E3552" t="s">
        <v>1470</v>
      </c>
    </row>
    <row r="3553" spans="2:5">
      <c r="B3553" s="65" t="str">
        <f t="shared" si="55"/>
        <v>doc-2762:5</v>
      </c>
      <c r="C3553" t="s">
        <v>10259</v>
      </c>
      <c r="D3553">
        <v>5</v>
      </c>
      <c r="E3553" t="s">
        <v>1456</v>
      </c>
    </row>
    <row r="3554" spans="2:5">
      <c r="B3554" s="65" t="str">
        <f t="shared" si="55"/>
        <v>doc-2762:6</v>
      </c>
      <c r="C3554" t="s">
        <v>10259</v>
      </c>
      <c r="D3554">
        <v>6</v>
      </c>
      <c r="E3554" t="s">
        <v>1473</v>
      </c>
    </row>
    <row r="3555" spans="2:5">
      <c r="B3555" s="65" t="str">
        <f t="shared" si="55"/>
        <v>doc-2762:7</v>
      </c>
      <c r="C3555" t="s">
        <v>10259</v>
      </c>
      <c r="D3555">
        <v>7</v>
      </c>
      <c r="E3555" t="s">
        <v>79</v>
      </c>
    </row>
    <row r="3556" spans="2:5">
      <c r="B3556" s="65" t="str">
        <f t="shared" si="55"/>
        <v>doc-2762:8</v>
      </c>
      <c r="C3556" t="s">
        <v>10259</v>
      </c>
      <c r="D3556">
        <v>8</v>
      </c>
      <c r="E3556" t="s">
        <v>1739</v>
      </c>
    </row>
    <row r="3557" spans="2:5">
      <c r="B3557" s="65" t="str">
        <f t="shared" si="55"/>
        <v>doc-2763:1</v>
      </c>
      <c r="C3557" t="s">
        <v>10260</v>
      </c>
      <c r="D3557">
        <v>1</v>
      </c>
      <c r="E3557" t="s">
        <v>2731</v>
      </c>
    </row>
    <row r="3558" spans="2:5">
      <c r="B3558" s="65" t="str">
        <f t="shared" si="55"/>
        <v>doc-2763:2</v>
      </c>
      <c r="C3558" t="s">
        <v>10260</v>
      </c>
      <c r="D3558">
        <v>2</v>
      </c>
      <c r="E3558" t="s">
        <v>79</v>
      </c>
    </row>
    <row r="3559" spans="2:5">
      <c r="B3559" s="65" t="str">
        <f t="shared" si="55"/>
        <v>doc-2763:3</v>
      </c>
      <c r="C3559" t="s">
        <v>10260</v>
      </c>
      <c r="D3559">
        <v>3</v>
      </c>
      <c r="E3559" t="s">
        <v>73</v>
      </c>
    </row>
    <row r="3560" spans="2:5">
      <c r="B3560" s="65" t="str">
        <f t="shared" si="55"/>
        <v>doc-2763:4</v>
      </c>
      <c r="C3560" t="s">
        <v>10260</v>
      </c>
      <c r="D3560">
        <v>4</v>
      </c>
      <c r="E3560" t="s">
        <v>2664</v>
      </c>
    </row>
    <row r="3561" spans="2:5">
      <c r="B3561" s="65" t="str">
        <f t="shared" si="55"/>
        <v>doc-2764b:1</v>
      </c>
      <c r="C3561" t="s">
        <v>6184</v>
      </c>
      <c r="D3561">
        <v>1</v>
      </c>
      <c r="E3561" t="s">
        <v>1777</v>
      </c>
    </row>
    <row r="3562" spans="2:5">
      <c r="B3562" s="65" t="str">
        <f t="shared" si="55"/>
        <v>doc-2764b:2</v>
      </c>
      <c r="C3562" t="s">
        <v>6184</v>
      </c>
      <c r="D3562">
        <v>2</v>
      </c>
      <c r="E3562" t="s">
        <v>2954</v>
      </c>
    </row>
    <row r="3563" spans="2:5">
      <c r="B3563" s="65" t="str">
        <f t="shared" si="55"/>
        <v>doc-2764b:3</v>
      </c>
      <c r="C3563" t="s">
        <v>6184</v>
      </c>
      <c r="D3563">
        <v>3</v>
      </c>
      <c r="E3563" t="s">
        <v>1941</v>
      </c>
    </row>
    <row r="3564" spans="2:5">
      <c r="B3564" s="65" t="str">
        <f t="shared" si="55"/>
        <v>doc-2764b:4</v>
      </c>
      <c r="C3564" t="s">
        <v>6184</v>
      </c>
      <c r="D3564">
        <v>4</v>
      </c>
      <c r="E3564" t="s">
        <v>1482</v>
      </c>
    </row>
    <row r="3565" spans="2:5">
      <c r="B3565" s="65" t="str">
        <f t="shared" si="55"/>
        <v>doc-2765b:1</v>
      </c>
      <c r="C3565" t="s">
        <v>6191</v>
      </c>
      <c r="D3565">
        <v>1</v>
      </c>
      <c r="E3565" t="s">
        <v>1777</v>
      </c>
    </row>
    <row r="3566" spans="2:5">
      <c r="B3566" s="65" t="str">
        <f t="shared" si="55"/>
        <v>doc-2765b:2</v>
      </c>
      <c r="C3566" t="s">
        <v>6191</v>
      </c>
      <c r="D3566">
        <v>2</v>
      </c>
      <c r="E3566" t="s">
        <v>1482</v>
      </c>
    </row>
    <row r="3567" spans="2:5">
      <c r="B3567" s="65" t="str">
        <f t="shared" si="55"/>
        <v>doc-2765b:3</v>
      </c>
      <c r="C3567" t="s">
        <v>6191</v>
      </c>
      <c r="D3567">
        <v>3</v>
      </c>
      <c r="E3567" t="s">
        <v>1941</v>
      </c>
    </row>
    <row r="3568" spans="2:5">
      <c r="B3568" s="65" t="str">
        <f t="shared" si="55"/>
        <v>doc-2766:1</v>
      </c>
      <c r="C3568" t="s">
        <v>10261</v>
      </c>
      <c r="D3568">
        <v>1</v>
      </c>
      <c r="E3568" t="s">
        <v>2810</v>
      </c>
    </row>
    <row r="3569" spans="2:5">
      <c r="B3569" s="65" t="str">
        <f t="shared" si="55"/>
        <v>doc-2766:2</v>
      </c>
      <c r="C3569" t="s">
        <v>10261</v>
      </c>
      <c r="D3569">
        <v>2</v>
      </c>
      <c r="E3569" t="s">
        <v>3088</v>
      </c>
    </row>
    <row r="3570" spans="2:5">
      <c r="B3570" s="65" t="str">
        <f t="shared" si="55"/>
        <v>doc-2766:3</v>
      </c>
      <c r="C3570" t="s">
        <v>10261</v>
      </c>
      <c r="D3570">
        <v>3</v>
      </c>
      <c r="E3570" t="s">
        <v>2805</v>
      </c>
    </row>
    <row r="3571" spans="2:5">
      <c r="B3571" s="65" t="str">
        <f t="shared" si="55"/>
        <v>doc-2767:1</v>
      </c>
      <c r="C3571" t="s">
        <v>10262</v>
      </c>
      <c r="D3571">
        <v>1</v>
      </c>
      <c r="E3571" t="s">
        <v>2944</v>
      </c>
    </row>
    <row r="3572" spans="2:5">
      <c r="B3572" s="65" t="str">
        <f t="shared" si="55"/>
        <v>doc-2767:2</v>
      </c>
      <c r="C3572" t="s">
        <v>10262</v>
      </c>
      <c r="D3572">
        <v>2</v>
      </c>
      <c r="E3572" t="s">
        <v>1795</v>
      </c>
    </row>
    <row r="3573" spans="2:5">
      <c r="B3573" s="65" t="str">
        <f t="shared" si="55"/>
        <v>doc-2767:3</v>
      </c>
      <c r="C3573" t="s">
        <v>10262</v>
      </c>
      <c r="D3573">
        <v>3</v>
      </c>
      <c r="E3573" t="s">
        <v>2943</v>
      </c>
    </row>
    <row r="3574" spans="2:5">
      <c r="B3574" s="65" t="str">
        <f t="shared" si="55"/>
        <v>doc-2767:4</v>
      </c>
      <c r="C3574" t="s">
        <v>10262</v>
      </c>
      <c r="D3574">
        <v>4</v>
      </c>
      <c r="E3574" t="s">
        <v>254</v>
      </c>
    </row>
    <row r="3575" spans="2:5">
      <c r="B3575" s="65" t="str">
        <f t="shared" si="55"/>
        <v>doc-2767:5</v>
      </c>
      <c r="C3575" t="s">
        <v>10262</v>
      </c>
      <c r="D3575">
        <v>5</v>
      </c>
      <c r="E3575" t="s">
        <v>1321</v>
      </c>
    </row>
    <row r="3576" spans="2:5">
      <c r="B3576" s="65" t="str">
        <f t="shared" si="55"/>
        <v>doc-2767:6</v>
      </c>
      <c r="C3576" t="s">
        <v>10262</v>
      </c>
      <c r="D3576">
        <v>6</v>
      </c>
      <c r="E3576" t="s">
        <v>1461</v>
      </c>
    </row>
    <row r="3577" spans="2:5">
      <c r="B3577" s="65" t="str">
        <f t="shared" si="55"/>
        <v>doc-2768:1</v>
      </c>
      <c r="C3577" t="s">
        <v>10263</v>
      </c>
      <c r="D3577">
        <v>1</v>
      </c>
      <c r="E3577" t="s">
        <v>2911</v>
      </c>
    </row>
    <row r="3578" spans="2:5">
      <c r="B3578" s="65" t="str">
        <f t="shared" si="55"/>
        <v>doc-2768:2</v>
      </c>
      <c r="C3578" t="s">
        <v>10263</v>
      </c>
      <c r="D3578">
        <v>2</v>
      </c>
      <c r="E3578" t="s">
        <v>2849</v>
      </c>
    </row>
    <row r="3579" spans="2:5">
      <c r="B3579" s="65" t="str">
        <f t="shared" si="55"/>
        <v>doc-2768:3</v>
      </c>
      <c r="C3579" t="s">
        <v>10263</v>
      </c>
      <c r="D3579">
        <v>3</v>
      </c>
      <c r="E3579" t="s">
        <v>2884</v>
      </c>
    </row>
    <row r="3580" spans="2:5">
      <c r="B3580" s="65" t="str">
        <f t="shared" si="55"/>
        <v>doc-2770:1</v>
      </c>
      <c r="C3580" t="s">
        <v>10264</v>
      </c>
      <c r="D3580">
        <v>1</v>
      </c>
      <c r="E3580" t="s">
        <v>1461</v>
      </c>
    </row>
    <row r="3581" spans="2:5">
      <c r="B3581" s="65" t="str">
        <f t="shared" si="55"/>
        <v>doc-2770:2</v>
      </c>
      <c r="C3581" t="s">
        <v>10264</v>
      </c>
      <c r="D3581">
        <v>2</v>
      </c>
      <c r="E3581" t="s">
        <v>2720</v>
      </c>
    </row>
    <row r="3582" spans="2:5">
      <c r="B3582" s="65" t="str">
        <f t="shared" si="55"/>
        <v>doc-2770:3</v>
      </c>
      <c r="C3582" t="s">
        <v>10264</v>
      </c>
      <c r="D3582">
        <v>3</v>
      </c>
      <c r="E3582" t="s">
        <v>90</v>
      </c>
    </row>
    <row r="3583" spans="2:5">
      <c r="B3583" s="65" t="str">
        <f t="shared" si="55"/>
        <v>doc-2770:4</v>
      </c>
      <c r="C3583" t="s">
        <v>10264</v>
      </c>
      <c r="D3583">
        <v>4</v>
      </c>
      <c r="E3583" t="s">
        <v>1108</v>
      </c>
    </row>
    <row r="3584" spans="2:5">
      <c r="B3584" s="65" t="str">
        <f t="shared" si="55"/>
        <v>doc-2770:5</v>
      </c>
      <c r="C3584" t="s">
        <v>10264</v>
      </c>
      <c r="D3584">
        <v>5</v>
      </c>
      <c r="E3584" t="s">
        <v>299</v>
      </c>
    </row>
    <row r="3585" spans="2:5">
      <c r="B3585" s="65" t="str">
        <f t="shared" si="55"/>
        <v>doc-2770:6</v>
      </c>
      <c r="C3585" t="s">
        <v>10264</v>
      </c>
      <c r="D3585">
        <v>6</v>
      </c>
      <c r="E3585" t="s">
        <v>2960</v>
      </c>
    </row>
    <row r="3586" spans="2:5">
      <c r="B3586" s="65" t="str">
        <f t="shared" si="55"/>
        <v>doc-2770:7</v>
      </c>
      <c r="C3586" t="s">
        <v>10264</v>
      </c>
      <c r="D3586">
        <v>7</v>
      </c>
      <c r="E3586" t="s">
        <v>1782</v>
      </c>
    </row>
    <row r="3587" spans="2:5">
      <c r="B3587" s="65" t="str">
        <f t="shared" si="55"/>
        <v>doc-2770:8</v>
      </c>
      <c r="C3587" t="s">
        <v>10264</v>
      </c>
      <c r="D3587">
        <v>8</v>
      </c>
      <c r="E3587" t="s">
        <v>2954</v>
      </c>
    </row>
    <row r="3588" spans="2:5">
      <c r="B3588" s="65" t="str">
        <f t="shared" ref="B3588:B3651" si="56">$C3588&amp;":"&amp;$D3588</f>
        <v>doc-2770:9</v>
      </c>
      <c r="C3588" t="s">
        <v>10264</v>
      </c>
      <c r="D3588">
        <v>9</v>
      </c>
      <c r="E3588" t="s">
        <v>2664</v>
      </c>
    </row>
    <row r="3589" spans="2:5">
      <c r="B3589" s="65" t="str">
        <f t="shared" si="56"/>
        <v>doc-2770:10</v>
      </c>
      <c r="C3589" t="s">
        <v>10264</v>
      </c>
      <c r="D3589">
        <v>10</v>
      </c>
      <c r="E3589" t="s">
        <v>1119</v>
      </c>
    </row>
    <row r="3590" spans="2:5">
      <c r="B3590" s="65" t="str">
        <f t="shared" si="56"/>
        <v>doc-2772:1</v>
      </c>
      <c r="C3590" t="s">
        <v>10265</v>
      </c>
      <c r="D3590">
        <v>1</v>
      </c>
      <c r="E3590" t="s">
        <v>2339</v>
      </c>
    </row>
    <row r="3591" spans="2:5">
      <c r="B3591" s="65" t="str">
        <f t="shared" si="56"/>
        <v>doc-2772:2</v>
      </c>
      <c r="C3591" t="s">
        <v>10265</v>
      </c>
      <c r="D3591">
        <v>2</v>
      </c>
      <c r="E3591" t="s">
        <v>1988</v>
      </c>
    </row>
    <row r="3592" spans="2:5">
      <c r="B3592" s="65" t="str">
        <f t="shared" si="56"/>
        <v>doc-2772:3</v>
      </c>
      <c r="C3592" t="s">
        <v>10265</v>
      </c>
      <c r="D3592">
        <v>3</v>
      </c>
      <c r="E3592" t="s">
        <v>1944</v>
      </c>
    </row>
    <row r="3593" spans="2:5">
      <c r="B3593" s="65" t="str">
        <f t="shared" si="56"/>
        <v>doc-2772:4</v>
      </c>
      <c r="C3593" t="s">
        <v>10265</v>
      </c>
      <c r="D3593">
        <v>4</v>
      </c>
      <c r="E3593" t="s">
        <v>1813</v>
      </c>
    </row>
    <row r="3594" spans="2:5">
      <c r="B3594" s="65" t="str">
        <f t="shared" si="56"/>
        <v>doc-2773:1</v>
      </c>
      <c r="C3594" t="s">
        <v>10266</v>
      </c>
      <c r="D3594">
        <v>1</v>
      </c>
      <c r="E3594" t="s">
        <v>2339</v>
      </c>
    </row>
    <row r="3595" spans="2:5">
      <c r="B3595" s="65" t="str">
        <f t="shared" si="56"/>
        <v>doc-2773:2</v>
      </c>
      <c r="C3595" t="s">
        <v>10266</v>
      </c>
      <c r="D3595">
        <v>2</v>
      </c>
      <c r="E3595" t="s">
        <v>2292</v>
      </c>
    </row>
    <row r="3596" spans="2:5">
      <c r="B3596" s="65" t="str">
        <f t="shared" si="56"/>
        <v>doc-2773:3</v>
      </c>
      <c r="C3596" t="s">
        <v>10266</v>
      </c>
      <c r="D3596">
        <v>3</v>
      </c>
      <c r="E3596" t="s">
        <v>2148</v>
      </c>
    </row>
    <row r="3597" spans="2:5">
      <c r="B3597" s="65" t="str">
        <f t="shared" si="56"/>
        <v>doc-2773:4</v>
      </c>
      <c r="C3597" t="s">
        <v>10266</v>
      </c>
      <c r="D3597">
        <v>4</v>
      </c>
      <c r="E3597" t="s">
        <v>281</v>
      </c>
    </row>
    <row r="3598" spans="2:5">
      <c r="B3598" s="65" t="str">
        <f t="shared" si="56"/>
        <v>doc-2773:5</v>
      </c>
      <c r="C3598" t="s">
        <v>10266</v>
      </c>
      <c r="D3598">
        <v>5</v>
      </c>
      <c r="E3598" t="s">
        <v>2064</v>
      </c>
    </row>
    <row r="3599" spans="2:5">
      <c r="B3599" s="65" t="str">
        <f t="shared" si="56"/>
        <v>doc-2773:6</v>
      </c>
      <c r="C3599" t="s">
        <v>10266</v>
      </c>
      <c r="D3599">
        <v>6</v>
      </c>
      <c r="E3599" t="s">
        <v>296</v>
      </c>
    </row>
    <row r="3600" spans="2:5">
      <c r="B3600" s="65" t="str">
        <f t="shared" si="56"/>
        <v>doc-2774:1</v>
      </c>
      <c r="C3600" t="s">
        <v>10267</v>
      </c>
      <c r="D3600">
        <v>1</v>
      </c>
      <c r="E3600" t="s">
        <v>1321</v>
      </c>
    </row>
    <row r="3601" spans="2:5">
      <c r="B3601" s="65" t="str">
        <f t="shared" si="56"/>
        <v>doc-2774:2</v>
      </c>
      <c r="C3601" t="s">
        <v>10267</v>
      </c>
      <c r="D3601">
        <v>2</v>
      </c>
      <c r="E3601" t="s">
        <v>1461</v>
      </c>
    </row>
    <row r="3602" spans="2:5">
      <c r="B3602" s="65" t="str">
        <f t="shared" si="56"/>
        <v>doc-2774:3</v>
      </c>
      <c r="C3602" t="s">
        <v>10267</v>
      </c>
      <c r="D3602">
        <v>3</v>
      </c>
      <c r="E3602" t="s">
        <v>2960</v>
      </c>
    </row>
    <row r="3603" spans="2:5">
      <c r="B3603" s="65" t="str">
        <f t="shared" si="56"/>
        <v>doc-2775:1</v>
      </c>
      <c r="C3603" t="s">
        <v>10268</v>
      </c>
      <c r="D3603">
        <v>1</v>
      </c>
      <c r="E3603" t="s">
        <v>1782</v>
      </c>
    </row>
    <row r="3604" spans="2:5">
      <c r="B3604" s="65" t="str">
        <f t="shared" si="56"/>
        <v>doc-2775:2</v>
      </c>
      <c r="C3604" t="s">
        <v>10268</v>
      </c>
      <c r="D3604">
        <v>2</v>
      </c>
      <c r="E3604" t="s">
        <v>1461</v>
      </c>
    </row>
    <row r="3605" spans="2:5">
      <c r="B3605" s="65" t="str">
        <f t="shared" si="56"/>
        <v>doc-2775:3</v>
      </c>
      <c r="C3605" t="s">
        <v>10268</v>
      </c>
      <c r="D3605">
        <v>3</v>
      </c>
      <c r="E3605" t="s">
        <v>2720</v>
      </c>
    </row>
    <row r="3606" spans="2:5">
      <c r="B3606" s="65" t="str">
        <f t="shared" si="56"/>
        <v>doc-2776:1</v>
      </c>
      <c r="C3606" t="s">
        <v>10269</v>
      </c>
      <c r="D3606">
        <v>1</v>
      </c>
      <c r="E3606" t="s">
        <v>1782</v>
      </c>
    </row>
    <row r="3607" spans="2:5">
      <c r="B3607" s="65" t="str">
        <f t="shared" si="56"/>
        <v>doc-2776:2</v>
      </c>
      <c r="C3607" t="s">
        <v>10269</v>
      </c>
      <c r="D3607">
        <v>2</v>
      </c>
      <c r="E3607" t="s">
        <v>1461</v>
      </c>
    </row>
    <row r="3608" spans="2:5">
      <c r="B3608" s="65" t="str">
        <f t="shared" si="56"/>
        <v>doc-2776:3</v>
      </c>
      <c r="C3608" t="s">
        <v>10269</v>
      </c>
      <c r="D3608">
        <v>3</v>
      </c>
      <c r="E3608" t="s">
        <v>2720</v>
      </c>
    </row>
    <row r="3609" spans="2:5">
      <c r="B3609" s="65" t="str">
        <f t="shared" si="56"/>
        <v>doc-2778:1</v>
      </c>
      <c r="C3609" t="s">
        <v>10270</v>
      </c>
      <c r="D3609">
        <v>1</v>
      </c>
      <c r="E3609" t="s">
        <v>1782</v>
      </c>
    </row>
    <row r="3610" spans="2:5">
      <c r="B3610" s="65" t="str">
        <f t="shared" si="56"/>
        <v>doc-2778:2</v>
      </c>
      <c r="C3610" t="s">
        <v>10270</v>
      </c>
      <c r="D3610">
        <v>2</v>
      </c>
      <c r="E3610" t="s">
        <v>1461</v>
      </c>
    </row>
    <row r="3611" spans="2:5">
      <c r="B3611" s="65" t="str">
        <f t="shared" si="56"/>
        <v>doc-2778:3</v>
      </c>
      <c r="C3611" t="s">
        <v>10270</v>
      </c>
      <c r="D3611">
        <v>3</v>
      </c>
      <c r="E3611" t="s">
        <v>2720</v>
      </c>
    </row>
    <row r="3612" spans="2:5">
      <c r="B3612" s="65" t="str">
        <f t="shared" si="56"/>
        <v>doc-2779:1</v>
      </c>
      <c r="C3612" t="s">
        <v>10271</v>
      </c>
      <c r="D3612">
        <v>1</v>
      </c>
      <c r="E3612" t="s">
        <v>1321</v>
      </c>
    </row>
    <row r="3613" spans="2:5">
      <c r="B3613" s="65" t="str">
        <f t="shared" si="56"/>
        <v>doc-2779:2</v>
      </c>
      <c r="C3613" t="s">
        <v>10271</v>
      </c>
      <c r="D3613">
        <v>2</v>
      </c>
      <c r="E3613" t="s">
        <v>2960</v>
      </c>
    </row>
    <row r="3614" spans="2:5">
      <c r="B3614" s="65" t="str">
        <f t="shared" si="56"/>
        <v>doc-2779:3</v>
      </c>
      <c r="C3614" t="s">
        <v>10271</v>
      </c>
      <c r="D3614">
        <v>3</v>
      </c>
      <c r="E3614" t="s">
        <v>2915</v>
      </c>
    </row>
    <row r="3615" spans="2:5">
      <c r="B3615" s="65" t="str">
        <f t="shared" si="56"/>
        <v>doc-2779:4</v>
      </c>
      <c r="C3615" t="s">
        <v>10271</v>
      </c>
      <c r="D3615">
        <v>4</v>
      </c>
      <c r="E3615" t="s">
        <v>2943</v>
      </c>
    </row>
    <row r="3616" spans="2:5">
      <c r="B3616" s="65" t="str">
        <f t="shared" si="56"/>
        <v>doc-2779:5</v>
      </c>
      <c r="C3616" t="s">
        <v>10271</v>
      </c>
      <c r="D3616">
        <v>5</v>
      </c>
      <c r="E3616" t="s">
        <v>1795</v>
      </c>
    </row>
    <row r="3617" spans="2:5">
      <c r="B3617" s="65" t="str">
        <f t="shared" si="56"/>
        <v>doc-2779:6</v>
      </c>
      <c r="C3617" t="s">
        <v>10271</v>
      </c>
      <c r="D3617">
        <v>6</v>
      </c>
      <c r="E3617" t="s">
        <v>254</v>
      </c>
    </row>
    <row r="3618" spans="2:5">
      <c r="B3618" s="65" t="str">
        <f t="shared" si="56"/>
        <v>doc-2780:1</v>
      </c>
      <c r="C3618" t="s">
        <v>10272</v>
      </c>
      <c r="D3618">
        <v>1</v>
      </c>
      <c r="E3618" t="s">
        <v>1078</v>
      </c>
    </row>
    <row r="3619" spans="2:5">
      <c r="B3619" s="65" t="str">
        <f t="shared" si="56"/>
        <v>doc-2780:2</v>
      </c>
      <c r="C3619" t="s">
        <v>10272</v>
      </c>
      <c r="D3619">
        <v>2</v>
      </c>
      <c r="E3619" t="s">
        <v>82</v>
      </c>
    </row>
    <row r="3620" spans="2:5">
      <c r="B3620" s="65" t="str">
        <f t="shared" si="56"/>
        <v>doc-2780:3</v>
      </c>
      <c r="C3620" t="s">
        <v>10272</v>
      </c>
      <c r="D3620">
        <v>3</v>
      </c>
      <c r="E3620" t="s">
        <v>1130</v>
      </c>
    </row>
    <row r="3621" spans="2:5">
      <c r="B3621" s="65" t="str">
        <f t="shared" si="56"/>
        <v>doc-2781:1</v>
      </c>
      <c r="C3621" t="s">
        <v>10273</v>
      </c>
      <c r="D3621">
        <v>1</v>
      </c>
      <c r="E3621" t="s">
        <v>3261</v>
      </c>
    </row>
    <row r="3622" spans="2:5">
      <c r="B3622" s="65" t="str">
        <f t="shared" si="56"/>
        <v>doc-2781:2</v>
      </c>
      <c r="C3622" t="s">
        <v>10273</v>
      </c>
      <c r="D3622">
        <v>2</v>
      </c>
      <c r="E3622" t="s">
        <v>3263</v>
      </c>
    </row>
    <row r="3623" spans="2:5">
      <c r="B3623" s="65" t="str">
        <f t="shared" si="56"/>
        <v>doc-2781:3</v>
      </c>
      <c r="C3623" t="s">
        <v>10273</v>
      </c>
      <c r="D3623">
        <v>3</v>
      </c>
      <c r="E3623" t="s">
        <v>79</v>
      </c>
    </row>
    <row r="3624" spans="2:5">
      <c r="B3624" s="65" t="str">
        <f t="shared" si="56"/>
        <v>doc-2781:4</v>
      </c>
      <c r="C3624" t="s">
        <v>10273</v>
      </c>
      <c r="D3624">
        <v>4</v>
      </c>
      <c r="E3624" t="s">
        <v>1763</v>
      </c>
    </row>
    <row r="3625" spans="2:5">
      <c r="B3625" s="65" t="str">
        <f t="shared" si="56"/>
        <v>doc-2782:1</v>
      </c>
      <c r="C3625" t="s">
        <v>10274</v>
      </c>
      <c r="D3625">
        <v>1</v>
      </c>
      <c r="E3625" t="s">
        <v>82</v>
      </c>
    </row>
    <row r="3626" spans="2:5">
      <c r="B3626" s="65" t="str">
        <f t="shared" si="56"/>
        <v>doc-2782:2</v>
      </c>
      <c r="C3626" t="s">
        <v>10274</v>
      </c>
      <c r="D3626">
        <v>2</v>
      </c>
      <c r="E3626" t="s">
        <v>1221</v>
      </c>
    </row>
    <row r="3627" spans="2:5">
      <c r="B3627" s="65" t="str">
        <f t="shared" si="56"/>
        <v>doc-2782:3</v>
      </c>
      <c r="C3627" t="s">
        <v>10274</v>
      </c>
      <c r="D3627">
        <v>3</v>
      </c>
      <c r="E3627" t="s">
        <v>2977</v>
      </c>
    </row>
    <row r="3628" spans="2:5">
      <c r="B3628" s="65" t="str">
        <f t="shared" si="56"/>
        <v>doc-2782:4</v>
      </c>
      <c r="C3628" t="s">
        <v>10274</v>
      </c>
      <c r="D3628">
        <v>4</v>
      </c>
      <c r="E3628" t="s">
        <v>3061</v>
      </c>
    </row>
    <row r="3629" spans="2:5">
      <c r="B3629" s="65" t="str">
        <f t="shared" si="56"/>
        <v>doc-2782:5</v>
      </c>
      <c r="C3629" t="s">
        <v>10274</v>
      </c>
      <c r="D3629">
        <v>5</v>
      </c>
      <c r="E3629" t="s">
        <v>73</v>
      </c>
    </row>
    <row r="3630" spans="2:5">
      <c r="B3630" s="65" t="str">
        <f t="shared" si="56"/>
        <v>doc-2782:6</v>
      </c>
      <c r="C3630" t="s">
        <v>10274</v>
      </c>
      <c r="D3630">
        <v>6</v>
      </c>
      <c r="E3630" t="s">
        <v>79</v>
      </c>
    </row>
    <row r="3631" spans="2:5">
      <c r="B3631" s="65" t="str">
        <f t="shared" si="56"/>
        <v>doc-2782:7</v>
      </c>
      <c r="C3631" t="s">
        <v>10274</v>
      </c>
      <c r="D3631">
        <v>7</v>
      </c>
      <c r="E3631" t="s">
        <v>254</v>
      </c>
    </row>
    <row r="3632" spans="2:5">
      <c r="B3632" s="65" t="str">
        <f t="shared" si="56"/>
        <v>doc-2783:1</v>
      </c>
      <c r="C3632" t="s">
        <v>10275</v>
      </c>
      <c r="D3632">
        <v>1</v>
      </c>
      <c r="E3632" t="s">
        <v>1795</v>
      </c>
    </row>
    <row r="3633" spans="2:5">
      <c r="B3633" s="65" t="str">
        <f t="shared" si="56"/>
        <v>doc-2783:2</v>
      </c>
      <c r="C3633" t="s">
        <v>10275</v>
      </c>
      <c r="D3633">
        <v>2</v>
      </c>
      <c r="E3633" t="s">
        <v>1935</v>
      </c>
    </row>
    <row r="3634" spans="2:5">
      <c r="B3634" s="65" t="str">
        <f t="shared" si="56"/>
        <v>doc-2783:3</v>
      </c>
      <c r="C3634" t="s">
        <v>10275</v>
      </c>
      <c r="D3634">
        <v>3</v>
      </c>
      <c r="E3634" t="s">
        <v>1908</v>
      </c>
    </row>
    <row r="3635" spans="2:5">
      <c r="B3635" s="65" t="str">
        <f t="shared" si="56"/>
        <v>doc-2783:4</v>
      </c>
      <c r="C3635" t="s">
        <v>10275</v>
      </c>
      <c r="D3635">
        <v>4</v>
      </c>
      <c r="E3635" t="s">
        <v>1913</v>
      </c>
    </row>
    <row r="3636" spans="2:5">
      <c r="B3636" s="65" t="str">
        <f t="shared" si="56"/>
        <v>doc-2783:5</v>
      </c>
      <c r="C3636" t="s">
        <v>10275</v>
      </c>
      <c r="D3636">
        <v>5</v>
      </c>
      <c r="E3636" t="s">
        <v>1321</v>
      </c>
    </row>
    <row r="3637" spans="2:5">
      <c r="B3637" s="65" t="str">
        <f t="shared" si="56"/>
        <v>doc-2783:6</v>
      </c>
      <c r="C3637" t="s">
        <v>10275</v>
      </c>
      <c r="D3637">
        <v>6</v>
      </c>
      <c r="E3637" t="s">
        <v>254</v>
      </c>
    </row>
    <row r="3638" spans="2:5">
      <c r="B3638" s="65" t="str">
        <f t="shared" si="56"/>
        <v>doc-2783:7</v>
      </c>
      <c r="C3638" t="s">
        <v>10275</v>
      </c>
      <c r="D3638">
        <v>7</v>
      </c>
      <c r="E3638" t="s">
        <v>2943</v>
      </c>
    </row>
    <row r="3639" spans="2:5">
      <c r="B3639" s="65" t="str">
        <f t="shared" si="56"/>
        <v>doc-2784:1</v>
      </c>
      <c r="C3639" t="s">
        <v>10276</v>
      </c>
      <c r="D3639">
        <v>1</v>
      </c>
      <c r="E3639" t="s">
        <v>2148</v>
      </c>
    </row>
    <row r="3640" spans="2:5">
      <c r="B3640" s="65" t="str">
        <f t="shared" si="56"/>
        <v>doc-2784:2</v>
      </c>
      <c r="C3640" t="s">
        <v>10276</v>
      </c>
      <c r="D3640">
        <v>2</v>
      </c>
      <c r="E3640" t="s">
        <v>1988</v>
      </c>
    </row>
    <row r="3641" spans="2:5">
      <c r="B3641" s="65" t="str">
        <f t="shared" si="56"/>
        <v>doc-2784:3</v>
      </c>
      <c r="C3641" t="s">
        <v>10276</v>
      </c>
      <c r="D3641">
        <v>3</v>
      </c>
      <c r="E3641" t="s">
        <v>2064</v>
      </c>
    </row>
    <row r="3642" spans="2:5">
      <c r="B3642" s="65" t="str">
        <f t="shared" si="56"/>
        <v>doc-2784:4</v>
      </c>
      <c r="C3642" t="s">
        <v>10276</v>
      </c>
      <c r="D3642">
        <v>4</v>
      </c>
      <c r="E3642" t="s">
        <v>1813</v>
      </c>
    </row>
    <row r="3643" spans="2:5">
      <c r="B3643" s="65" t="str">
        <f t="shared" si="56"/>
        <v>doc-2785:1</v>
      </c>
      <c r="C3643" t="s">
        <v>10277</v>
      </c>
      <c r="D3643">
        <v>1</v>
      </c>
      <c r="E3643" t="s">
        <v>2148</v>
      </c>
    </row>
    <row r="3644" spans="2:5">
      <c r="B3644" s="65" t="str">
        <f t="shared" si="56"/>
        <v>doc-2785:2</v>
      </c>
      <c r="C3644" t="s">
        <v>10277</v>
      </c>
      <c r="D3644">
        <v>2</v>
      </c>
      <c r="E3644" t="s">
        <v>2494</v>
      </c>
    </row>
    <row r="3645" spans="2:5">
      <c r="B3645" s="65" t="str">
        <f t="shared" si="56"/>
        <v>doc-2785:3</v>
      </c>
      <c r="C3645" t="s">
        <v>10277</v>
      </c>
      <c r="D3645">
        <v>3</v>
      </c>
      <c r="E3645" t="s">
        <v>76</v>
      </c>
    </row>
    <row r="3646" spans="2:5">
      <c r="B3646" s="65" t="str">
        <f t="shared" si="56"/>
        <v>doc-2785:4</v>
      </c>
      <c r="C3646" t="s">
        <v>10277</v>
      </c>
      <c r="D3646">
        <v>4</v>
      </c>
      <c r="E3646" t="s">
        <v>2064</v>
      </c>
    </row>
    <row r="3647" spans="2:5">
      <c r="B3647" s="65" t="str">
        <f t="shared" si="56"/>
        <v>doc-2785:5</v>
      </c>
      <c r="C3647" t="s">
        <v>10277</v>
      </c>
      <c r="D3647">
        <v>5</v>
      </c>
      <c r="E3647" t="s">
        <v>2422</v>
      </c>
    </row>
    <row r="3648" spans="2:5">
      <c r="B3648" s="65" t="str">
        <f t="shared" si="56"/>
        <v>doc-2785:6</v>
      </c>
      <c r="C3648" t="s">
        <v>10277</v>
      </c>
      <c r="D3648">
        <v>6</v>
      </c>
      <c r="E3648" t="s">
        <v>73</v>
      </c>
    </row>
    <row r="3649" spans="2:5">
      <c r="B3649" s="65" t="str">
        <f t="shared" si="56"/>
        <v>doc-2786:1</v>
      </c>
      <c r="C3649" t="s">
        <v>10278</v>
      </c>
      <c r="D3649">
        <v>1</v>
      </c>
      <c r="E3649" t="s">
        <v>2148</v>
      </c>
    </row>
    <row r="3650" spans="2:5">
      <c r="B3650" s="65" t="str">
        <f t="shared" si="56"/>
        <v>doc-2786:2</v>
      </c>
      <c r="C3650" t="s">
        <v>10278</v>
      </c>
      <c r="D3650">
        <v>2</v>
      </c>
      <c r="E3650" t="s">
        <v>2064</v>
      </c>
    </row>
    <row r="3651" spans="2:5">
      <c r="B3651" s="65" t="str">
        <f t="shared" si="56"/>
        <v>doc-2786:3</v>
      </c>
      <c r="C3651" t="s">
        <v>10278</v>
      </c>
      <c r="D3651">
        <v>3</v>
      </c>
      <c r="E3651" t="s">
        <v>1813</v>
      </c>
    </row>
    <row r="3652" spans="2:5">
      <c r="B3652" s="65" t="str">
        <f t="shared" ref="B3652:B3715" si="57">$C3652&amp;":"&amp;$D3652</f>
        <v>doc-2787:1</v>
      </c>
      <c r="C3652" t="s">
        <v>10279</v>
      </c>
      <c r="D3652">
        <v>1</v>
      </c>
      <c r="E3652" t="s">
        <v>2915</v>
      </c>
    </row>
    <row r="3653" spans="2:5">
      <c r="B3653" s="65" t="str">
        <f t="shared" si="57"/>
        <v>doc-2787:2</v>
      </c>
      <c r="C3653" t="s">
        <v>10279</v>
      </c>
      <c r="D3653">
        <v>2</v>
      </c>
      <c r="E3653" t="s">
        <v>2731</v>
      </c>
    </row>
    <row r="3654" spans="2:5">
      <c r="B3654" s="65" t="str">
        <f t="shared" si="57"/>
        <v>doc-2787:3</v>
      </c>
      <c r="C3654" t="s">
        <v>10279</v>
      </c>
      <c r="D3654">
        <v>3</v>
      </c>
      <c r="E3654" t="s">
        <v>1685</v>
      </c>
    </row>
    <row r="3655" spans="2:5">
      <c r="B3655" s="65" t="str">
        <f t="shared" si="57"/>
        <v>doc-2787:4</v>
      </c>
      <c r="C3655" t="s">
        <v>10279</v>
      </c>
      <c r="D3655">
        <v>4</v>
      </c>
      <c r="E3655" t="s">
        <v>2960</v>
      </c>
    </row>
    <row r="3656" spans="2:5">
      <c r="B3656" s="65" t="str">
        <f t="shared" si="57"/>
        <v>doc-2787:5</v>
      </c>
      <c r="C3656" t="s">
        <v>10279</v>
      </c>
      <c r="D3656">
        <v>5</v>
      </c>
      <c r="E3656" t="s">
        <v>299</v>
      </c>
    </row>
    <row r="3657" spans="2:5">
      <c r="B3657" s="65" t="str">
        <f t="shared" si="57"/>
        <v>doc-2787:6</v>
      </c>
      <c r="C3657" t="s">
        <v>10279</v>
      </c>
      <c r="D3657">
        <v>6</v>
      </c>
      <c r="E3657" t="s">
        <v>2664</v>
      </c>
    </row>
    <row r="3658" spans="2:5">
      <c r="B3658" s="65" t="str">
        <f t="shared" si="57"/>
        <v>doc-2787:7</v>
      </c>
      <c r="C3658" t="s">
        <v>10279</v>
      </c>
      <c r="D3658">
        <v>7</v>
      </c>
      <c r="E3658" t="s">
        <v>1673</v>
      </c>
    </row>
    <row r="3659" spans="2:5">
      <c r="B3659" s="65" t="str">
        <f t="shared" si="57"/>
        <v>doc-2787:8</v>
      </c>
      <c r="C3659" t="s">
        <v>10279</v>
      </c>
      <c r="D3659">
        <v>8</v>
      </c>
      <c r="E3659" t="s">
        <v>90</v>
      </c>
    </row>
    <row r="3660" spans="2:5">
      <c r="B3660" s="65" t="str">
        <f t="shared" si="57"/>
        <v>doc-2787:9</v>
      </c>
      <c r="C3660" t="s">
        <v>10279</v>
      </c>
      <c r="D3660">
        <v>9</v>
      </c>
      <c r="E3660" t="s">
        <v>1119</v>
      </c>
    </row>
    <row r="3661" spans="2:5">
      <c r="B3661" s="65" t="str">
        <f t="shared" si="57"/>
        <v>doc-2787:10</v>
      </c>
      <c r="C3661" t="s">
        <v>10279</v>
      </c>
      <c r="D3661">
        <v>10</v>
      </c>
      <c r="E3661" t="s">
        <v>1136</v>
      </c>
    </row>
    <row r="3662" spans="2:5">
      <c r="B3662" s="65" t="str">
        <f t="shared" si="57"/>
        <v>doc-2787:11</v>
      </c>
      <c r="C3662" t="s">
        <v>10279</v>
      </c>
      <c r="D3662">
        <v>11</v>
      </c>
      <c r="E3662" t="s">
        <v>1550</v>
      </c>
    </row>
    <row r="3663" spans="2:5">
      <c r="B3663" s="65" t="str">
        <f t="shared" si="57"/>
        <v>doc-2788:1</v>
      </c>
      <c r="C3663" t="s">
        <v>10280</v>
      </c>
      <c r="D3663">
        <v>1</v>
      </c>
      <c r="E3663" t="s">
        <v>2918</v>
      </c>
    </row>
    <row r="3664" spans="2:5">
      <c r="B3664" s="65" t="str">
        <f t="shared" si="57"/>
        <v>doc-2788:2</v>
      </c>
      <c r="C3664" t="s">
        <v>10280</v>
      </c>
      <c r="D3664">
        <v>2</v>
      </c>
      <c r="E3664" t="s">
        <v>299</v>
      </c>
    </row>
    <row r="3665" spans="2:5">
      <c r="B3665" s="65" t="str">
        <f t="shared" si="57"/>
        <v>doc-2788:3</v>
      </c>
      <c r="C3665" t="s">
        <v>10280</v>
      </c>
      <c r="D3665">
        <v>3</v>
      </c>
      <c r="E3665" t="s">
        <v>2954</v>
      </c>
    </row>
    <row r="3666" spans="2:5">
      <c r="B3666" s="65" t="str">
        <f t="shared" si="57"/>
        <v>doc-2788:4</v>
      </c>
      <c r="C3666" t="s">
        <v>10280</v>
      </c>
      <c r="D3666">
        <v>4</v>
      </c>
      <c r="E3666" t="s">
        <v>1941</v>
      </c>
    </row>
    <row r="3667" spans="2:5">
      <c r="B3667" s="65" t="str">
        <f t="shared" si="57"/>
        <v>doc-2791:1</v>
      </c>
      <c r="C3667" t="s">
        <v>10281</v>
      </c>
      <c r="D3667">
        <v>1</v>
      </c>
      <c r="E3667" t="s">
        <v>3200</v>
      </c>
    </row>
    <row r="3668" spans="2:5">
      <c r="B3668" s="65" t="str">
        <f t="shared" si="57"/>
        <v>doc-2791:2</v>
      </c>
      <c r="C3668" t="s">
        <v>10281</v>
      </c>
      <c r="D3668">
        <v>2</v>
      </c>
      <c r="E3668" t="s">
        <v>3195</v>
      </c>
    </row>
    <row r="3669" spans="2:5">
      <c r="B3669" s="65" t="str">
        <f t="shared" si="57"/>
        <v>doc-2791:3</v>
      </c>
      <c r="C3669" t="s">
        <v>10281</v>
      </c>
      <c r="D3669">
        <v>3</v>
      </c>
      <c r="E3669" t="s">
        <v>3197</v>
      </c>
    </row>
    <row r="3670" spans="2:5">
      <c r="B3670" s="65" t="str">
        <f t="shared" si="57"/>
        <v>doc-2791:4</v>
      </c>
      <c r="C3670" t="s">
        <v>10281</v>
      </c>
      <c r="D3670">
        <v>4</v>
      </c>
      <c r="E3670" t="s">
        <v>2064</v>
      </c>
    </row>
    <row r="3671" spans="2:5">
      <c r="B3671" s="65" t="str">
        <f t="shared" si="57"/>
        <v>doc-2792:1</v>
      </c>
      <c r="C3671" t="s">
        <v>10282</v>
      </c>
      <c r="D3671">
        <v>1</v>
      </c>
      <c r="E3671" t="s">
        <v>2941</v>
      </c>
    </row>
    <row r="3672" spans="2:5">
      <c r="B3672" s="65" t="str">
        <f t="shared" si="57"/>
        <v>doc-2792:2</v>
      </c>
      <c r="C3672" t="s">
        <v>10282</v>
      </c>
      <c r="D3672">
        <v>2</v>
      </c>
      <c r="E3672" t="s">
        <v>2915</v>
      </c>
    </row>
    <row r="3673" spans="2:5">
      <c r="B3673" s="65" t="str">
        <f t="shared" si="57"/>
        <v>doc-2792:3</v>
      </c>
      <c r="C3673" t="s">
        <v>10282</v>
      </c>
      <c r="D3673">
        <v>3</v>
      </c>
      <c r="E3673" t="s">
        <v>2960</v>
      </c>
    </row>
    <row r="3674" spans="2:5">
      <c r="B3674" s="65" t="str">
        <f t="shared" si="57"/>
        <v>doc-2792:4</v>
      </c>
      <c r="C3674" t="s">
        <v>10282</v>
      </c>
      <c r="D3674">
        <v>4</v>
      </c>
      <c r="E3674" t="s">
        <v>299</v>
      </c>
    </row>
    <row r="3675" spans="2:5">
      <c r="B3675" s="65" t="str">
        <f t="shared" si="57"/>
        <v>doc-2793a:1</v>
      </c>
      <c r="C3675" t="s">
        <v>10283</v>
      </c>
      <c r="D3675">
        <v>1</v>
      </c>
      <c r="E3675" t="s">
        <v>1988</v>
      </c>
    </row>
    <row r="3676" spans="2:5">
      <c r="B3676" s="65" t="str">
        <f t="shared" si="57"/>
        <v>doc-2793a:2</v>
      </c>
      <c r="C3676" t="s">
        <v>10283</v>
      </c>
      <c r="D3676">
        <v>2</v>
      </c>
      <c r="E3676" t="s">
        <v>1171</v>
      </c>
    </row>
    <row r="3677" spans="2:5">
      <c r="B3677" s="65" t="str">
        <f t="shared" si="57"/>
        <v>doc-2793a:3</v>
      </c>
      <c r="C3677" t="s">
        <v>10283</v>
      </c>
      <c r="D3677">
        <v>3</v>
      </c>
      <c r="E3677" t="s">
        <v>1179</v>
      </c>
    </row>
    <row r="3678" spans="2:5">
      <c r="B3678" s="65" t="str">
        <f t="shared" si="57"/>
        <v>doc-2793a:4</v>
      </c>
      <c r="C3678" t="s">
        <v>10283</v>
      </c>
      <c r="D3678">
        <v>4</v>
      </c>
      <c r="E3678" t="s">
        <v>296</v>
      </c>
    </row>
    <row r="3679" spans="2:5">
      <c r="B3679" s="65" t="str">
        <f t="shared" si="57"/>
        <v>doc-2794:1</v>
      </c>
      <c r="C3679" t="s">
        <v>10284</v>
      </c>
      <c r="D3679">
        <v>1</v>
      </c>
      <c r="E3679" t="s">
        <v>2720</v>
      </c>
    </row>
    <row r="3680" spans="2:5">
      <c r="B3680" s="65" t="str">
        <f t="shared" si="57"/>
        <v>doc-2794:2</v>
      </c>
      <c r="C3680" t="s">
        <v>10284</v>
      </c>
      <c r="D3680">
        <v>2</v>
      </c>
      <c r="E3680" t="s">
        <v>1461</v>
      </c>
    </row>
    <row r="3681" spans="2:5">
      <c r="B3681" s="65" t="str">
        <f t="shared" si="57"/>
        <v>doc-2794:3</v>
      </c>
      <c r="C3681" t="s">
        <v>10284</v>
      </c>
      <c r="D3681">
        <v>3</v>
      </c>
      <c r="E3681" t="s">
        <v>2664</v>
      </c>
    </row>
    <row r="3682" spans="2:5">
      <c r="B3682" s="65" t="str">
        <f t="shared" si="57"/>
        <v>doc-2796:1</v>
      </c>
      <c r="C3682" t="s">
        <v>10285</v>
      </c>
      <c r="D3682">
        <v>1</v>
      </c>
      <c r="E3682" t="s">
        <v>73</v>
      </c>
    </row>
    <row r="3683" spans="2:5">
      <c r="B3683" s="65" t="str">
        <f t="shared" si="57"/>
        <v>doc-2796:2</v>
      </c>
      <c r="C3683" t="s">
        <v>10285</v>
      </c>
      <c r="D3683">
        <v>2</v>
      </c>
      <c r="E3683" t="s">
        <v>2422</v>
      </c>
    </row>
    <row r="3684" spans="2:5">
      <c r="B3684" s="65" t="str">
        <f t="shared" si="57"/>
        <v>doc-2796:3</v>
      </c>
      <c r="C3684" t="s">
        <v>10285</v>
      </c>
      <c r="D3684">
        <v>3</v>
      </c>
      <c r="E3684" t="s">
        <v>1763</v>
      </c>
    </row>
    <row r="3685" spans="2:5">
      <c r="B3685" s="65" t="str">
        <f t="shared" si="57"/>
        <v>doc-2798:1</v>
      </c>
      <c r="C3685" t="s">
        <v>10286</v>
      </c>
      <c r="D3685">
        <v>1</v>
      </c>
      <c r="E3685" t="s">
        <v>2494</v>
      </c>
    </row>
    <row r="3686" spans="2:5">
      <c r="B3686" s="65" t="str">
        <f t="shared" si="57"/>
        <v>doc-2798:2</v>
      </c>
      <c r="C3686" t="s">
        <v>10286</v>
      </c>
      <c r="D3686">
        <v>2</v>
      </c>
      <c r="E3686" t="s">
        <v>76</v>
      </c>
    </row>
    <row r="3687" spans="2:5">
      <c r="B3687" s="65" t="str">
        <f t="shared" si="57"/>
        <v>doc-2798:3</v>
      </c>
      <c r="C3687" t="s">
        <v>10286</v>
      </c>
      <c r="D3687">
        <v>3</v>
      </c>
      <c r="E3687" t="s">
        <v>90</v>
      </c>
    </row>
    <row r="3688" spans="2:5">
      <c r="B3688" s="65" t="str">
        <f t="shared" si="57"/>
        <v>doc-2798:4</v>
      </c>
      <c r="C3688" t="s">
        <v>10286</v>
      </c>
      <c r="D3688">
        <v>4</v>
      </c>
      <c r="E3688" t="s">
        <v>2422</v>
      </c>
    </row>
    <row r="3689" spans="2:5">
      <c r="B3689" s="65" t="str">
        <f t="shared" si="57"/>
        <v>doc-2798:5</v>
      </c>
      <c r="C3689" t="s">
        <v>10286</v>
      </c>
      <c r="D3689">
        <v>5</v>
      </c>
      <c r="E3689" t="s">
        <v>73</v>
      </c>
    </row>
    <row r="3690" spans="2:5">
      <c r="B3690" s="65" t="str">
        <f t="shared" si="57"/>
        <v>doc-2798:6</v>
      </c>
      <c r="C3690" t="s">
        <v>10286</v>
      </c>
      <c r="D3690">
        <v>6</v>
      </c>
      <c r="E3690" t="s">
        <v>1744</v>
      </c>
    </row>
    <row r="3691" spans="2:5">
      <c r="B3691" s="65" t="str">
        <f t="shared" si="57"/>
        <v>doc-2798:7</v>
      </c>
      <c r="C3691" t="s">
        <v>10286</v>
      </c>
      <c r="D3691">
        <v>7</v>
      </c>
      <c r="E3691" t="s">
        <v>1763</v>
      </c>
    </row>
    <row r="3692" spans="2:5">
      <c r="B3692" s="65" t="str">
        <f t="shared" si="57"/>
        <v>doc-2798:8</v>
      </c>
      <c r="C3692" t="s">
        <v>10286</v>
      </c>
      <c r="D3692">
        <v>8</v>
      </c>
      <c r="E3692" t="s">
        <v>1782</v>
      </c>
    </row>
    <row r="3693" spans="2:5">
      <c r="B3693" s="65" t="str">
        <f t="shared" si="57"/>
        <v>doc-2804:1</v>
      </c>
      <c r="C3693" t="s">
        <v>10287</v>
      </c>
      <c r="D3693">
        <v>1</v>
      </c>
      <c r="E3693" t="s">
        <v>2503</v>
      </c>
    </row>
    <row r="3694" spans="2:5">
      <c r="B3694" s="65" t="str">
        <f t="shared" si="57"/>
        <v>doc-2804:2</v>
      </c>
      <c r="C3694" t="s">
        <v>10287</v>
      </c>
      <c r="D3694">
        <v>2</v>
      </c>
      <c r="E3694" t="s">
        <v>2512</v>
      </c>
    </row>
    <row r="3695" spans="2:5">
      <c r="B3695" s="65" t="str">
        <f t="shared" si="57"/>
        <v>doc-2804:3</v>
      </c>
      <c r="C3695" t="s">
        <v>10287</v>
      </c>
      <c r="D3695">
        <v>3</v>
      </c>
      <c r="E3695" t="s">
        <v>2510</v>
      </c>
    </row>
    <row r="3696" spans="2:5">
      <c r="B3696" s="65" t="str">
        <f t="shared" si="57"/>
        <v>doc-2804:4</v>
      </c>
      <c r="C3696" t="s">
        <v>10287</v>
      </c>
      <c r="D3696">
        <v>4</v>
      </c>
      <c r="E3696" t="s">
        <v>2160</v>
      </c>
    </row>
    <row r="3697" spans="2:5">
      <c r="B3697" s="65" t="str">
        <f t="shared" si="57"/>
        <v>doc-2804:5</v>
      </c>
      <c r="C3697" t="s">
        <v>10287</v>
      </c>
      <c r="D3697">
        <v>5</v>
      </c>
      <c r="E3697" t="s">
        <v>2121</v>
      </c>
    </row>
    <row r="3698" spans="2:5">
      <c r="B3698" s="65" t="str">
        <f t="shared" si="57"/>
        <v>doc-2810:1</v>
      </c>
      <c r="C3698" t="s">
        <v>10288</v>
      </c>
      <c r="D3698">
        <v>1</v>
      </c>
      <c r="E3698" t="s">
        <v>2510</v>
      </c>
    </row>
    <row r="3699" spans="2:5">
      <c r="B3699" s="65" t="str">
        <f t="shared" si="57"/>
        <v>doc-2810:2</v>
      </c>
      <c r="C3699" t="s">
        <v>10288</v>
      </c>
      <c r="D3699">
        <v>2</v>
      </c>
      <c r="E3699" t="s">
        <v>2512</v>
      </c>
    </row>
    <row r="3700" spans="2:5">
      <c r="B3700" s="65" t="str">
        <f t="shared" si="57"/>
        <v>doc-2810:3</v>
      </c>
      <c r="C3700" t="s">
        <v>10288</v>
      </c>
      <c r="D3700">
        <v>3</v>
      </c>
      <c r="E3700" t="s">
        <v>2503</v>
      </c>
    </row>
    <row r="3701" spans="2:5">
      <c r="B3701" s="65" t="str">
        <f t="shared" si="57"/>
        <v>doc-2810:4</v>
      </c>
      <c r="C3701" t="s">
        <v>10288</v>
      </c>
      <c r="D3701">
        <v>4</v>
      </c>
      <c r="E3701" t="s">
        <v>2324</v>
      </c>
    </row>
    <row r="3702" spans="2:5">
      <c r="B3702" s="65" t="str">
        <f t="shared" si="57"/>
        <v>doc-2810:5</v>
      </c>
      <c r="C3702" t="s">
        <v>10288</v>
      </c>
      <c r="D3702">
        <v>5</v>
      </c>
      <c r="E3702" t="s">
        <v>2160</v>
      </c>
    </row>
    <row r="3703" spans="2:5">
      <c r="B3703" s="65" t="str">
        <f t="shared" si="57"/>
        <v>doc-2810:6</v>
      </c>
      <c r="C3703" t="s">
        <v>10288</v>
      </c>
      <c r="D3703">
        <v>6</v>
      </c>
      <c r="E3703" t="s">
        <v>2121</v>
      </c>
    </row>
    <row r="3704" spans="2:5">
      <c r="B3704" s="65" t="str">
        <f t="shared" si="57"/>
        <v>doc-2810:7</v>
      </c>
      <c r="C3704" t="s">
        <v>10288</v>
      </c>
      <c r="D3704">
        <v>7</v>
      </c>
      <c r="E3704" t="s">
        <v>1905</v>
      </c>
    </row>
    <row r="3705" spans="2:5">
      <c r="B3705" s="65" t="str">
        <f t="shared" si="57"/>
        <v>doc-2811:1</v>
      </c>
      <c r="C3705" t="s">
        <v>10289</v>
      </c>
      <c r="D3705">
        <v>1</v>
      </c>
      <c r="E3705" t="s">
        <v>2512</v>
      </c>
    </row>
    <row r="3706" spans="2:5">
      <c r="B3706" s="65" t="str">
        <f t="shared" si="57"/>
        <v>doc-2811:2</v>
      </c>
      <c r="C3706" t="s">
        <v>10289</v>
      </c>
      <c r="D3706">
        <v>2</v>
      </c>
      <c r="E3706" t="s">
        <v>2510</v>
      </c>
    </row>
    <row r="3707" spans="2:5">
      <c r="B3707" s="65" t="str">
        <f t="shared" si="57"/>
        <v>doc-2811:3</v>
      </c>
      <c r="C3707" t="s">
        <v>10289</v>
      </c>
      <c r="D3707">
        <v>3</v>
      </c>
      <c r="E3707" t="s">
        <v>2503</v>
      </c>
    </row>
    <row r="3708" spans="2:5">
      <c r="B3708" s="65" t="str">
        <f t="shared" si="57"/>
        <v>doc-2811:4</v>
      </c>
      <c r="C3708" t="s">
        <v>10289</v>
      </c>
      <c r="D3708">
        <v>4</v>
      </c>
      <c r="E3708" t="s">
        <v>1119</v>
      </c>
    </row>
    <row r="3709" spans="2:5">
      <c r="B3709" s="65" t="str">
        <f t="shared" si="57"/>
        <v>doc-2812:1</v>
      </c>
      <c r="C3709" t="s">
        <v>10290</v>
      </c>
      <c r="D3709">
        <v>1</v>
      </c>
      <c r="E3709" t="s">
        <v>2874</v>
      </c>
    </row>
    <row r="3710" spans="2:5">
      <c r="B3710" s="65" t="str">
        <f t="shared" si="57"/>
        <v>doc-2812:2</v>
      </c>
      <c r="C3710" t="s">
        <v>10290</v>
      </c>
      <c r="D3710">
        <v>2</v>
      </c>
      <c r="E3710" t="s">
        <v>2825</v>
      </c>
    </row>
    <row r="3711" spans="2:5">
      <c r="B3711" s="65" t="str">
        <f t="shared" si="57"/>
        <v>doc-2812:3</v>
      </c>
      <c r="C3711" t="s">
        <v>10290</v>
      </c>
      <c r="D3711">
        <v>3</v>
      </c>
      <c r="E3711" t="s">
        <v>2833</v>
      </c>
    </row>
    <row r="3712" spans="2:5">
      <c r="B3712" s="65" t="str">
        <f t="shared" si="57"/>
        <v>doc-2812:4</v>
      </c>
      <c r="C3712" t="s">
        <v>10290</v>
      </c>
      <c r="D3712">
        <v>4</v>
      </c>
      <c r="E3712" t="s">
        <v>2023</v>
      </c>
    </row>
    <row r="3713" spans="2:5">
      <c r="B3713" s="65" t="str">
        <f t="shared" si="57"/>
        <v>doc-2812:5</v>
      </c>
      <c r="C3713" t="s">
        <v>10290</v>
      </c>
      <c r="D3713">
        <v>5</v>
      </c>
      <c r="E3713" t="s">
        <v>2020</v>
      </c>
    </row>
    <row r="3714" spans="2:5">
      <c r="B3714" s="65" t="str">
        <f t="shared" si="57"/>
        <v>doc-2812:6</v>
      </c>
      <c r="C3714" t="s">
        <v>10290</v>
      </c>
      <c r="D3714">
        <v>6</v>
      </c>
      <c r="E3714" t="s">
        <v>2860</v>
      </c>
    </row>
    <row r="3715" spans="2:5">
      <c r="B3715" s="65" t="str">
        <f t="shared" si="57"/>
        <v>doc-2812:7</v>
      </c>
      <c r="C3715" t="s">
        <v>10290</v>
      </c>
      <c r="D3715">
        <v>7</v>
      </c>
      <c r="E3715" t="s">
        <v>2849</v>
      </c>
    </row>
    <row r="3716" spans="2:5">
      <c r="B3716" s="65" t="str">
        <f t="shared" ref="B3716:B3779" si="58">$C3716&amp;":"&amp;$D3716</f>
        <v>doc-2812:8</v>
      </c>
      <c r="C3716" t="s">
        <v>10290</v>
      </c>
      <c r="D3716">
        <v>8</v>
      </c>
      <c r="E3716" t="s">
        <v>2881</v>
      </c>
    </row>
    <row r="3717" spans="2:5">
      <c r="B3717" s="65" t="str">
        <f t="shared" si="58"/>
        <v>doc-2815:1</v>
      </c>
      <c r="C3717" t="s">
        <v>10291</v>
      </c>
      <c r="D3717">
        <v>1</v>
      </c>
      <c r="E3717" t="s">
        <v>3090</v>
      </c>
    </row>
    <row r="3718" spans="2:5">
      <c r="B3718" s="65" t="str">
        <f t="shared" si="58"/>
        <v>doc-2815:2</v>
      </c>
      <c r="C3718" t="s">
        <v>10291</v>
      </c>
      <c r="D3718">
        <v>2</v>
      </c>
      <c r="E3718" t="s">
        <v>2353</v>
      </c>
    </row>
    <row r="3719" spans="2:5">
      <c r="B3719" s="65" t="str">
        <f t="shared" si="58"/>
        <v>doc-2815:3</v>
      </c>
      <c r="C3719" t="s">
        <v>10291</v>
      </c>
      <c r="D3719">
        <v>3</v>
      </c>
      <c r="E3719" t="s">
        <v>1877</v>
      </c>
    </row>
    <row r="3720" spans="2:5">
      <c r="B3720" s="65" t="str">
        <f t="shared" si="58"/>
        <v>doc-2815:4</v>
      </c>
      <c r="C3720" t="s">
        <v>10291</v>
      </c>
      <c r="D3720">
        <v>4</v>
      </c>
      <c r="E3720" t="s">
        <v>2351</v>
      </c>
    </row>
    <row r="3721" spans="2:5">
      <c r="B3721" s="65" t="str">
        <f t="shared" si="58"/>
        <v>doc-2829:1</v>
      </c>
      <c r="C3721" t="s">
        <v>10292</v>
      </c>
      <c r="D3721">
        <v>1</v>
      </c>
      <c r="E3721" t="s">
        <v>2918</v>
      </c>
    </row>
    <row r="3722" spans="2:5">
      <c r="B3722" s="65" t="str">
        <f t="shared" si="58"/>
        <v>doc-2830:1</v>
      </c>
      <c r="C3722" t="s">
        <v>10293</v>
      </c>
      <c r="D3722">
        <v>1</v>
      </c>
      <c r="E3722" t="s">
        <v>2731</v>
      </c>
    </row>
    <row r="3723" spans="2:5">
      <c r="B3723" s="65" t="str">
        <f t="shared" si="58"/>
        <v>doc-2830:2</v>
      </c>
      <c r="C3723" t="s">
        <v>10293</v>
      </c>
      <c r="D3723">
        <v>2</v>
      </c>
      <c r="E3723" t="s">
        <v>1108</v>
      </c>
    </row>
    <row r="3724" spans="2:5">
      <c r="B3724" s="65" t="str">
        <f t="shared" si="58"/>
        <v>doc-2830:3</v>
      </c>
      <c r="C3724" t="s">
        <v>10293</v>
      </c>
      <c r="D3724">
        <v>3</v>
      </c>
      <c r="E3724" t="s">
        <v>2686</v>
      </c>
    </row>
    <row r="3725" spans="2:5">
      <c r="B3725" s="65" t="str">
        <f t="shared" si="58"/>
        <v>doc-2830:4</v>
      </c>
      <c r="C3725" t="s">
        <v>10293</v>
      </c>
      <c r="D3725">
        <v>4</v>
      </c>
      <c r="E3725" t="s">
        <v>2915</v>
      </c>
    </row>
    <row r="3726" spans="2:5">
      <c r="B3726" s="65" t="str">
        <f t="shared" si="58"/>
        <v>doc-2830:5</v>
      </c>
      <c r="C3726" t="s">
        <v>10293</v>
      </c>
      <c r="D3726">
        <v>5</v>
      </c>
      <c r="E3726" t="s">
        <v>2664</v>
      </c>
    </row>
    <row r="3727" spans="2:5">
      <c r="B3727" s="65" t="str">
        <f t="shared" si="58"/>
        <v>doc-2830:6</v>
      </c>
      <c r="C3727" t="s">
        <v>10293</v>
      </c>
      <c r="D3727">
        <v>6</v>
      </c>
      <c r="E3727" t="s">
        <v>299</v>
      </c>
    </row>
    <row r="3728" spans="2:5">
      <c r="B3728" s="65" t="str">
        <f t="shared" si="58"/>
        <v>doc-2833:1</v>
      </c>
      <c r="C3728" t="s">
        <v>10294</v>
      </c>
      <c r="D3728">
        <v>1</v>
      </c>
      <c r="E3728" t="s">
        <v>82</v>
      </c>
    </row>
    <row r="3729" spans="2:5">
      <c r="B3729" s="65" t="str">
        <f t="shared" si="58"/>
        <v>doc-2834:1</v>
      </c>
      <c r="C3729" t="s">
        <v>10295</v>
      </c>
      <c r="D3729">
        <v>1</v>
      </c>
      <c r="E3729" t="s">
        <v>82</v>
      </c>
    </row>
    <row r="3730" spans="2:5">
      <c r="B3730" s="65" t="str">
        <f t="shared" si="58"/>
        <v>doc-2835:1</v>
      </c>
      <c r="C3730" t="s">
        <v>10296</v>
      </c>
      <c r="D3730">
        <v>1</v>
      </c>
      <c r="E3730" t="s">
        <v>82</v>
      </c>
    </row>
    <row r="3731" spans="2:5">
      <c r="B3731" s="65" t="str">
        <f t="shared" si="58"/>
        <v>doc-2835:2</v>
      </c>
      <c r="C3731" t="s">
        <v>10296</v>
      </c>
      <c r="D3731">
        <v>2</v>
      </c>
      <c r="E3731" t="s">
        <v>1221</v>
      </c>
    </row>
    <row r="3732" spans="2:5">
      <c r="B3732" s="65" t="str">
        <f t="shared" si="58"/>
        <v>doc-2836:1</v>
      </c>
      <c r="C3732" t="s">
        <v>10297</v>
      </c>
      <c r="D3732">
        <v>1</v>
      </c>
      <c r="E3732" t="s">
        <v>82</v>
      </c>
    </row>
    <row r="3733" spans="2:5">
      <c r="B3733" s="65" t="str">
        <f t="shared" si="58"/>
        <v>doc-2837:1</v>
      </c>
      <c r="C3733" t="s">
        <v>10298</v>
      </c>
      <c r="D3733">
        <v>1</v>
      </c>
      <c r="E3733" t="s">
        <v>2130</v>
      </c>
    </row>
    <row r="3734" spans="2:5">
      <c r="B3734" s="65" t="str">
        <f t="shared" si="58"/>
        <v>doc-2837:2</v>
      </c>
      <c r="C3734" t="s">
        <v>10298</v>
      </c>
      <c r="D3734">
        <v>2</v>
      </c>
      <c r="E3734" t="s">
        <v>2023</v>
      </c>
    </row>
    <row r="3735" spans="2:5">
      <c r="B3735" s="65" t="str">
        <f t="shared" si="58"/>
        <v>doc-2837:3</v>
      </c>
      <c r="C3735" t="s">
        <v>10298</v>
      </c>
      <c r="D3735">
        <v>3</v>
      </c>
      <c r="E3735" t="s">
        <v>296</v>
      </c>
    </row>
    <row r="3736" spans="2:5">
      <c r="B3736" s="65" t="str">
        <f t="shared" si="58"/>
        <v>doc-2837:4</v>
      </c>
      <c r="C3736" t="s">
        <v>10298</v>
      </c>
      <c r="D3736">
        <v>4</v>
      </c>
      <c r="E3736" t="s">
        <v>2849</v>
      </c>
    </row>
    <row r="3737" spans="2:5">
      <c r="B3737" s="65" t="str">
        <f t="shared" si="58"/>
        <v>doc-2837:5</v>
      </c>
      <c r="C3737" t="s">
        <v>10298</v>
      </c>
      <c r="D3737">
        <v>5</v>
      </c>
      <c r="E3737" t="s">
        <v>2121</v>
      </c>
    </row>
    <row r="3738" spans="2:5">
      <c r="B3738" s="65" t="str">
        <f t="shared" si="58"/>
        <v>doc-2837:6</v>
      </c>
      <c r="C3738" t="s">
        <v>10298</v>
      </c>
      <c r="D3738">
        <v>6</v>
      </c>
      <c r="E3738" t="s">
        <v>1559</v>
      </c>
    </row>
    <row r="3739" spans="2:5">
      <c r="B3739" s="65" t="str">
        <f t="shared" si="58"/>
        <v>doc-2838:1</v>
      </c>
      <c r="C3739" t="s">
        <v>10299</v>
      </c>
      <c r="D3739">
        <v>1</v>
      </c>
      <c r="E3739" t="s">
        <v>2846</v>
      </c>
    </row>
    <row r="3740" spans="2:5">
      <c r="B3740" s="65" t="str">
        <f t="shared" si="58"/>
        <v>doc-2838:2</v>
      </c>
      <c r="C3740" t="s">
        <v>10299</v>
      </c>
      <c r="D3740">
        <v>2</v>
      </c>
      <c r="E3740" t="s">
        <v>2023</v>
      </c>
    </row>
    <row r="3741" spans="2:5">
      <c r="B3741" s="65" t="str">
        <f t="shared" si="58"/>
        <v>doc-2838:3</v>
      </c>
      <c r="C3741" t="s">
        <v>10299</v>
      </c>
      <c r="D3741">
        <v>3</v>
      </c>
      <c r="E3741" t="s">
        <v>296</v>
      </c>
    </row>
    <row r="3742" spans="2:5">
      <c r="B3742" s="65" t="str">
        <f t="shared" si="58"/>
        <v>doc-2838:4</v>
      </c>
      <c r="C3742" t="s">
        <v>10299</v>
      </c>
      <c r="D3742">
        <v>4</v>
      </c>
      <c r="E3742" t="s">
        <v>2849</v>
      </c>
    </row>
    <row r="3743" spans="2:5">
      <c r="B3743" s="65" t="str">
        <f t="shared" si="58"/>
        <v>doc-2838:5</v>
      </c>
      <c r="C3743" t="s">
        <v>10299</v>
      </c>
      <c r="D3743">
        <v>5</v>
      </c>
      <c r="E3743" t="s">
        <v>2020</v>
      </c>
    </row>
    <row r="3744" spans="2:5">
      <c r="B3744" s="65" t="str">
        <f t="shared" si="58"/>
        <v>doc-2838:6</v>
      </c>
      <c r="C3744" t="s">
        <v>10299</v>
      </c>
      <c r="D3744">
        <v>6</v>
      </c>
      <c r="E3744" t="s">
        <v>2973</v>
      </c>
    </row>
    <row r="3745" spans="2:5">
      <c r="B3745" s="65" t="str">
        <f t="shared" si="58"/>
        <v>doc-2838:7</v>
      </c>
      <c r="C3745" t="s">
        <v>10299</v>
      </c>
      <c r="D3745">
        <v>7</v>
      </c>
      <c r="E3745" t="s">
        <v>1122</v>
      </c>
    </row>
    <row r="3746" spans="2:5">
      <c r="B3746" s="65" t="str">
        <f t="shared" si="58"/>
        <v>doc-2839:1</v>
      </c>
      <c r="C3746" t="s">
        <v>10300</v>
      </c>
      <c r="D3746">
        <v>1</v>
      </c>
      <c r="E3746" t="s">
        <v>2130</v>
      </c>
    </row>
    <row r="3747" spans="2:5">
      <c r="B3747" s="65" t="str">
        <f t="shared" si="58"/>
        <v>doc-2839:2</v>
      </c>
      <c r="C3747" t="s">
        <v>10300</v>
      </c>
      <c r="D3747">
        <v>2</v>
      </c>
      <c r="E3747" t="s">
        <v>2023</v>
      </c>
    </row>
    <row r="3748" spans="2:5">
      <c r="B3748" s="65" t="str">
        <f t="shared" si="58"/>
        <v>doc-2839:3</v>
      </c>
      <c r="C3748" t="s">
        <v>10300</v>
      </c>
      <c r="D3748">
        <v>3</v>
      </c>
      <c r="E3748" t="s">
        <v>2121</v>
      </c>
    </row>
    <row r="3749" spans="2:5">
      <c r="B3749" s="65" t="str">
        <f t="shared" si="58"/>
        <v>doc-2839:4</v>
      </c>
      <c r="C3749" t="s">
        <v>10300</v>
      </c>
      <c r="D3749">
        <v>4</v>
      </c>
      <c r="E3749" t="s">
        <v>296</v>
      </c>
    </row>
    <row r="3750" spans="2:5">
      <c r="B3750" s="65" t="str">
        <f t="shared" si="58"/>
        <v>doc-2839:5</v>
      </c>
      <c r="C3750" t="s">
        <v>10300</v>
      </c>
      <c r="D3750">
        <v>5</v>
      </c>
      <c r="E3750" t="s">
        <v>2849</v>
      </c>
    </row>
    <row r="3751" spans="2:5">
      <c r="B3751" s="65" t="str">
        <f t="shared" si="58"/>
        <v>doc-2840:1</v>
      </c>
      <c r="C3751" t="s">
        <v>10301</v>
      </c>
      <c r="D3751">
        <v>1</v>
      </c>
      <c r="E3751" t="s">
        <v>82</v>
      </c>
    </row>
    <row r="3752" spans="2:5">
      <c r="B3752" s="65" t="str">
        <f t="shared" si="58"/>
        <v>doc-2841:1</v>
      </c>
      <c r="C3752" t="s">
        <v>10302</v>
      </c>
      <c r="D3752">
        <v>1</v>
      </c>
      <c r="E3752" t="s">
        <v>2160</v>
      </c>
    </row>
    <row r="3753" spans="2:5">
      <c r="B3753" s="65" t="str">
        <f t="shared" si="58"/>
        <v>doc-2841:2</v>
      </c>
      <c r="C3753" t="s">
        <v>10302</v>
      </c>
      <c r="D3753">
        <v>2</v>
      </c>
      <c r="E3753" t="s">
        <v>1988</v>
      </c>
    </row>
    <row r="3754" spans="2:5">
      <c r="B3754" s="65" t="str">
        <f t="shared" si="58"/>
        <v>doc-2841:3</v>
      </c>
      <c r="C3754" t="s">
        <v>10302</v>
      </c>
      <c r="D3754">
        <v>3</v>
      </c>
      <c r="E3754" t="s">
        <v>1105</v>
      </c>
    </row>
    <row r="3755" spans="2:5">
      <c r="B3755" s="65" t="str">
        <f t="shared" si="58"/>
        <v>doc-2841:4</v>
      </c>
      <c r="C3755" t="s">
        <v>10302</v>
      </c>
      <c r="D3755">
        <v>4</v>
      </c>
      <c r="E3755" t="s">
        <v>2023</v>
      </c>
    </row>
    <row r="3756" spans="2:5">
      <c r="B3756" s="65" t="str">
        <f t="shared" si="58"/>
        <v>doc-2841:5</v>
      </c>
      <c r="C3756" t="s">
        <v>10302</v>
      </c>
      <c r="D3756">
        <v>5</v>
      </c>
      <c r="E3756" t="s">
        <v>1944</v>
      </c>
    </row>
    <row r="3757" spans="2:5">
      <c r="B3757" s="65" t="str">
        <f t="shared" si="58"/>
        <v>doc-2841:6</v>
      </c>
      <c r="C3757" t="s">
        <v>10302</v>
      </c>
      <c r="D3757">
        <v>6</v>
      </c>
      <c r="E3757" t="s">
        <v>2121</v>
      </c>
    </row>
    <row r="3758" spans="2:5">
      <c r="B3758" s="65" t="str">
        <f t="shared" si="58"/>
        <v>doc-2842:1</v>
      </c>
      <c r="C3758" t="s">
        <v>10303</v>
      </c>
      <c r="D3758">
        <v>1</v>
      </c>
      <c r="E3758" t="s">
        <v>2318</v>
      </c>
    </row>
    <row r="3759" spans="2:5">
      <c r="B3759" s="65" t="str">
        <f t="shared" si="58"/>
        <v>doc-2842:2</v>
      </c>
      <c r="C3759" t="s">
        <v>10303</v>
      </c>
      <c r="D3759">
        <v>2</v>
      </c>
      <c r="E3759" t="s">
        <v>2324</v>
      </c>
    </row>
    <row r="3760" spans="2:5">
      <c r="B3760" s="65" t="str">
        <f t="shared" si="58"/>
        <v>doc-2842:3</v>
      </c>
      <c r="C3760" t="s">
        <v>10303</v>
      </c>
      <c r="D3760">
        <v>3</v>
      </c>
      <c r="E3760" t="s">
        <v>1872</v>
      </c>
    </row>
    <row r="3761" spans="2:5">
      <c r="B3761" s="65" t="str">
        <f t="shared" si="58"/>
        <v>doc-2842:4</v>
      </c>
      <c r="C3761" t="s">
        <v>10303</v>
      </c>
      <c r="D3761">
        <v>4</v>
      </c>
      <c r="E3761" t="s">
        <v>1905</v>
      </c>
    </row>
    <row r="3762" spans="2:5">
      <c r="B3762" s="65" t="str">
        <f t="shared" si="58"/>
        <v>doc-2843:1</v>
      </c>
      <c r="C3762" t="s">
        <v>6197</v>
      </c>
      <c r="D3762">
        <v>1</v>
      </c>
      <c r="E3762" t="s">
        <v>2325</v>
      </c>
    </row>
    <row r="3763" spans="2:5">
      <c r="B3763" s="65" t="str">
        <f t="shared" si="58"/>
        <v>doc-2843:2</v>
      </c>
      <c r="C3763" t="s">
        <v>6197</v>
      </c>
      <c r="D3763">
        <v>2</v>
      </c>
      <c r="E3763" t="s">
        <v>2318</v>
      </c>
    </row>
    <row r="3764" spans="2:5">
      <c r="B3764" s="65" t="str">
        <f t="shared" si="58"/>
        <v>doc-2843:3</v>
      </c>
      <c r="C3764" t="s">
        <v>6197</v>
      </c>
      <c r="D3764">
        <v>3</v>
      </c>
      <c r="E3764" t="s">
        <v>2324</v>
      </c>
    </row>
    <row r="3765" spans="2:5">
      <c r="B3765" s="65" t="str">
        <f t="shared" si="58"/>
        <v>doc-2843:4</v>
      </c>
      <c r="C3765" t="s">
        <v>6197</v>
      </c>
      <c r="D3765">
        <v>4</v>
      </c>
      <c r="E3765" t="s">
        <v>1973</v>
      </c>
    </row>
    <row r="3766" spans="2:5">
      <c r="B3766" s="65" t="str">
        <f t="shared" si="58"/>
        <v>doc-2843:5</v>
      </c>
      <c r="C3766" t="s">
        <v>6197</v>
      </c>
      <c r="D3766">
        <v>5</v>
      </c>
      <c r="E3766" t="s">
        <v>2003</v>
      </c>
    </row>
    <row r="3767" spans="2:5">
      <c r="B3767" s="65" t="str">
        <f t="shared" si="58"/>
        <v>doc-2843:6</v>
      </c>
      <c r="C3767" t="s">
        <v>6197</v>
      </c>
      <c r="D3767">
        <v>6</v>
      </c>
      <c r="E3767" t="s">
        <v>1905</v>
      </c>
    </row>
    <row r="3768" spans="2:5">
      <c r="B3768" s="65" t="str">
        <f t="shared" si="58"/>
        <v>doc-2844:1</v>
      </c>
      <c r="C3768" t="s">
        <v>10304</v>
      </c>
      <c r="D3768">
        <v>1</v>
      </c>
      <c r="E3768" t="s">
        <v>2903</v>
      </c>
    </row>
    <row r="3769" spans="2:5">
      <c r="B3769" s="65" t="str">
        <f t="shared" si="58"/>
        <v>doc-2844:2</v>
      </c>
      <c r="C3769" t="s">
        <v>10304</v>
      </c>
      <c r="D3769">
        <v>2</v>
      </c>
      <c r="E3769" t="s">
        <v>2911</v>
      </c>
    </row>
    <row r="3770" spans="2:5">
      <c r="B3770" s="65" t="str">
        <f t="shared" si="58"/>
        <v>doc-2844:3</v>
      </c>
      <c r="C3770" t="s">
        <v>10304</v>
      </c>
      <c r="D3770">
        <v>3</v>
      </c>
      <c r="E3770" t="s">
        <v>1866</v>
      </c>
    </row>
    <row r="3771" spans="2:5">
      <c r="B3771" s="65" t="str">
        <f t="shared" si="58"/>
        <v>doc-2844:4</v>
      </c>
      <c r="C3771" t="s">
        <v>10304</v>
      </c>
      <c r="D3771">
        <v>4</v>
      </c>
      <c r="E3771" t="s">
        <v>2849</v>
      </c>
    </row>
    <row r="3772" spans="2:5">
      <c r="B3772" s="65" t="str">
        <f t="shared" si="58"/>
        <v>doc-2844:5</v>
      </c>
      <c r="C3772" t="s">
        <v>10304</v>
      </c>
      <c r="D3772">
        <v>5</v>
      </c>
      <c r="E3772" t="s">
        <v>3010</v>
      </c>
    </row>
    <row r="3773" spans="2:5">
      <c r="B3773" s="65" t="str">
        <f t="shared" si="58"/>
        <v>doc-2845:1</v>
      </c>
      <c r="C3773" t="s">
        <v>10305</v>
      </c>
      <c r="D3773">
        <v>1</v>
      </c>
      <c r="E3773" t="s">
        <v>2973</v>
      </c>
    </row>
    <row r="3774" spans="2:5">
      <c r="B3774" s="65" t="str">
        <f t="shared" si="58"/>
        <v>doc-2845:2</v>
      </c>
      <c r="C3774" t="s">
        <v>10305</v>
      </c>
      <c r="D3774">
        <v>2</v>
      </c>
      <c r="E3774" t="s">
        <v>2503</v>
      </c>
    </row>
    <row r="3775" spans="2:5">
      <c r="B3775" s="65" t="str">
        <f t="shared" si="58"/>
        <v>doc-2845:3</v>
      </c>
      <c r="C3775" t="s">
        <v>10305</v>
      </c>
      <c r="D3775">
        <v>3</v>
      </c>
      <c r="E3775" t="s">
        <v>3010</v>
      </c>
    </row>
    <row r="3776" spans="2:5">
      <c r="B3776" s="65" t="str">
        <f t="shared" si="58"/>
        <v>doc-2845:4</v>
      </c>
      <c r="C3776" t="s">
        <v>10305</v>
      </c>
      <c r="D3776">
        <v>4</v>
      </c>
      <c r="E3776" t="s">
        <v>2515</v>
      </c>
    </row>
    <row r="3777" spans="2:5">
      <c r="B3777" s="65" t="str">
        <f t="shared" si="58"/>
        <v>doc-2845:5</v>
      </c>
      <c r="C3777" t="s">
        <v>10305</v>
      </c>
      <c r="D3777">
        <v>5</v>
      </c>
      <c r="E3777" t="s">
        <v>2849</v>
      </c>
    </row>
    <row r="3778" spans="2:5">
      <c r="B3778" s="65" t="str">
        <f t="shared" si="58"/>
        <v>doc-2845:6</v>
      </c>
      <c r="C3778" t="s">
        <v>10305</v>
      </c>
      <c r="D3778">
        <v>6</v>
      </c>
      <c r="E3778" t="s">
        <v>2510</v>
      </c>
    </row>
    <row r="3779" spans="2:5">
      <c r="B3779" s="65" t="str">
        <f t="shared" si="58"/>
        <v>doc-2846:1</v>
      </c>
      <c r="C3779" t="s">
        <v>10306</v>
      </c>
      <c r="D3779">
        <v>1</v>
      </c>
      <c r="E3779" t="s">
        <v>2911</v>
      </c>
    </row>
    <row r="3780" spans="2:5">
      <c r="B3780" s="65" t="str">
        <f t="shared" ref="B3780:B3843" si="59">$C3780&amp;":"&amp;$D3780</f>
        <v>doc-2846:2</v>
      </c>
      <c r="C3780" t="s">
        <v>10306</v>
      </c>
      <c r="D3780">
        <v>2</v>
      </c>
      <c r="E3780" t="s">
        <v>2849</v>
      </c>
    </row>
    <row r="3781" spans="2:5">
      <c r="B3781" s="65" t="str">
        <f t="shared" si="59"/>
        <v>doc-2846:3</v>
      </c>
      <c r="C3781" t="s">
        <v>10306</v>
      </c>
      <c r="D3781">
        <v>3</v>
      </c>
      <c r="E3781" t="s">
        <v>2884</v>
      </c>
    </row>
    <row r="3782" spans="2:5">
      <c r="B3782" s="65" t="str">
        <f t="shared" si="59"/>
        <v>doc-2847:1</v>
      </c>
      <c r="C3782" t="s">
        <v>10307</v>
      </c>
      <c r="D3782">
        <v>1</v>
      </c>
      <c r="E3782" t="s">
        <v>1461</v>
      </c>
    </row>
    <row r="3783" spans="2:5">
      <c r="B3783" s="65" t="str">
        <f t="shared" si="59"/>
        <v>doc-2847:2</v>
      </c>
      <c r="C3783" t="s">
        <v>10307</v>
      </c>
      <c r="D3783">
        <v>2</v>
      </c>
      <c r="E3783" t="s">
        <v>2960</v>
      </c>
    </row>
    <row r="3784" spans="2:5">
      <c r="B3784" s="65" t="str">
        <f t="shared" si="59"/>
        <v>doc-2847:3</v>
      </c>
      <c r="C3784" t="s">
        <v>10307</v>
      </c>
      <c r="D3784">
        <v>3</v>
      </c>
      <c r="E3784" t="s">
        <v>2926</v>
      </c>
    </row>
    <row r="3785" spans="2:5">
      <c r="B3785" s="65" t="str">
        <f t="shared" si="59"/>
        <v>doc-2848:1</v>
      </c>
      <c r="C3785" t="s">
        <v>10308</v>
      </c>
      <c r="D3785">
        <v>1</v>
      </c>
      <c r="E3785" t="s">
        <v>1782</v>
      </c>
    </row>
    <row r="3786" spans="2:5">
      <c r="B3786" s="65" t="str">
        <f t="shared" si="59"/>
        <v>doc-2848:2</v>
      </c>
      <c r="C3786" t="s">
        <v>10308</v>
      </c>
      <c r="D3786">
        <v>2</v>
      </c>
      <c r="E3786" t="s">
        <v>1461</v>
      </c>
    </row>
    <row r="3787" spans="2:5">
      <c r="B3787" s="65" t="str">
        <f t="shared" si="59"/>
        <v>doc-2848:3</v>
      </c>
      <c r="C3787" t="s">
        <v>10308</v>
      </c>
      <c r="D3787">
        <v>3</v>
      </c>
      <c r="E3787" t="s">
        <v>2720</v>
      </c>
    </row>
    <row r="3788" spans="2:5">
      <c r="B3788" s="65" t="str">
        <f t="shared" si="59"/>
        <v>doc-2849a:1</v>
      </c>
      <c r="C3788" t="s">
        <v>10309</v>
      </c>
      <c r="D3788">
        <v>1</v>
      </c>
      <c r="E3788" t="s">
        <v>73</v>
      </c>
    </row>
    <row r="3789" spans="2:5">
      <c r="B3789" s="65" t="str">
        <f t="shared" si="59"/>
        <v>doc-2849a:2</v>
      </c>
      <c r="C3789" t="s">
        <v>10309</v>
      </c>
      <c r="D3789">
        <v>2</v>
      </c>
      <c r="E3789" t="s">
        <v>1476</v>
      </c>
    </row>
    <row r="3790" spans="2:5">
      <c r="B3790" s="65" t="str">
        <f t="shared" si="59"/>
        <v>doc-2849a:3</v>
      </c>
      <c r="C3790" t="s">
        <v>10309</v>
      </c>
      <c r="D3790">
        <v>3</v>
      </c>
      <c r="E3790" t="s">
        <v>79</v>
      </c>
    </row>
    <row r="3791" spans="2:5">
      <c r="B3791" s="65" t="str">
        <f t="shared" si="59"/>
        <v>doc-2849a:4</v>
      </c>
      <c r="C3791" t="s">
        <v>10309</v>
      </c>
      <c r="D3791">
        <v>4</v>
      </c>
      <c r="E3791" t="s">
        <v>281</v>
      </c>
    </row>
    <row r="3792" spans="2:5">
      <c r="B3792" s="65" t="str">
        <f t="shared" si="59"/>
        <v>doc-2849a:5</v>
      </c>
      <c r="C3792" t="s">
        <v>10309</v>
      </c>
      <c r="D3792">
        <v>5</v>
      </c>
      <c r="E3792" t="s">
        <v>2320</v>
      </c>
    </row>
    <row r="3793" spans="2:5">
      <c r="B3793" s="65" t="str">
        <f t="shared" si="59"/>
        <v>doc-2849a:6</v>
      </c>
      <c r="C3793" t="s">
        <v>10309</v>
      </c>
      <c r="D3793">
        <v>6</v>
      </c>
      <c r="E3793" t="s">
        <v>2731</v>
      </c>
    </row>
    <row r="3794" spans="2:5">
      <c r="B3794" s="65" t="str">
        <f t="shared" si="59"/>
        <v>doc-2849a:7</v>
      </c>
      <c r="C3794" t="s">
        <v>10309</v>
      </c>
      <c r="D3794">
        <v>7</v>
      </c>
      <c r="E3794" t="s">
        <v>2664</v>
      </c>
    </row>
    <row r="3795" spans="2:5">
      <c r="B3795" s="65" t="str">
        <f t="shared" si="59"/>
        <v>doc-2849b:1</v>
      </c>
      <c r="C3795" t="s">
        <v>10310</v>
      </c>
      <c r="D3795">
        <v>1</v>
      </c>
      <c r="E3795" t="s">
        <v>73</v>
      </c>
    </row>
    <row r="3796" spans="2:5">
      <c r="B3796" s="65" t="str">
        <f t="shared" si="59"/>
        <v>doc-2849b:2</v>
      </c>
      <c r="C3796" t="s">
        <v>10310</v>
      </c>
      <c r="D3796">
        <v>2</v>
      </c>
      <c r="E3796" t="s">
        <v>1476</v>
      </c>
    </row>
    <row r="3797" spans="2:5">
      <c r="B3797" s="65" t="str">
        <f t="shared" si="59"/>
        <v>doc-2849b:3</v>
      </c>
      <c r="C3797" t="s">
        <v>10310</v>
      </c>
      <c r="D3797">
        <v>3</v>
      </c>
      <c r="E3797" t="s">
        <v>79</v>
      </c>
    </row>
    <row r="3798" spans="2:5">
      <c r="B3798" s="65" t="str">
        <f t="shared" si="59"/>
        <v>doc-2850:1</v>
      </c>
      <c r="C3798" t="s">
        <v>10311</v>
      </c>
      <c r="D3798">
        <v>1</v>
      </c>
      <c r="E3798" t="s">
        <v>73</v>
      </c>
    </row>
    <row r="3799" spans="2:5">
      <c r="B3799" s="65" t="str">
        <f t="shared" si="59"/>
        <v>doc-2850:2</v>
      </c>
      <c r="C3799" t="s">
        <v>10311</v>
      </c>
      <c r="D3799">
        <v>2</v>
      </c>
      <c r="E3799" t="s">
        <v>1476</v>
      </c>
    </row>
    <row r="3800" spans="2:5">
      <c r="B3800" s="65" t="str">
        <f t="shared" si="59"/>
        <v>doc-2850:3</v>
      </c>
      <c r="C3800" t="s">
        <v>10311</v>
      </c>
      <c r="D3800">
        <v>3</v>
      </c>
      <c r="E3800" t="s">
        <v>79</v>
      </c>
    </row>
    <row r="3801" spans="2:5">
      <c r="B3801" s="65" t="str">
        <f t="shared" si="59"/>
        <v>doc-2851:1</v>
      </c>
      <c r="C3801" t="s">
        <v>10312</v>
      </c>
      <c r="D3801">
        <v>1</v>
      </c>
      <c r="E3801" t="s">
        <v>1321</v>
      </c>
    </row>
    <row r="3802" spans="2:5">
      <c r="B3802" s="65" t="str">
        <f t="shared" si="59"/>
        <v>doc-2851:2</v>
      </c>
      <c r="C3802" t="s">
        <v>10312</v>
      </c>
      <c r="D3802">
        <v>2</v>
      </c>
      <c r="E3802" t="s">
        <v>254</v>
      </c>
    </row>
    <row r="3803" spans="2:5">
      <c r="B3803" s="65" t="str">
        <f t="shared" si="59"/>
        <v>doc-2851:3</v>
      </c>
      <c r="C3803" t="s">
        <v>10312</v>
      </c>
      <c r="D3803">
        <v>3</v>
      </c>
      <c r="E3803" t="s">
        <v>2943</v>
      </c>
    </row>
    <row r="3804" spans="2:5">
      <c r="B3804" s="65" t="str">
        <f t="shared" si="59"/>
        <v>doc-2851:4</v>
      </c>
      <c r="C3804" t="s">
        <v>10312</v>
      </c>
      <c r="D3804">
        <v>4</v>
      </c>
      <c r="E3804" t="s">
        <v>1795</v>
      </c>
    </row>
    <row r="3805" spans="2:5">
      <c r="B3805" s="65" t="str">
        <f t="shared" si="59"/>
        <v>doc-2852:1</v>
      </c>
      <c r="C3805" t="s">
        <v>10313</v>
      </c>
      <c r="D3805">
        <v>1</v>
      </c>
      <c r="E3805" t="s">
        <v>82</v>
      </c>
    </row>
    <row r="3806" spans="2:5">
      <c r="B3806" s="65" t="str">
        <f t="shared" si="59"/>
        <v>doc-2852:2</v>
      </c>
      <c r="C3806" t="s">
        <v>10313</v>
      </c>
      <c r="D3806">
        <v>2</v>
      </c>
      <c r="E3806" t="s">
        <v>2298</v>
      </c>
    </row>
    <row r="3807" spans="2:5">
      <c r="B3807" s="65" t="str">
        <f t="shared" si="59"/>
        <v>doc-2852:3</v>
      </c>
      <c r="C3807" t="s">
        <v>10313</v>
      </c>
      <c r="D3807">
        <v>3</v>
      </c>
      <c r="E3807" t="s">
        <v>1078</v>
      </c>
    </row>
    <row r="3808" spans="2:5">
      <c r="B3808" s="65" t="str">
        <f t="shared" si="59"/>
        <v>doc-2852:4</v>
      </c>
      <c r="C3808" t="s">
        <v>10313</v>
      </c>
      <c r="D3808">
        <v>4</v>
      </c>
      <c r="E3808" t="s">
        <v>79</v>
      </c>
    </row>
    <row r="3809" spans="2:5">
      <c r="B3809" s="65" t="str">
        <f t="shared" si="59"/>
        <v>doc-2853:1</v>
      </c>
      <c r="C3809" t="s">
        <v>10314</v>
      </c>
      <c r="D3809">
        <v>1</v>
      </c>
      <c r="E3809" t="s">
        <v>1179</v>
      </c>
    </row>
    <row r="3810" spans="2:5">
      <c r="B3810" s="65" t="str">
        <f t="shared" si="59"/>
        <v>doc-2853:2</v>
      </c>
      <c r="C3810" t="s">
        <v>10314</v>
      </c>
      <c r="D3810">
        <v>2</v>
      </c>
      <c r="E3810" t="s">
        <v>1171</v>
      </c>
    </row>
    <row r="3811" spans="2:5">
      <c r="B3811" s="65" t="str">
        <f t="shared" si="59"/>
        <v>doc-2853:3</v>
      </c>
      <c r="C3811" t="s">
        <v>10314</v>
      </c>
      <c r="D3811">
        <v>3</v>
      </c>
      <c r="E3811" t="s">
        <v>2849</v>
      </c>
    </row>
    <row r="3812" spans="2:5">
      <c r="B3812" s="65" t="str">
        <f t="shared" si="59"/>
        <v>doc-2853:4</v>
      </c>
      <c r="C3812" t="s">
        <v>10314</v>
      </c>
      <c r="D3812">
        <v>4</v>
      </c>
      <c r="E3812" t="s">
        <v>2973</v>
      </c>
    </row>
    <row r="3813" spans="2:5">
      <c r="B3813" s="65" t="str">
        <f t="shared" si="59"/>
        <v>doc-2853:5</v>
      </c>
      <c r="C3813" t="s">
        <v>10314</v>
      </c>
      <c r="D3813">
        <v>5</v>
      </c>
      <c r="E3813" t="s">
        <v>3010</v>
      </c>
    </row>
    <row r="3814" spans="2:5">
      <c r="B3814" s="65" t="str">
        <f t="shared" si="59"/>
        <v>doc-2853:6</v>
      </c>
      <c r="C3814" t="s">
        <v>10314</v>
      </c>
      <c r="D3814">
        <v>6</v>
      </c>
      <c r="E3814" t="s">
        <v>296</v>
      </c>
    </row>
    <row r="3815" spans="2:5">
      <c r="B3815" s="65" t="str">
        <f t="shared" si="59"/>
        <v>doc-2856:1</v>
      </c>
      <c r="C3815" t="s">
        <v>10315</v>
      </c>
      <c r="D3815">
        <v>1</v>
      </c>
      <c r="E3815" t="s">
        <v>2720</v>
      </c>
    </row>
    <row r="3816" spans="2:5">
      <c r="B3816" s="65" t="str">
        <f t="shared" si="59"/>
        <v>doc-2856:2</v>
      </c>
      <c r="C3816" t="s">
        <v>10315</v>
      </c>
      <c r="D3816">
        <v>2</v>
      </c>
      <c r="E3816" t="s">
        <v>2735</v>
      </c>
    </row>
    <row r="3817" spans="2:5">
      <c r="B3817" s="65" t="str">
        <f t="shared" si="59"/>
        <v>doc-2856:3</v>
      </c>
      <c r="C3817" t="s">
        <v>10315</v>
      </c>
      <c r="D3817">
        <v>3</v>
      </c>
      <c r="E3817" t="s">
        <v>2664</v>
      </c>
    </row>
    <row r="3818" spans="2:5">
      <c r="B3818" s="65" t="str">
        <f t="shared" si="59"/>
        <v>doc-2857b:1</v>
      </c>
      <c r="C3818" t="s">
        <v>10316</v>
      </c>
      <c r="D3818">
        <v>1</v>
      </c>
      <c r="E3818" t="s">
        <v>2112</v>
      </c>
    </row>
    <row r="3819" spans="2:5">
      <c r="B3819" s="65" t="str">
        <f t="shared" si="59"/>
        <v>doc-2857b:2</v>
      </c>
      <c r="C3819" t="s">
        <v>10316</v>
      </c>
      <c r="D3819">
        <v>2</v>
      </c>
      <c r="E3819" t="s">
        <v>1877</v>
      </c>
    </row>
    <row r="3820" spans="2:5">
      <c r="B3820" s="65" t="str">
        <f t="shared" si="59"/>
        <v>doc-2857b:3</v>
      </c>
      <c r="C3820" t="s">
        <v>10316</v>
      </c>
      <c r="D3820">
        <v>3</v>
      </c>
      <c r="E3820" t="s">
        <v>2061</v>
      </c>
    </row>
    <row r="3821" spans="2:5">
      <c r="B3821" s="65" t="str">
        <f t="shared" si="59"/>
        <v>doc-2857b:4</v>
      </c>
      <c r="C3821" t="s">
        <v>10316</v>
      </c>
      <c r="D3821">
        <v>4</v>
      </c>
      <c r="E3821" t="s">
        <v>1905</v>
      </c>
    </row>
    <row r="3822" spans="2:5">
      <c r="B3822" s="65" t="str">
        <f t="shared" si="59"/>
        <v>doc-2858:1</v>
      </c>
      <c r="C3822" t="s">
        <v>10317</v>
      </c>
      <c r="D3822">
        <v>1</v>
      </c>
      <c r="E3822" t="s">
        <v>3100</v>
      </c>
    </row>
    <row r="3823" spans="2:5">
      <c r="B3823" s="65" t="str">
        <f t="shared" si="59"/>
        <v>doc-2858:2</v>
      </c>
      <c r="C3823" t="s">
        <v>10317</v>
      </c>
      <c r="D3823">
        <v>2</v>
      </c>
      <c r="E3823" t="s">
        <v>2112</v>
      </c>
    </row>
    <row r="3824" spans="2:5">
      <c r="B3824" s="65" t="str">
        <f t="shared" si="59"/>
        <v>doc-2858:3</v>
      </c>
      <c r="C3824" t="s">
        <v>10317</v>
      </c>
      <c r="D3824">
        <v>3</v>
      </c>
      <c r="E3824" t="s">
        <v>1877</v>
      </c>
    </row>
    <row r="3825" spans="2:5">
      <c r="B3825" s="65" t="str">
        <f t="shared" si="59"/>
        <v>doc-2858:4</v>
      </c>
      <c r="C3825" t="s">
        <v>10317</v>
      </c>
      <c r="D3825">
        <v>4</v>
      </c>
      <c r="E3825" t="s">
        <v>2061</v>
      </c>
    </row>
    <row r="3826" spans="2:5">
      <c r="B3826" s="65" t="str">
        <f t="shared" si="59"/>
        <v>doc-2858:5</v>
      </c>
      <c r="C3826" t="s">
        <v>10317</v>
      </c>
      <c r="D3826">
        <v>5</v>
      </c>
      <c r="E3826" t="s">
        <v>1905</v>
      </c>
    </row>
    <row r="3827" spans="2:5">
      <c r="B3827" s="65" t="str">
        <f t="shared" si="59"/>
        <v>doc-2860:1</v>
      </c>
      <c r="C3827" t="s">
        <v>10318</v>
      </c>
      <c r="D3827">
        <v>1</v>
      </c>
      <c r="E3827" t="s">
        <v>2918</v>
      </c>
    </row>
    <row r="3828" spans="2:5">
      <c r="B3828" s="65" t="str">
        <f t="shared" si="59"/>
        <v>doc-2860:2</v>
      </c>
      <c r="C3828" t="s">
        <v>10318</v>
      </c>
      <c r="D3828">
        <v>2</v>
      </c>
      <c r="E3828" t="s">
        <v>299</v>
      </c>
    </row>
    <row r="3829" spans="2:5">
      <c r="B3829" s="65" t="str">
        <f t="shared" si="59"/>
        <v>doc-2860:3</v>
      </c>
      <c r="C3829" t="s">
        <v>10318</v>
      </c>
      <c r="D3829">
        <v>3</v>
      </c>
      <c r="E3829" t="s">
        <v>2960</v>
      </c>
    </row>
    <row r="3830" spans="2:5">
      <c r="B3830" s="65" t="str">
        <f t="shared" si="59"/>
        <v>doc-2860:4</v>
      </c>
      <c r="C3830" t="s">
        <v>10318</v>
      </c>
      <c r="D3830">
        <v>4</v>
      </c>
      <c r="E3830" t="s">
        <v>2954</v>
      </c>
    </row>
    <row r="3831" spans="2:5">
      <c r="B3831" s="65" t="str">
        <f t="shared" si="59"/>
        <v>doc-2861:1</v>
      </c>
      <c r="C3831" t="s">
        <v>10319</v>
      </c>
      <c r="D3831">
        <v>1</v>
      </c>
      <c r="E3831" t="s">
        <v>2915</v>
      </c>
    </row>
    <row r="3832" spans="2:5">
      <c r="B3832" s="65" t="str">
        <f t="shared" si="59"/>
        <v>doc-2861:2</v>
      </c>
      <c r="C3832" t="s">
        <v>10319</v>
      </c>
      <c r="D3832">
        <v>2</v>
      </c>
      <c r="E3832" t="s">
        <v>299</v>
      </c>
    </row>
    <row r="3833" spans="2:5">
      <c r="B3833" s="65" t="str">
        <f t="shared" si="59"/>
        <v>doc-2861:3</v>
      </c>
      <c r="C3833" t="s">
        <v>10319</v>
      </c>
      <c r="D3833">
        <v>3</v>
      </c>
      <c r="E3833" t="s">
        <v>2918</v>
      </c>
    </row>
    <row r="3834" spans="2:5">
      <c r="B3834" s="65" t="str">
        <f t="shared" si="59"/>
        <v>doc-2861:4</v>
      </c>
      <c r="C3834" t="s">
        <v>10319</v>
      </c>
      <c r="D3834">
        <v>4</v>
      </c>
      <c r="E3834" t="s">
        <v>1461</v>
      </c>
    </row>
    <row r="3835" spans="2:5">
      <c r="B3835" s="65" t="str">
        <f t="shared" si="59"/>
        <v>doc-2861:5</v>
      </c>
      <c r="C3835" t="s">
        <v>10319</v>
      </c>
      <c r="D3835">
        <v>5</v>
      </c>
      <c r="E3835" t="s">
        <v>2731</v>
      </c>
    </row>
    <row r="3836" spans="2:5">
      <c r="B3836" s="65" t="str">
        <f t="shared" si="59"/>
        <v>doc-2861:6</v>
      </c>
      <c r="C3836" t="s">
        <v>10319</v>
      </c>
      <c r="D3836">
        <v>6</v>
      </c>
      <c r="E3836" t="s">
        <v>2664</v>
      </c>
    </row>
    <row r="3837" spans="2:5">
      <c r="B3837" s="65" t="str">
        <f t="shared" si="59"/>
        <v>doc-2861:7</v>
      </c>
      <c r="C3837" t="s">
        <v>10319</v>
      </c>
      <c r="D3837">
        <v>7</v>
      </c>
      <c r="E3837" t="s">
        <v>2960</v>
      </c>
    </row>
    <row r="3838" spans="2:5">
      <c r="B3838" s="65" t="str">
        <f t="shared" si="59"/>
        <v>doc-2861:8</v>
      </c>
      <c r="C3838" t="s">
        <v>10319</v>
      </c>
      <c r="D3838">
        <v>8</v>
      </c>
      <c r="E3838" t="s">
        <v>1685</v>
      </c>
    </row>
    <row r="3839" spans="2:5">
      <c r="B3839" s="65" t="str">
        <f t="shared" si="59"/>
        <v>doc-2861:9</v>
      </c>
      <c r="C3839" t="s">
        <v>10319</v>
      </c>
      <c r="D3839">
        <v>9</v>
      </c>
      <c r="E3839" t="s">
        <v>1673</v>
      </c>
    </row>
    <row r="3840" spans="2:5">
      <c r="B3840" s="65" t="str">
        <f t="shared" si="59"/>
        <v>doc-2861:10</v>
      </c>
      <c r="C3840" t="s">
        <v>10319</v>
      </c>
      <c r="D3840">
        <v>10</v>
      </c>
      <c r="E3840" t="s">
        <v>1119</v>
      </c>
    </row>
    <row r="3841" spans="2:5">
      <c r="B3841" s="65" t="str">
        <f t="shared" si="59"/>
        <v>doc-2862:1</v>
      </c>
      <c r="C3841" t="s">
        <v>10320</v>
      </c>
      <c r="D3841">
        <v>1</v>
      </c>
      <c r="E3841" t="s">
        <v>1777</v>
      </c>
    </row>
    <row r="3842" spans="2:5">
      <c r="B3842" s="65" t="str">
        <f t="shared" si="59"/>
        <v>doc-2862:2</v>
      </c>
      <c r="C3842" t="s">
        <v>10320</v>
      </c>
      <c r="D3842">
        <v>2</v>
      </c>
      <c r="E3842" t="s">
        <v>1357</v>
      </c>
    </row>
    <row r="3843" spans="2:5">
      <c r="B3843" s="65" t="str">
        <f t="shared" si="59"/>
        <v>doc-2862:3</v>
      </c>
      <c r="C3843" t="s">
        <v>10320</v>
      </c>
      <c r="D3843">
        <v>3</v>
      </c>
      <c r="E3843" t="s">
        <v>2954</v>
      </c>
    </row>
    <row r="3844" spans="2:5">
      <c r="B3844" s="65" t="str">
        <f t="shared" ref="B3844:B3907" si="60">$C3844&amp;":"&amp;$D3844</f>
        <v>doc-2862:4</v>
      </c>
      <c r="C3844" t="s">
        <v>10320</v>
      </c>
      <c r="D3844">
        <v>4</v>
      </c>
      <c r="E3844" t="s">
        <v>1941</v>
      </c>
    </row>
    <row r="3845" spans="2:5">
      <c r="B3845" s="65" t="str">
        <f t="shared" si="60"/>
        <v>doc-2862:5</v>
      </c>
      <c r="C3845" t="s">
        <v>10320</v>
      </c>
      <c r="D3845">
        <v>5</v>
      </c>
      <c r="E3845" t="s">
        <v>1482</v>
      </c>
    </row>
    <row r="3846" spans="2:5">
      <c r="B3846" s="65" t="str">
        <f t="shared" si="60"/>
        <v>doc-2863:1</v>
      </c>
      <c r="C3846" t="s">
        <v>10321</v>
      </c>
      <c r="D3846">
        <v>1</v>
      </c>
      <c r="E3846" t="s">
        <v>2846</v>
      </c>
    </row>
    <row r="3847" spans="2:5">
      <c r="B3847" s="65" t="str">
        <f t="shared" si="60"/>
        <v>doc-2863:2</v>
      </c>
      <c r="C3847" t="s">
        <v>10321</v>
      </c>
      <c r="D3847">
        <v>2</v>
      </c>
      <c r="E3847" t="s">
        <v>3237</v>
      </c>
    </row>
    <row r="3848" spans="2:5">
      <c r="B3848" s="65" t="str">
        <f t="shared" si="60"/>
        <v>doc-2863:3</v>
      </c>
      <c r="C3848" t="s">
        <v>10321</v>
      </c>
      <c r="D3848">
        <v>3</v>
      </c>
      <c r="E3848" t="s">
        <v>2583</v>
      </c>
    </row>
    <row r="3849" spans="2:5">
      <c r="B3849" s="65" t="str">
        <f t="shared" si="60"/>
        <v>doc-2863:4</v>
      </c>
      <c r="C3849" t="s">
        <v>10321</v>
      </c>
      <c r="D3849">
        <v>4</v>
      </c>
      <c r="E3849" t="s">
        <v>2805</v>
      </c>
    </row>
    <row r="3850" spans="2:5">
      <c r="B3850" s="65" t="str">
        <f t="shared" si="60"/>
        <v>doc-2863:5</v>
      </c>
      <c r="C3850" t="s">
        <v>10321</v>
      </c>
      <c r="D3850">
        <v>5</v>
      </c>
      <c r="E3850" t="s">
        <v>3241</v>
      </c>
    </row>
    <row r="3851" spans="2:5">
      <c r="B3851" s="65" t="str">
        <f t="shared" si="60"/>
        <v>doc-2863:6</v>
      </c>
      <c r="C3851" t="s">
        <v>10321</v>
      </c>
      <c r="D3851">
        <v>6</v>
      </c>
      <c r="E3851" t="s">
        <v>2787</v>
      </c>
    </row>
    <row r="3852" spans="2:5">
      <c r="B3852" s="65" t="str">
        <f t="shared" si="60"/>
        <v>doc-2866:1</v>
      </c>
      <c r="C3852" t="s">
        <v>10322</v>
      </c>
      <c r="D3852">
        <v>1</v>
      </c>
      <c r="E3852" t="s">
        <v>2389</v>
      </c>
    </row>
    <row r="3853" spans="2:5">
      <c r="B3853" s="65" t="str">
        <f t="shared" si="60"/>
        <v>doc-2866:2</v>
      </c>
      <c r="C3853" t="s">
        <v>10322</v>
      </c>
      <c r="D3853">
        <v>2</v>
      </c>
      <c r="E3853" t="s">
        <v>2381</v>
      </c>
    </row>
    <row r="3854" spans="2:5">
      <c r="B3854" s="65" t="str">
        <f t="shared" si="60"/>
        <v>doc-2866:3</v>
      </c>
      <c r="C3854" t="s">
        <v>10322</v>
      </c>
      <c r="D3854">
        <v>3</v>
      </c>
      <c r="E3854" t="s">
        <v>2375</v>
      </c>
    </row>
    <row r="3855" spans="2:5">
      <c r="B3855" s="65" t="str">
        <f t="shared" si="60"/>
        <v>doc-2866:4</v>
      </c>
      <c r="C3855" t="s">
        <v>10322</v>
      </c>
      <c r="D3855">
        <v>4</v>
      </c>
      <c r="E3855" t="s">
        <v>2391</v>
      </c>
    </row>
    <row r="3856" spans="2:5">
      <c r="B3856" s="65" t="str">
        <f t="shared" si="60"/>
        <v>doc-2870:1</v>
      </c>
      <c r="C3856" t="s">
        <v>10323</v>
      </c>
      <c r="D3856">
        <v>1</v>
      </c>
      <c r="E3856" t="s">
        <v>2874</v>
      </c>
    </row>
    <row r="3857" spans="2:5">
      <c r="B3857" s="65" t="str">
        <f t="shared" si="60"/>
        <v>doc-2870:2</v>
      </c>
      <c r="C3857" t="s">
        <v>10323</v>
      </c>
      <c r="D3857">
        <v>2</v>
      </c>
      <c r="E3857" t="s">
        <v>2825</v>
      </c>
    </row>
    <row r="3858" spans="2:5">
      <c r="B3858" s="65" t="str">
        <f t="shared" si="60"/>
        <v>doc-2870:3</v>
      </c>
      <c r="C3858" t="s">
        <v>10323</v>
      </c>
      <c r="D3858">
        <v>3</v>
      </c>
      <c r="E3858" t="s">
        <v>2023</v>
      </c>
    </row>
    <row r="3859" spans="2:5">
      <c r="B3859" s="65" t="str">
        <f t="shared" si="60"/>
        <v>doc-2870:4</v>
      </c>
      <c r="C3859" t="s">
        <v>10323</v>
      </c>
      <c r="D3859">
        <v>4</v>
      </c>
      <c r="E3859" t="s">
        <v>2020</v>
      </c>
    </row>
    <row r="3860" spans="2:5">
      <c r="B3860" s="65" t="str">
        <f t="shared" si="60"/>
        <v>doc-2870:5</v>
      </c>
      <c r="C3860" t="s">
        <v>10323</v>
      </c>
      <c r="D3860">
        <v>5</v>
      </c>
      <c r="E3860" t="s">
        <v>2860</v>
      </c>
    </row>
    <row r="3861" spans="2:5">
      <c r="B3861" s="65" t="str">
        <f t="shared" si="60"/>
        <v>doc-2870:6</v>
      </c>
      <c r="C3861" t="s">
        <v>10323</v>
      </c>
      <c r="D3861">
        <v>6</v>
      </c>
      <c r="E3861" t="s">
        <v>2849</v>
      </c>
    </row>
    <row r="3862" spans="2:5">
      <c r="B3862" s="65" t="str">
        <f t="shared" si="60"/>
        <v>doc-2870:7</v>
      </c>
      <c r="C3862" t="s">
        <v>10323</v>
      </c>
      <c r="D3862">
        <v>7</v>
      </c>
      <c r="E3862" t="s">
        <v>2833</v>
      </c>
    </row>
    <row r="3863" spans="2:5">
      <c r="B3863" s="65" t="str">
        <f t="shared" si="60"/>
        <v>doc-2870:8</v>
      </c>
      <c r="C3863" t="s">
        <v>10323</v>
      </c>
      <c r="D3863">
        <v>8</v>
      </c>
      <c r="E3863" t="s">
        <v>2881</v>
      </c>
    </row>
    <row r="3864" spans="2:5">
      <c r="B3864" s="65" t="str">
        <f t="shared" si="60"/>
        <v>doc-2871:1</v>
      </c>
      <c r="C3864" t="s">
        <v>10324</v>
      </c>
      <c r="D3864">
        <v>1</v>
      </c>
      <c r="E3864" t="s">
        <v>2085</v>
      </c>
    </row>
    <row r="3865" spans="2:5">
      <c r="B3865" s="65" t="str">
        <f t="shared" si="60"/>
        <v>doc-2871:2</v>
      </c>
      <c r="C3865" t="s">
        <v>10324</v>
      </c>
      <c r="D3865">
        <v>2</v>
      </c>
      <c r="E3865" t="s">
        <v>2020</v>
      </c>
    </row>
    <row r="3866" spans="2:5">
      <c r="B3866" s="65" t="str">
        <f t="shared" si="60"/>
        <v>doc-2871:3</v>
      </c>
      <c r="C3866" t="s">
        <v>10324</v>
      </c>
      <c r="D3866">
        <v>3</v>
      </c>
      <c r="E3866" t="s">
        <v>2146</v>
      </c>
    </row>
    <row r="3867" spans="2:5">
      <c r="B3867" s="65" t="str">
        <f t="shared" si="60"/>
        <v>doc-2872:1</v>
      </c>
      <c r="C3867" t="s">
        <v>10325</v>
      </c>
      <c r="D3867">
        <v>1</v>
      </c>
      <c r="E3867" t="s">
        <v>1645</v>
      </c>
    </row>
    <row r="3868" spans="2:5">
      <c r="B3868" s="65" t="str">
        <f t="shared" si="60"/>
        <v>doc-2872:2</v>
      </c>
      <c r="C3868" t="s">
        <v>10325</v>
      </c>
      <c r="D3868">
        <v>2</v>
      </c>
      <c r="E3868" t="s">
        <v>2026</v>
      </c>
    </row>
    <row r="3869" spans="2:5">
      <c r="B3869" s="65" t="str">
        <f t="shared" si="60"/>
        <v>doc-2872:3</v>
      </c>
      <c r="C3869" t="s">
        <v>10325</v>
      </c>
      <c r="D3869">
        <v>3</v>
      </c>
      <c r="E3869" t="s">
        <v>1632</v>
      </c>
    </row>
    <row r="3870" spans="2:5">
      <c r="B3870" s="65" t="str">
        <f t="shared" si="60"/>
        <v>doc-2872:4</v>
      </c>
      <c r="C3870" t="s">
        <v>10325</v>
      </c>
      <c r="D3870">
        <v>4</v>
      </c>
      <c r="E3870" t="s">
        <v>2033</v>
      </c>
    </row>
    <row r="3871" spans="2:5">
      <c r="B3871" s="65" t="str">
        <f t="shared" si="60"/>
        <v>doc-2872:5</v>
      </c>
      <c r="C3871" t="s">
        <v>10325</v>
      </c>
      <c r="D3871">
        <v>5</v>
      </c>
      <c r="E3871" t="s">
        <v>1899</v>
      </c>
    </row>
    <row r="3872" spans="2:5">
      <c r="B3872" s="65" t="str">
        <f t="shared" si="60"/>
        <v>doc-2884:1</v>
      </c>
      <c r="C3872" t="s">
        <v>10326</v>
      </c>
      <c r="D3872">
        <v>1</v>
      </c>
      <c r="E3872" t="s">
        <v>2810</v>
      </c>
    </row>
    <row r="3873" spans="2:5">
      <c r="B3873" s="65" t="str">
        <f t="shared" si="60"/>
        <v>doc-2884:2</v>
      </c>
      <c r="C3873" t="s">
        <v>10326</v>
      </c>
      <c r="D3873">
        <v>2</v>
      </c>
      <c r="E3873" t="s">
        <v>2805</v>
      </c>
    </row>
    <row r="3874" spans="2:5">
      <c r="B3874" s="65" t="str">
        <f t="shared" si="60"/>
        <v>doc-2884:3</v>
      </c>
      <c r="C3874" t="s">
        <v>10326</v>
      </c>
      <c r="D3874">
        <v>3</v>
      </c>
      <c r="E3874" t="s">
        <v>1941</v>
      </c>
    </row>
    <row r="3875" spans="2:5">
      <c r="B3875" s="65" t="str">
        <f t="shared" si="60"/>
        <v>doc-2889:1</v>
      </c>
      <c r="C3875" t="s">
        <v>10327</v>
      </c>
      <c r="D3875">
        <v>1</v>
      </c>
      <c r="E3875" t="s">
        <v>2023</v>
      </c>
    </row>
    <row r="3876" spans="2:5">
      <c r="B3876" s="65" t="str">
        <f t="shared" si="60"/>
        <v>doc-2889:2</v>
      </c>
      <c r="C3876" t="s">
        <v>10327</v>
      </c>
      <c r="D3876">
        <v>2</v>
      </c>
      <c r="E3876" t="s">
        <v>2846</v>
      </c>
    </row>
    <row r="3877" spans="2:5">
      <c r="B3877" s="65" t="str">
        <f t="shared" si="60"/>
        <v>doc-2889:3</v>
      </c>
      <c r="C3877" t="s">
        <v>10327</v>
      </c>
      <c r="D3877">
        <v>3</v>
      </c>
      <c r="E3877" t="s">
        <v>296</v>
      </c>
    </row>
    <row r="3878" spans="2:5">
      <c r="B3878" s="65" t="str">
        <f t="shared" si="60"/>
        <v>doc-2889:4</v>
      </c>
      <c r="C3878" t="s">
        <v>10327</v>
      </c>
      <c r="D3878">
        <v>4</v>
      </c>
      <c r="E3878" t="s">
        <v>2849</v>
      </c>
    </row>
    <row r="3879" spans="2:5">
      <c r="B3879" s="65" t="str">
        <f t="shared" si="60"/>
        <v>doc-2889:5</v>
      </c>
      <c r="C3879" t="s">
        <v>10327</v>
      </c>
      <c r="D3879">
        <v>5</v>
      </c>
      <c r="E3879" t="s">
        <v>2020</v>
      </c>
    </row>
    <row r="3880" spans="2:5">
      <c r="B3880" s="65" t="str">
        <f t="shared" si="60"/>
        <v>doc-2889:6</v>
      </c>
      <c r="C3880" t="s">
        <v>10327</v>
      </c>
      <c r="D3880">
        <v>6</v>
      </c>
      <c r="E3880" t="s">
        <v>2973</v>
      </c>
    </row>
    <row r="3881" spans="2:5">
      <c r="B3881" s="65" t="str">
        <f t="shared" si="60"/>
        <v>doc-2889:7</v>
      </c>
      <c r="C3881" t="s">
        <v>10327</v>
      </c>
      <c r="D3881">
        <v>7</v>
      </c>
      <c r="E3881" t="s">
        <v>1122</v>
      </c>
    </row>
    <row r="3882" spans="2:5">
      <c r="B3882" s="65" t="str">
        <f t="shared" si="60"/>
        <v>doc-2891:1</v>
      </c>
      <c r="C3882" t="s">
        <v>10328</v>
      </c>
      <c r="D3882">
        <v>1</v>
      </c>
      <c r="E3882" t="s">
        <v>2389</v>
      </c>
    </row>
    <row r="3883" spans="2:5">
      <c r="B3883" s="65" t="str">
        <f t="shared" si="60"/>
        <v>doc-2891:2</v>
      </c>
      <c r="C3883" t="s">
        <v>10328</v>
      </c>
      <c r="D3883">
        <v>2</v>
      </c>
      <c r="E3883" t="s">
        <v>2381</v>
      </c>
    </row>
    <row r="3884" spans="2:5">
      <c r="B3884" s="65" t="str">
        <f t="shared" si="60"/>
        <v>doc-2891:3</v>
      </c>
      <c r="C3884" t="s">
        <v>10328</v>
      </c>
      <c r="D3884">
        <v>3</v>
      </c>
      <c r="E3884" t="s">
        <v>2375</v>
      </c>
    </row>
    <row r="3885" spans="2:5">
      <c r="B3885" s="65" t="str">
        <f t="shared" si="60"/>
        <v>doc-2891:4</v>
      </c>
      <c r="C3885" t="s">
        <v>10328</v>
      </c>
      <c r="D3885">
        <v>4</v>
      </c>
      <c r="E3885" t="s">
        <v>2391</v>
      </c>
    </row>
    <row r="3886" spans="2:5">
      <c r="B3886" s="65" t="str">
        <f t="shared" si="60"/>
        <v>doc-2892:1</v>
      </c>
      <c r="C3886" t="s">
        <v>10329</v>
      </c>
      <c r="D3886">
        <v>1</v>
      </c>
      <c r="E3886" t="s">
        <v>2389</v>
      </c>
    </row>
    <row r="3887" spans="2:5">
      <c r="B3887" s="65" t="str">
        <f t="shared" si="60"/>
        <v>doc-2892:2</v>
      </c>
      <c r="C3887" t="s">
        <v>10329</v>
      </c>
      <c r="D3887">
        <v>2</v>
      </c>
      <c r="E3887" t="s">
        <v>2381</v>
      </c>
    </row>
    <row r="3888" spans="2:5">
      <c r="B3888" s="65" t="str">
        <f t="shared" si="60"/>
        <v>doc-2892:3</v>
      </c>
      <c r="C3888" t="s">
        <v>10329</v>
      </c>
      <c r="D3888">
        <v>3</v>
      </c>
      <c r="E3888" t="s">
        <v>2375</v>
      </c>
    </row>
    <row r="3889" spans="2:5">
      <c r="B3889" s="65" t="str">
        <f t="shared" si="60"/>
        <v>doc-2892:4</v>
      </c>
      <c r="C3889" t="s">
        <v>10329</v>
      </c>
      <c r="D3889">
        <v>4</v>
      </c>
      <c r="E3889" t="s">
        <v>2391</v>
      </c>
    </row>
    <row r="3890" spans="2:5">
      <c r="B3890" s="65" t="str">
        <f t="shared" si="60"/>
        <v>doc-2893:1</v>
      </c>
      <c r="C3890" t="s">
        <v>10330</v>
      </c>
      <c r="D3890">
        <v>1</v>
      </c>
      <c r="E3890" t="s">
        <v>2372</v>
      </c>
    </row>
    <row r="3891" spans="2:5">
      <c r="B3891" s="65" t="str">
        <f t="shared" si="60"/>
        <v>doc-2893:2</v>
      </c>
      <c r="C3891" t="s">
        <v>10330</v>
      </c>
      <c r="D3891">
        <v>2</v>
      </c>
      <c r="E3891" t="s">
        <v>2810</v>
      </c>
    </row>
    <row r="3892" spans="2:5">
      <c r="B3892" s="65" t="str">
        <f t="shared" si="60"/>
        <v>doc-2893:3</v>
      </c>
      <c r="C3892" t="s">
        <v>10330</v>
      </c>
      <c r="D3892">
        <v>3</v>
      </c>
      <c r="E3892" t="s">
        <v>2375</v>
      </c>
    </row>
    <row r="3893" spans="2:5">
      <c r="B3893" s="65" t="str">
        <f t="shared" si="60"/>
        <v>doc-2893:4</v>
      </c>
      <c r="C3893" t="s">
        <v>10330</v>
      </c>
      <c r="D3893">
        <v>4</v>
      </c>
      <c r="E3893" t="s">
        <v>1941</v>
      </c>
    </row>
    <row r="3894" spans="2:5">
      <c r="B3894" s="65" t="str">
        <f t="shared" si="60"/>
        <v>doc-2894:1</v>
      </c>
      <c r="C3894" t="s">
        <v>10331</v>
      </c>
      <c r="D3894">
        <v>1</v>
      </c>
      <c r="E3894" t="s">
        <v>82</v>
      </c>
    </row>
    <row r="3895" spans="2:5">
      <c r="B3895" s="65" t="str">
        <f t="shared" si="60"/>
        <v>doc-2895:1</v>
      </c>
      <c r="C3895" t="s">
        <v>10332</v>
      </c>
      <c r="D3895">
        <v>1</v>
      </c>
      <c r="E3895" t="s">
        <v>82</v>
      </c>
    </row>
    <row r="3896" spans="2:5">
      <c r="B3896" s="65" t="str">
        <f t="shared" si="60"/>
        <v>doc-2899:1</v>
      </c>
      <c r="C3896" t="s">
        <v>10333</v>
      </c>
      <c r="D3896">
        <v>1</v>
      </c>
      <c r="E3896" t="s">
        <v>73</v>
      </c>
    </row>
    <row r="3897" spans="2:5">
      <c r="B3897" s="65" t="str">
        <f t="shared" si="60"/>
        <v>doc-2899:2</v>
      </c>
      <c r="C3897" t="s">
        <v>10333</v>
      </c>
      <c r="D3897">
        <v>2</v>
      </c>
      <c r="E3897" t="s">
        <v>1476</v>
      </c>
    </row>
    <row r="3898" spans="2:5">
      <c r="B3898" s="65" t="str">
        <f t="shared" si="60"/>
        <v>doc-2899:3</v>
      </c>
      <c r="C3898" t="s">
        <v>10333</v>
      </c>
      <c r="D3898">
        <v>3</v>
      </c>
      <c r="E3898" t="s">
        <v>79</v>
      </c>
    </row>
    <row r="3899" spans="2:5">
      <c r="B3899" s="65" t="str">
        <f t="shared" si="60"/>
        <v>doc-2900:1</v>
      </c>
      <c r="C3899" t="s">
        <v>10334</v>
      </c>
      <c r="D3899">
        <v>1</v>
      </c>
      <c r="E3899" t="s">
        <v>1461</v>
      </c>
    </row>
    <row r="3900" spans="2:5">
      <c r="B3900" s="65" t="str">
        <f t="shared" si="60"/>
        <v>doc-2900:2</v>
      </c>
      <c r="C3900" t="s">
        <v>10334</v>
      </c>
      <c r="D3900">
        <v>2</v>
      </c>
      <c r="E3900" t="s">
        <v>2920</v>
      </c>
    </row>
    <row r="3901" spans="2:5">
      <c r="B3901" s="65" t="str">
        <f t="shared" si="60"/>
        <v>doc-2900:3</v>
      </c>
      <c r="C3901" t="s">
        <v>10334</v>
      </c>
      <c r="D3901">
        <v>3</v>
      </c>
      <c r="E3901" t="s">
        <v>2915</v>
      </c>
    </row>
    <row r="3902" spans="2:5">
      <c r="B3902" s="65" t="str">
        <f t="shared" si="60"/>
        <v>doc-2900:4</v>
      </c>
      <c r="C3902" t="s">
        <v>10334</v>
      </c>
      <c r="D3902">
        <v>4</v>
      </c>
      <c r="E3902" t="s">
        <v>79</v>
      </c>
    </row>
    <row r="3903" spans="2:5">
      <c r="B3903" s="65" t="str">
        <f t="shared" si="60"/>
        <v>doc-2900:5</v>
      </c>
      <c r="C3903" t="s">
        <v>10334</v>
      </c>
      <c r="D3903">
        <v>5</v>
      </c>
      <c r="E3903" t="s">
        <v>90</v>
      </c>
    </row>
    <row r="3904" spans="2:5">
      <c r="B3904" s="65" t="str">
        <f t="shared" si="60"/>
        <v>doc-2900:6</v>
      </c>
      <c r="C3904" t="s">
        <v>10334</v>
      </c>
      <c r="D3904">
        <v>6</v>
      </c>
      <c r="E3904" t="s">
        <v>299</v>
      </c>
    </row>
    <row r="3905" spans="2:5">
      <c r="B3905" s="65" t="str">
        <f t="shared" si="60"/>
        <v>doc-2900:7</v>
      </c>
      <c r="C3905" t="s">
        <v>10334</v>
      </c>
      <c r="D3905">
        <v>7</v>
      </c>
      <c r="E3905" t="s">
        <v>2960</v>
      </c>
    </row>
    <row r="3906" spans="2:5">
      <c r="B3906" s="65" t="str">
        <f t="shared" si="60"/>
        <v>doc-2900:8</v>
      </c>
      <c r="C3906" t="s">
        <v>10334</v>
      </c>
      <c r="D3906">
        <v>8</v>
      </c>
      <c r="E3906" t="s">
        <v>2943</v>
      </c>
    </row>
    <row r="3907" spans="2:5">
      <c r="B3907" s="65" t="str">
        <f t="shared" si="60"/>
        <v>doc-2900:9</v>
      </c>
      <c r="C3907" t="s">
        <v>10334</v>
      </c>
      <c r="D3907">
        <v>9</v>
      </c>
      <c r="E3907" t="s">
        <v>1550</v>
      </c>
    </row>
    <row r="3908" spans="2:5">
      <c r="B3908" s="65" t="str">
        <f t="shared" ref="B3908:B3971" si="61">$C3908&amp;":"&amp;$D3908</f>
        <v>doc-2900:10</v>
      </c>
      <c r="C3908" t="s">
        <v>10334</v>
      </c>
      <c r="D3908">
        <v>10</v>
      </c>
      <c r="E3908" t="s">
        <v>1782</v>
      </c>
    </row>
    <row r="3909" spans="2:5">
      <c r="B3909" s="65" t="str">
        <f t="shared" si="61"/>
        <v>doc-2900:11</v>
      </c>
      <c r="C3909" t="s">
        <v>10334</v>
      </c>
      <c r="D3909">
        <v>11</v>
      </c>
      <c r="E3909" t="s">
        <v>1119</v>
      </c>
    </row>
    <row r="3910" spans="2:5">
      <c r="B3910" s="65" t="str">
        <f t="shared" si="61"/>
        <v>doc-2901:1</v>
      </c>
      <c r="C3910" t="s">
        <v>10335</v>
      </c>
      <c r="D3910">
        <v>1</v>
      </c>
      <c r="E3910" t="s">
        <v>1461</v>
      </c>
    </row>
    <row r="3911" spans="2:5">
      <c r="B3911" s="65" t="str">
        <f t="shared" si="61"/>
        <v>doc-2901:2</v>
      </c>
      <c r="C3911" t="s">
        <v>10335</v>
      </c>
      <c r="D3911">
        <v>2</v>
      </c>
      <c r="E3911" t="s">
        <v>2960</v>
      </c>
    </row>
    <row r="3912" spans="2:5">
      <c r="B3912" s="65" t="str">
        <f t="shared" si="61"/>
        <v>doc-2901:3</v>
      </c>
      <c r="C3912" t="s">
        <v>10335</v>
      </c>
      <c r="D3912">
        <v>3</v>
      </c>
      <c r="E3912" t="s">
        <v>2926</v>
      </c>
    </row>
    <row r="3913" spans="2:5">
      <c r="B3913" s="65" t="str">
        <f t="shared" si="61"/>
        <v>doc-2902:1</v>
      </c>
      <c r="C3913" t="s">
        <v>10336</v>
      </c>
      <c r="D3913">
        <v>1</v>
      </c>
      <c r="E3913" t="s">
        <v>1782</v>
      </c>
    </row>
    <row r="3914" spans="2:5">
      <c r="B3914" s="65" t="str">
        <f t="shared" si="61"/>
        <v>doc-2902:2</v>
      </c>
      <c r="C3914" t="s">
        <v>10336</v>
      </c>
      <c r="D3914">
        <v>2</v>
      </c>
      <c r="E3914" t="s">
        <v>1461</v>
      </c>
    </row>
    <row r="3915" spans="2:5">
      <c r="B3915" s="65" t="str">
        <f t="shared" si="61"/>
        <v>doc-2902:3</v>
      </c>
      <c r="C3915" t="s">
        <v>10336</v>
      </c>
      <c r="D3915">
        <v>3</v>
      </c>
      <c r="E3915" t="s">
        <v>2915</v>
      </c>
    </row>
    <row r="3916" spans="2:5">
      <c r="B3916" s="65" t="str">
        <f t="shared" si="61"/>
        <v>doc-2902:4</v>
      </c>
      <c r="C3916" t="s">
        <v>10336</v>
      </c>
      <c r="D3916">
        <v>4</v>
      </c>
      <c r="E3916" t="s">
        <v>1119</v>
      </c>
    </row>
    <row r="3917" spans="2:5">
      <c r="B3917" s="65" t="str">
        <f t="shared" si="61"/>
        <v>doc-2903:1</v>
      </c>
      <c r="C3917" t="s">
        <v>10337</v>
      </c>
      <c r="D3917">
        <v>1</v>
      </c>
      <c r="E3917" t="s">
        <v>1321</v>
      </c>
    </row>
    <row r="3918" spans="2:5">
      <c r="B3918" s="65" t="str">
        <f t="shared" si="61"/>
        <v>doc-2903:2</v>
      </c>
      <c r="C3918" t="s">
        <v>10337</v>
      </c>
      <c r="D3918">
        <v>2</v>
      </c>
      <c r="E3918" t="s">
        <v>254</v>
      </c>
    </row>
    <row r="3919" spans="2:5">
      <c r="B3919" s="65" t="str">
        <f t="shared" si="61"/>
        <v>doc-2903:3</v>
      </c>
      <c r="C3919" t="s">
        <v>10337</v>
      </c>
      <c r="D3919">
        <v>3</v>
      </c>
      <c r="E3919" t="s">
        <v>2960</v>
      </c>
    </row>
    <row r="3920" spans="2:5">
      <c r="B3920" s="65" t="str">
        <f t="shared" si="61"/>
        <v>doc-2903:4</v>
      </c>
      <c r="C3920" t="s">
        <v>10337</v>
      </c>
      <c r="D3920">
        <v>4</v>
      </c>
      <c r="E3920" t="s">
        <v>2943</v>
      </c>
    </row>
    <row r="3921" spans="2:5">
      <c r="B3921" s="65" t="str">
        <f t="shared" si="61"/>
        <v>doc-2903:5</v>
      </c>
      <c r="C3921" t="s">
        <v>10337</v>
      </c>
      <c r="D3921">
        <v>5</v>
      </c>
      <c r="E3921" t="s">
        <v>1795</v>
      </c>
    </row>
    <row r="3922" spans="2:5">
      <c r="B3922" s="65" t="str">
        <f t="shared" si="61"/>
        <v>doc-2904:1</v>
      </c>
      <c r="C3922" t="s">
        <v>10338</v>
      </c>
      <c r="D3922">
        <v>1</v>
      </c>
      <c r="E3922" t="s">
        <v>2160</v>
      </c>
    </row>
    <row r="3923" spans="2:5">
      <c r="B3923" s="65" t="str">
        <f t="shared" si="61"/>
        <v>doc-2904:2</v>
      </c>
      <c r="C3923" t="s">
        <v>10338</v>
      </c>
      <c r="D3923">
        <v>2</v>
      </c>
      <c r="E3923" t="s">
        <v>1988</v>
      </c>
    </row>
    <row r="3924" spans="2:5">
      <c r="B3924" s="65" t="str">
        <f t="shared" si="61"/>
        <v>doc-2904:3</v>
      </c>
      <c r="C3924" t="s">
        <v>10338</v>
      </c>
      <c r="D3924">
        <v>3</v>
      </c>
      <c r="E3924" t="s">
        <v>1944</v>
      </c>
    </row>
    <row r="3925" spans="2:5">
      <c r="B3925" s="65" t="str">
        <f t="shared" si="61"/>
        <v>doc-2904:4</v>
      </c>
      <c r="C3925" t="s">
        <v>10338</v>
      </c>
      <c r="D3925">
        <v>4</v>
      </c>
      <c r="E3925" t="s">
        <v>2023</v>
      </c>
    </row>
    <row r="3926" spans="2:5">
      <c r="B3926" s="65" t="str">
        <f t="shared" si="61"/>
        <v>doc-2904:5</v>
      </c>
      <c r="C3926" t="s">
        <v>10338</v>
      </c>
      <c r="D3926">
        <v>5</v>
      </c>
      <c r="E3926" t="s">
        <v>1105</v>
      </c>
    </row>
    <row r="3927" spans="2:5">
      <c r="B3927" s="65" t="str">
        <f t="shared" si="61"/>
        <v>doc-2904:6</v>
      </c>
      <c r="C3927" t="s">
        <v>10338</v>
      </c>
      <c r="D3927">
        <v>6</v>
      </c>
      <c r="E3927" t="s">
        <v>2121</v>
      </c>
    </row>
    <row r="3928" spans="2:5">
      <c r="B3928" s="65" t="str">
        <f t="shared" si="61"/>
        <v>doc-2905:1</v>
      </c>
      <c r="C3928" t="s">
        <v>6203</v>
      </c>
      <c r="D3928">
        <v>1</v>
      </c>
      <c r="E3928" t="s">
        <v>2160</v>
      </c>
    </row>
    <row r="3929" spans="2:5">
      <c r="B3929" s="65" t="str">
        <f t="shared" si="61"/>
        <v>doc-2905:2</v>
      </c>
      <c r="C3929" t="s">
        <v>6203</v>
      </c>
      <c r="D3929">
        <v>2</v>
      </c>
      <c r="E3929" t="s">
        <v>1944</v>
      </c>
    </row>
    <row r="3930" spans="2:5">
      <c r="B3930" s="65" t="str">
        <f t="shared" si="61"/>
        <v>doc-2905:3</v>
      </c>
      <c r="C3930" t="s">
        <v>6203</v>
      </c>
      <c r="D3930">
        <v>3</v>
      </c>
      <c r="E3930" t="s">
        <v>2121</v>
      </c>
    </row>
    <row r="3931" spans="2:5">
      <c r="B3931" s="65" t="str">
        <f t="shared" si="61"/>
        <v>doc-2906:1</v>
      </c>
      <c r="C3931" t="s">
        <v>10339</v>
      </c>
      <c r="D3931">
        <v>1</v>
      </c>
      <c r="E3931" t="s">
        <v>2339</v>
      </c>
    </row>
    <row r="3932" spans="2:5">
      <c r="B3932" s="65" t="str">
        <f t="shared" si="61"/>
        <v>doc-2906:2</v>
      </c>
      <c r="C3932" t="s">
        <v>10339</v>
      </c>
      <c r="D3932">
        <v>2</v>
      </c>
      <c r="E3932" t="s">
        <v>1988</v>
      </c>
    </row>
    <row r="3933" spans="2:5">
      <c r="B3933" s="65" t="str">
        <f t="shared" si="61"/>
        <v>doc-2906:3</v>
      </c>
      <c r="C3933" t="s">
        <v>10339</v>
      </c>
      <c r="D3933">
        <v>3</v>
      </c>
      <c r="E3933" t="s">
        <v>1944</v>
      </c>
    </row>
    <row r="3934" spans="2:5">
      <c r="B3934" s="65" t="str">
        <f t="shared" si="61"/>
        <v>doc-2906:4</v>
      </c>
      <c r="C3934" t="s">
        <v>10339</v>
      </c>
      <c r="D3934">
        <v>4</v>
      </c>
      <c r="E3934" t="s">
        <v>1813</v>
      </c>
    </row>
    <row r="3935" spans="2:5">
      <c r="B3935" s="65" t="str">
        <f t="shared" si="61"/>
        <v>doc-2908:1</v>
      </c>
      <c r="C3935" t="s">
        <v>10340</v>
      </c>
      <c r="D3935">
        <v>1</v>
      </c>
      <c r="E3935" t="s">
        <v>2320</v>
      </c>
    </row>
    <row r="3936" spans="2:5">
      <c r="B3936" s="65" t="str">
        <f t="shared" si="61"/>
        <v>doc-2908:2</v>
      </c>
      <c r="C3936" t="s">
        <v>10340</v>
      </c>
      <c r="D3936">
        <v>2</v>
      </c>
      <c r="E3936" t="s">
        <v>281</v>
      </c>
    </row>
    <row r="3937" spans="2:5">
      <c r="B3937" s="65" t="str">
        <f t="shared" si="61"/>
        <v>doc-2908:3</v>
      </c>
      <c r="C3937" t="s">
        <v>10340</v>
      </c>
      <c r="D3937">
        <v>3</v>
      </c>
      <c r="E3937" t="s">
        <v>2543</v>
      </c>
    </row>
    <row r="3938" spans="2:5">
      <c r="B3938" s="65" t="str">
        <f t="shared" si="61"/>
        <v>doc-2909:1</v>
      </c>
      <c r="C3938" t="s">
        <v>10341</v>
      </c>
      <c r="D3938">
        <v>1</v>
      </c>
      <c r="E3938" t="s">
        <v>79</v>
      </c>
    </row>
    <row r="3939" spans="2:5">
      <c r="B3939" s="65" t="str">
        <f t="shared" si="61"/>
        <v>doc-2909:2</v>
      </c>
      <c r="C3939" t="s">
        <v>10341</v>
      </c>
      <c r="D3939">
        <v>2</v>
      </c>
      <c r="E3939" t="s">
        <v>1763</v>
      </c>
    </row>
    <row r="3940" spans="2:5">
      <c r="B3940" s="65" t="str">
        <f t="shared" si="61"/>
        <v>doc-2909:3</v>
      </c>
      <c r="C3940" t="s">
        <v>10341</v>
      </c>
      <c r="D3940">
        <v>3</v>
      </c>
      <c r="E3940" t="s">
        <v>1739</v>
      </c>
    </row>
    <row r="3941" spans="2:5">
      <c r="B3941" s="65" t="str">
        <f t="shared" si="61"/>
        <v>doc-2909:4</v>
      </c>
      <c r="C3941" t="s">
        <v>10341</v>
      </c>
      <c r="D3941">
        <v>4</v>
      </c>
      <c r="E3941" t="s">
        <v>73</v>
      </c>
    </row>
    <row r="3942" spans="2:5">
      <c r="B3942" s="65" t="str">
        <f t="shared" si="61"/>
        <v>doc-2910:1</v>
      </c>
      <c r="C3942" t="s">
        <v>10342</v>
      </c>
      <c r="D3942">
        <v>1</v>
      </c>
      <c r="E3942" t="s">
        <v>3061</v>
      </c>
    </row>
    <row r="3943" spans="2:5">
      <c r="B3943" s="65" t="str">
        <f t="shared" si="61"/>
        <v>doc-2910:2</v>
      </c>
      <c r="C3943" t="s">
        <v>10342</v>
      </c>
      <c r="D3943">
        <v>2</v>
      </c>
      <c r="E3943" t="s">
        <v>254</v>
      </c>
    </row>
    <row r="3944" spans="2:5">
      <c r="B3944" s="65" t="str">
        <f t="shared" si="61"/>
        <v>doc-2911:1</v>
      </c>
      <c r="C3944" t="s">
        <v>10343</v>
      </c>
      <c r="D3944">
        <v>1</v>
      </c>
      <c r="E3944" t="s">
        <v>3061</v>
      </c>
    </row>
    <row r="3945" spans="2:5">
      <c r="B3945" s="65" t="str">
        <f t="shared" si="61"/>
        <v>doc-2911:2</v>
      </c>
      <c r="C3945" t="s">
        <v>10343</v>
      </c>
      <c r="D3945">
        <v>2</v>
      </c>
      <c r="E3945" t="s">
        <v>254</v>
      </c>
    </row>
    <row r="3946" spans="2:5">
      <c r="B3946" s="65" t="str">
        <f t="shared" si="61"/>
        <v>doc-2912:1</v>
      </c>
      <c r="C3946" t="s">
        <v>10344</v>
      </c>
      <c r="D3946">
        <v>1</v>
      </c>
      <c r="E3946" t="s">
        <v>1321</v>
      </c>
    </row>
    <row r="3947" spans="2:5">
      <c r="B3947" s="65" t="str">
        <f t="shared" si="61"/>
        <v>doc-2912:2</v>
      </c>
      <c r="C3947" t="s">
        <v>10344</v>
      </c>
      <c r="D3947">
        <v>2</v>
      </c>
      <c r="E3947" t="s">
        <v>1263</v>
      </c>
    </row>
    <row r="3948" spans="2:5">
      <c r="B3948" s="65" t="str">
        <f t="shared" si="61"/>
        <v>doc-2912:3</v>
      </c>
      <c r="C3948" t="s">
        <v>10344</v>
      </c>
      <c r="D3948">
        <v>3</v>
      </c>
      <c r="E3948" t="s">
        <v>254</v>
      </c>
    </row>
    <row r="3949" spans="2:5">
      <c r="B3949" s="65" t="str">
        <f t="shared" si="61"/>
        <v>doc-2912:4</v>
      </c>
      <c r="C3949" t="s">
        <v>10344</v>
      </c>
      <c r="D3949">
        <v>4</v>
      </c>
      <c r="E3949" t="s">
        <v>1272</v>
      </c>
    </row>
    <row r="3950" spans="2:5">
      <c r="B3950" s="65" t="str">
        <f t="shared" si="61"/>
        <v>doc-2912:5</v>
      </c>
      <c r="C3950" t="s">
        <v>10344</v>
      </c>
      <c r="D3950">
        <v>5</v>
      </c>
      <c r="E3950" t="s">
        <v>3061</v>
      </c>
    </row>
    <row r="3951" spans="2:5">
      <c r="B3951" s="65" t="str">
        <f t="shared" si="61"/>
        <v>doc-2914:1</v>
      </c>
      <c r="C3951" t="s">
        <v>6207</v>
      </c>
      <c r="D3951">
        <v>1</v>
      </c>
      <c r="E3951" t="s">
        <v>2112</v>
      </c>
    </row>
    <row r="3952" spans="2:5">
      <c r="B3952" s="65" t="str">
        <f t="shared" si="61"/>
        <v>doc-2914:2</v>
      </c>
      <c r="C3952" t="s">
        <v>6207</v>
      </c>
      <c r="D3952">
        <v>2</v>
      </c>
      <c r="E3952" t="s">
        <v>1877</v>
      </c>
    </row>
    <row r="3953" spans="2:5">
      <c r="B3953" s="65" t="str">
        <f t="shared" si="61"/>
        <v>doc-2914:3</v>
      </c>
      <c r="C3953" t="s">
        <v>6207</v>
      </c>
      <c r="D3953">
        <v>3</v>
      </c>
      <c r="E3953" t="s">
        <v>2061</v>
      </c>
    </row>
    <row r="3954" spans="2:5">
      <c r="B3954" s="65" t="str">
        <f t="shared" si="61"/>
        <v>doc-2914:4</v>
      </c>
      <c r="C3954" t="s">
        <v>6207</v>
      </c>
      <c r="D3954">
        <v>4</v>
      </c>
      <c r="E3954" t="s">
        <v>1905</v>
      </c>
    </row>
    <row r="3955" spans="2:5">
      <c r="B3955" s="65" t="str">
        <f t="shared" si="61"/>
        <v>doc-2915a:1</v>
      </c>
      <c r="C3955" t="s">
        <v>10345</v>
      </c>
      <c r="D3955">
        <v>1</v>
      </c>
      <c r="E3955" t="s">
        <v>1451</v>
      </c>
    </row>
    <row r="3956" spans="2:5">
      <c r="B3956" s="65" t="str">
        <f t="shared" si="61"/>
        <v>doc-2915a:2</v>
      </c>
      <c r="C3956" t="s">
        <v>10345</v>
      </c>
      <c r="D3956">
        <v>2</v>
      </c>
      <c r="E3956" t="s">
        <v>2026</v>
      </c>
    </row>
    <row r="3957" spans="2:5">
      <c r="B3957" s="65" t="str">
        <f t="shared" si="61"/>
        <v>doc-2915a:3</v>
      </c>
      <c r="C3957" t="s">
        <v>10345</v>
      </c>
      <c r="D3957">
        <v>3</v>
      </c>
      <c r="E3957" t="s">
        <v>2033</v>
      </c>
    </row>
    <row r="3958" spans="2:5">
      <c r="B3958" s="65" t="str">
        <f t="shared" si="61"/>
        <v>doc-2915a:4</v>
      </c>
      <c r="C3958" t="s">
        <v>10345</v>
      </c>
      <c r="D3958">
        <v>4</v>
      </c>
      <c r="E3958" t="s">
        <v>1899</v>
      </c>
    </row>
    <row r="3959" spans="2:5">
      <c r="B3959" s="65" t="str">
        <f t="shared" si="61"/>
        <v>doc-2915a:5</v>
      </c>
      <c r="C3959" t="s">
        <v>10345</v>
      </c>
      <c r="D3959">
        <v>5</v>
      </c>
      <c r="E3959" t="s">
        <v>2020</v>
      </c>
    </row>
    <row r="3960" spans="2:5">
      <c r="B3960" s="65" t="str">
        <f t="shared" si="61"/>
        <v>doc-2915b:1</v>
      </c>
      <c r="C3960" t="s">
        <v>10346</v>
      </c>
      <c r="D3960">
        <v>1</v>
      </c>
      <c r="E3960" t="s">
        <v>2915</v>
      </c>
    </row>
    <row r="3961" spans="2:5">
      <c r="B3961" s="65" t="str">
        <f t="shared" si="61"/>
        <v>doc-2915b:2</v>
      </c>
      <c r="C3961" t="s">
        <v>10346</v>
      </c>
      <c r="D3961">
        <v>2</v>
      </c>
      <c r="E3961" t="s">
        <v>2731</v>
      </c>
    </row>
    <row r="3962" spans="2:5">
      <c r="B3962" s="65" t="str">
        <f t="shared" si="61"/>
        <v>doc-2915b:3</v>
      </c>
      <c r="C3962" t="s">
        <v>10346</v>
      </c>
      <c r="D3962">
        <v>3</v>
      </c>
      <c r="E3962" t="s">
        <v>299</v>
      </c>
    </row>
    <row r="3963" spans="2:5">
      <c r="B3963" s="65" t="str">
        <f t="shared" si="61"/>
        <v>doc-2915b:4</v>
      </c>
      <c r="C3963" t="s">
        <v>10346</v>
      </c>
      <c r="D3963">
        <v>4</v>
      </c>
      <c r="E3963" t="s">
        <v>2664</v>
      </c>
    </row>
    <row r="3964" spans="2:5">
      <c r="B3964" s="65" t="str">
        <f t="shared" si="61"/>
        <v>doc-2916:1</v>
      </c>
      <c r="C3964" t="s">
        <v>6213</v>
      </c>
      <c r="D3964">
        <v>1</v>
      </c>
      <c r="E3964" t="s">
        <v>1108</v>
      </c>
    </row>
    <row r="3965" spans="2:5">
      <c r="B3965" s="65" t="str">
        <f t="shared" si="61"/>
        <v>doc-2916:2</v>
      </c>
      <c r="C3965" t="s">
        <v>6213</v>
      </c>
      <c r="D3965">
        <v>2</v>
      </c>
      <c r="E3965" t="s">
        <v>2954</v>
      </c>
    </row>
    <row r="3966" spans="2:5">
      <c r="B3966" s="65" t="str">
        <f t="shared" si="61"/>
        <v>doc-2916:3</v>
      </c>
      <c r="C3966" t="s">
        <v>6213</v>
      </c>
      <c r="D3966">
        <v>3</v>
      </c>
      <c r="E3966" t="s">
        <v>2720</v>
      </c>
    </row>
    <row r="3967" spans="2:5">
      <c r="B3967" s="65" t="str">
        <f t="shared" si="61"/>
        <v>doc-2916:4</v>
      </c>
      <c r="C3967" t="s">
        <v>6213</v>
      </c>
      <c r="D3967">
        <v>4</v>
      </c>
      <c r="E3967" t="s">
        <v>90</v>
      </c>
    </row>
    <row r="3968" spans="2:5">
      <c r="B3968" s="65" t="str">
        <f t="shared" si="61"/>
        <v>doc-2998:1</v>
      </c>
      <c r="C3968" t="s">
        <v>136</v>
      </c>
      <c r="D3968">
        <v>1</v>
      </c>
      <c r="E3968" t="s">
        <v>98</v>
      </c>
    </row>
    <row r="3969" spans="2:5">
      <c r="B3969" s="65" t="str">
        <f t="shared" si="61"/>
        <v>doc-2998:2</v>
      </c>
      <c r="C3969" t="s">
        <v>136</v>
      </c>
      <c r="D3969">
        <v>2</v>
      </c>
      <c r="E3969" t="s">
        <v>95</v>
      </c>
    </row>
    <row r="3970" spans="2:5">
      <c r="B3970" s="65" t="str">
        <f t="shared" si="61"/>
        <v>doc-2998:3</v>
      </c>
      <c r="C3970" t="s">
        <v>136</v>
      </c>
      <c r="D3970">
        <v>3</v>
      </c>
      <c r="E3970" t="s">
        <v>104</v>
      </c>
    </row>
    <row r="3971" spans="2:5">
      <c r="B3971" s="65" t="str">
        <f t="shared" si="61"/>
        <v>doc-2998:4</v>
      </c>
      <c r="C3971" t="s">
        <v>136</v>
      </c>
      <c r="D3971">
        <v>4</v>
      </c>
      <c r="E3971" t="s">
        <v>79</v>
      </c>
    </row>
    <row r="3972" spans="2:5">
      <c r="B3972" s="65" t="str">
        <f t="shared" ref="B3972:B4035" si="62">$C3972&amp;":"&amp;$D3972</f>
        <v>doc-2998:5</v>
      </c>
      <c r="C3972" t="s">
        <v>136</v>
      </c>
      <c r="D3972">
        <v>5</v>
      </c>
      <c r="E3972" t="s">
        <v>73</v>
      </c>
    </row>
    <row r="3973" spans="2:5">
      <c r="B3973" s="65" t="str">
        <f t="shared" si="62"/>
        <v>doc-805:1</v>
      </c>
      <c r="C3973" t="s">
        <v>10347</v>
      </c>
      <c r="D3973">
        <v>1</v>
      </c>
      <c r="E3973" t="s">
        <v>3014</v>
      </c>
    </row>
    <row r="3974" spans="2:5">
      <c r="B3974" s="65" t="str">
        <f t="shared" si="62"/>
        <v>doc-805:2</v>
      </c>
      <c r="C3974" t="s">
        <v>10347</v>
      </c>
      <c r="D3974">
        <v>2</v>
      </c>
      <c r="E3974" t="s">
        <v>2992</v>
      </c>
    </row>
    <row r="3975" spans="2:5">
      <c r="B3975" s="65" t="str">
        <f t="shared" si="62"/>
        <v>doc-805:3</v>
      </c>
      <c r="C3975" t="s">
        <v>10347</v>
      </c>
      <c r="D3975">
        <v>3</v>
      </c>
      <c r="E3975" t="s">
        <v>2980</v>
      </c>
    </row>
    <row r="3976" spans="2:5">
      <c r="B3976" s="65" t="str">
        <f t="shared" si="62"/>
        <v>doc-805:4</v>
      </c>
      <c r="C3976" t="s">
        <v>10347</v>
      </c>
      <c r="D3976">
        <v>4</v>
      </c>
      <c r="E3976" t="s">
        <v>1171</v>
      </c>
    </row>
    <row r="3977" spans="2:5">
      <c r="B3977" s="65" t="str">
        <f t="shared" si="62"/>
        <v>doc-805:5</v>
      </c>
      <c r="C3977" t="s">
        <v>10347</v>
      </c>
      <c r="D3977">
        <v>5</v>
      </c>
      <c r="E3977" t="s">
        <v>1944</v>
      </c>
    </row>
    <row r="3978" spans="2:5">
      <c r="B3978" s="65" t="str">
        <f t="shared" si="62"/>
        <v>doc-806a:1</v>
      </c>
      <c r="C3978" t="s">
        <v>10348</v>
      </c>
      <c r="D3978">
        <v>1</v>
      </c>
      <c r="E3978" t="s">
        <v>2954</v>
      </c>
    </row>
    <row r="3979" spans="2:5">
      <c r="B3979" s="65" t="str">
        <f t="shared" si="62"/>
        <v>doc-806a:2</v>
      </c>
      <c r="C3979" t="s">
        <v>10348</v>
      </c>
      <c r="D3979">
        <v>2</v>
      </c>
      <c r="E3979" t="s">
        <v>90</v>
      </c>
    </row>
    <row r="3980" spans="2:5">
      <c r="B3980" s="65" t="str">
        <f t="shared" si="62"/>
        <v>doc-806a:3</v>
      </c>
      <c r="C3980" t="s">
        <v>10348</v>
      </c>
      <c r="D3980">
        <v>3</v>
      </c>
      <c r="E3980" t="s">
        <v>2967</v>
      </c>
    </row>
    <row r="3981" spans="2:5">
      <c r="B3981" s="65" t="str">
        <f t="shared" si="62"/>
        <v>doc-806a:4</v>
      </c>
      <c r="C3981" t="s">
        <v>10348</v>
      </c>
      <c r="D3981">
        <v>4</v>
      </c>
      <c r="E3981" t="s">
        <v>299</v>
      </c>
    </row>
    <row r="3982" spans="2:5">
      <c r="B3982" s="65" t="str">
        <f t="shared" si="62"/>
        <v>doc-806b:1</v>
      </c>
      <c r="C3982" t="s">
        <v>10349</v>
      </c>
      <c r="D3982">
        <v>1</v>
      </c>
      <c r="E3982" t="s">
        <v>2954</v>
      </c>
    </row>
    <row r="3983" spans="2:5">
      <c r="B3983" s="65" t="str">
        <f t="shared" si="62"/>
        <v>doc-806b:2</v>
      </c>
      <c r="C3983" t="s">
        <v>10349</v>
      </c>
      <c r="D3983">
        <v>2</v>
      </c>
      <c r="E3983" t="s">
        <v>90</v>
      </c>
    </row>
    <row r="3984" spans="2:5">
      <c r="B3984" s="65" t="str">
        <f t="shared" si="62"/>
        <v>doc-806b:3</v>
      </c>
      <c r="C3984" t="s">
        <v>10349</v>
      </c>
      <c r="D3984">
        <v>3</v>
      </c>
      <c r="E3984" t="s">
        <v>2967</v>
      </c>
    </row>
    <row r="3985" spans="2:5">
      <c r="B3985" s="65" t="str">
        <f t="shared" si="62"/>
        <v>doc-806b:4</v>
      </c>
      <c r="C3985" t="s">
        <v>10349</v>
      </c>
      <c r="D3985">
        <v>4</v>
      </c>
      <c r="E3985" t="s">
        <v>299</v>
      </c>
    </row>
    <row r="3986" spans="2:5">
      <c r="B3986" s="65" t="str">
        <f t="shared" si="62"/>
        <v>doc-807a:1</v>
      </c>
      <c r="C3986" t="s">
        <v>10350</v>
      </c>
      <c r="D3986">
        <v>1</v>
      </c>
      <c r="E3986" t="s">
        <v>1283</v>
      </c>
    </row>
    <row r="3987" spans="2:5">
      <c r="B3987" s="65" t="str">
        <f t="shared" si="62"/>
        <v>doc-807a:2</v>
      </c>
      <c r="C3987" t="s">
        <v>10350</v>
      </c>
      <c r="D3987">
        <v>2</v>
      </c>
      <c r="E3987" t="s">
        <v>1275</v>
      </c>
    </row>
    <row r="3988" spans="2:5">
      <c r="B3988" s="65" t="str">
        <f t="shared" si="62"/>
        <v>doc-807a:3</v>
      </c>
      <c r="C3988" t="s">
        <v>10350</v>
      </c>
      <c r="D3988">
        <v>3</v>
      </c>
      <c r="E3988" t="s">
        <v>254</v>
      </c>
    </row>
    <row r="3989" spans="2:5">
      <c r="B3989" s="65" t="str">
        <f t="shared" si="62"/>
        <v>doc-808:1</v>
      </c>
      <c r="C3989" t="s">
        <v>10351</v>
      </c>
      <c r="D3989">
        <v>1</v>
      </c>
      <c r="E3989" t="s">
        <v>2926</v>
      </c>
    </row>
    <row r="3990" spans="2:5">
      <c r="B3990" s="65" t="str">
        <f t="shared" si="62"/>
        <v>doc-808:2</v>
      </c>
      <c r="C3990" t="s">
        <v>10351</v>
      </c>
      <c r="D3990">
        <v>2</v>
      </c>
      <c r="E3990" t="s">
        <v>299</v>
      </c>
    </row>
    <row r="3991" spans="2:5">
      <c r="B3991" s="65" t="str">
        <f t="shared" si="62"/>
        <v>doc-808:3</v>
      </c>
      <c r="C3991" t="s">
        <v>10351</v>
      </c>
      <c r="D3991">
        <v>3</v>
      </c>
      <c r="E3991" t="s">
        <v>254</v>
      </c>
    </row>
    <row r="3992" spans="2:5">
      <c r="B3992" s="65" t="str">
        <f t="shared" si="62"/>
        <v>doc-809:1</v>
      </c>
      <c r="C3992" t="s">
        <v>10352</v>
      </c>
      <c r="D3992">
        <v>1</v>
      </c>
      <c r="E3992" t="s">
        <v>2930</v>
      </c>
    </row>
    <row r="3993" spans="2:5">
      <c r="B3993" s="65" t="str">
        <f t="shared" si="62"/>
        <v>doc-809:2</v>
      </c>
      <c r="C3993" t="s">
        <v>10352</v>
      </c>
      <c r="D3993">
        <v>2</v>
      </c>
      <c r="E3993" t="s">
        <v>299</v>
      </c>
    </row>
    <row r="3994" spans="2:5">
      <c r="B3994" s="65" t="str">
        <f t="shared" si="62"/>
        <v>doc-809:3</v>
      </c>
      <c r="C3994" t="s">
        <v>10352</v>
      </c>
      <c r="D3994">
        <v>3</v>
      </c>
      <c r="E3994" t="s">
        <v>2967</v>
      </c>
    </row>
    <row r="3995" spans="2:5">
      <c r="B3995" s="65" t="str">
        <f t="shared" si="62"/>
        <v>doc-809:4</v>
      </c>
      <c r="C3995" t="s">
        <v>10352</v>
      </c>
      <c r="D3995">
        <v>4</v>
      </c>
      <c r="E3995" t="s">
        <v>254</v>
      </c>
    </row>
    <row r="3996" spans="2:5">
      <c r="B3996" s="65" t="str">
        <f t="shared" si="62"/>
        <v>doc-811:1</v>
      </c>
      <c r="C3996" t="s">
        <v>10353</v>
      </c>
      <c r="D3996">
        <v>1</v>
      </c>
      <c r="E3996" t="s">
        <v>2617</v>
      </c>
    </row>
    <row r="3997" spans="2:5">
      <c r="B3997" s="65" t="str">
        <f t="shared" si="62"/>
        <v>doc-811:2</v>
      </c>
      <c r="C3997" t="s">
        <v>10353</v>
      </c>
      <c r="D3997">
        <v>2</v>
      </c>
      <c r="E3997" t="s">
        <v>2717</v>
      </c>
    </row>
    <row r="3998" spans="2:5">
      <c r="B3998" s="65" t="str">
        <f t="shared" si="62"/>
        <v>doc-811:3</v>
      </c>
      <c r="C3998" t="s">
        <v>10353</v>
      </c>
      <c r="D3998">
        <v>3</v>
      </c>
      <c r="E3998" t="s">
        <v>2667</v>
      </c>
    </row>
    <row r="3999" spans="2:5">
      <c r="B3999" s="65" t="str">
        <f t="shared" si="62"/>
        <v>doc-812:1</v>
      </c>
      <c r="C3999" t="s">
        <v>10354</v>
      </c>
      <c r="D3999">
        <v>1</v>
      </c>
      <c r="E3999" t="s">
        <v>1168</v>
      </c>
    </row>
    <row r="4000" spans="2:5">
      <c r="B4000" s="65" t="str">
        <f t="shared" si="62"/>
        <v>doc-812:2</v>
      </c>
      <c r="C4000" t="s">
        <v>10354</v>
      </c>
      <c r="D4000">
        <v>2</v>
      </c>
      <c r="E4000" t="s">
        <v>1238</v>
      </c>
    </row>
    <row r="4001" spans="2:5">
      <c r="B4001" s="65" t="str">
        <f t="shared" si="62"/>
        <v>doc-812:3</v>
      </c>
      <c r="C4001" t="s">
        <v>10354</v>
      </c>
      <c r="D4001">
        <v>3</v>
      </c>
      <c r="E4001" t="s">
        <v>1171</v>
      </c>
    </row>
    <row r="4002" spans="2:5">
      <c r="B4002" s="65" t="str">
        <f t="shared" si="62"/>
        <v>doc-812:4</v>
      </c>
      <c r="C4002" t="s">
        <v>10354</v>
      </c>
      <c r="D4002">
        <v>4</v>
      </c>
      <c r="E4002" t="s">
        <v>1241</v>
      </c>
    </row>
    <row r="4003" spans="2:5">
      <c r="B4003" s="65" t="str">
        <f t="shared" si="62"/>
        <v>doc-813:1</v>
      </c>
      <c r="C4003" t="s">
        <v>10355</v>
      </c>
      <c r="D4003">
        <v>1</v>
      </c>
      <c r="E4003" t="s">
        <v>2087</v>
      </c>
    </row>
    <row r="4004" spans="2:5">
      <c r="B4004" s="65" t="str">
        <f t="shared" si="62"/>
        <v>doc-814a:1</v>
      </c>
      <c r="C4004" t="s">
        <v>10356</v>
      </c>
      <c r="D4004">
        <v>1</v>
      </c>
      <c r="E4004" t="s">
        <v>2954</v>
      </c>
    </row>
    <row r="4005" spans="2:5">
      <c r="B4005" s="65" t="str">
        <f t="shared" si="62"/>
        <v>doc-814a:2</v>
      </c>
      <c r="C4005" t="s">
        <v>10356</v>
      </c>
      <c r="D4005">
        <v>2</v>
      </c>
      <c r="E4005" t="s">
        <v>299</v>
      </c>
    </row>
    <row r="4006" spans="2:5">
      <c r="B4006" s="65" t="str">
        <f t="shared" si="62"/>
        <v>doc-814a:3</v>
      </c>
      <c r="C4006" t="s">
        <v>10356</v>
      </c>
      <c r="D4006">
        <v>3</v>
      </c>
      <c r="E4006" t="s">
        <v>2967</v>
      </c>
    </row>
    <row r="4007" spans="2:5">
      <c r="B4007" s="65" t="str">
        <f t="shared" si="62"/>
        <v>doc-814a:4</v>
      </c>
      <c r="C4007" t="s">
        <v>10356</v>
      </c>
      <c r="D4007">
        <v>4</v>
      </c>
      <c r="E4007" t="s">
        <v>254</v>
      </c>
    </row>
    <row r="4008" spans="2:5">
      <c r="B4008" s="65" t="str">
        <f t="shared" si="62"/>
        <v>doc-815:1</v>
      </c>
      <c r="C4008" t="s">
        <v>10357</v>
      </c>
      <c r="D4008">
        <v>1</v>
      </c>
      <c r="E4008" t="s">
        <v>3151</v>
      </c>
    </row>
    <row r="4009" spans="2:5">
      <c r="B4009" s="65" t="str">
        <f t="shared" si="62"/>
        <v>doc-815:2</v>
      </c>
      <c r="C4009" t="s">
        <v>10357</v>
      </c>
      <c r="D4009">
        <v>2</v>
      </c>
      <c r="E4009" t="s">
        <v>3154</v>
      </c>
    </row>
    <row r="4010" spans="2:5">
      <c r="B4010" s="65" t="str">
        <f t="shared" si="62"/>
        <v>doc-815:3</v>
      </c>
      <c r="C4010" t="s">
        <v>10357</v>
      </c>
      <c r="D4010">
        <v>3</v>
      </c>
      <c r="E4010" t="s">
        <v>2667</v>
      </c>
    </row>
    <row r="4011" spans="2:5">
      <c r="B4011" s="65" t="str">
        <f t="shared" si="62"/>
        <v>doc-816:1</v>
      </c>
      <c r="C4011" t="s">
        <v>10358</v>
      </c>
      <c r="D4011">
        <v>1</v>
      </c>
      <c r="E4011" t="s">
        <v>2733</v>
      </c>
    </row>
    <row r="4012" spans="2:5">
      <c r="B4012" s="65" t="str">
        <f t="shared" si="62"/>
        <v>doc-816:2</v>
      </c>
      <c r="C4012" t="s">
        <v>10358</v>
      </c>
      <c r="D4012">
        <v>2</v>
      </c>
      <c r="E4012" t="s">
        <v>2210</v>
      </c>
    </row>
    <row r="4013" spans="2:5">
      <c r="B4013" s="65" t="str">
        <f t="shared" si="62"/>
        <v>doc-816:3</v>
      </c>
      <c r="C4013" t="s">
        <v>10358</v>
      </c>
      <c r="D4013">
        <v>3</v>
      </c>
      <c r="E4013" t="s">
        <v>3123</v>
      </c>
    </row>
    <row r="4014" spans="2:5">
      <c r="B4014" s="65" t="str">
        <f t="shared" si="62"/>
        <v>doc-816:4</v>
      </c>
      <c r="C4014" t="s">
        <v>10358</v>
      </c>
      <c r="D4014">
        <v>4</v>
      </c>
      <c r="E4014" t="s">
        <v>2667</v>
      </c>
    </row>
    <row r="4015" spans="2:5">
      <c r="B4015" s="65" t="str">
        <f t="shared" si="62"/>
        <v>doc-817:1</v>
      </c>
      <c r="C4015" t="s">
        <v>10359</v>
      </c>
      <c r="D4015">
        <v>1</v>
      </c>
      <c r="E4015" t="s">
        <v>2733</v>
      </c>
    </row>
    <row r="4016" spans="2:5">
      <c r="B4016" s="65" t="str">
        <f t="shared" si="62"/>
        <v>doc-817:2</v>
      </c>
      <c r="C4016" t="s">
        <v>10359</v>
      </c>
      <c r="D4016">
        <v>2</v>
      </c>
      <c r="E4016" t="s">
        <v>2210</v>
      </c>
    </row>
    <row r="4017" spans="2:5">
      <c r="B4017" s="65" t="str">
        <f t="shared" si="62"/>
        <v>doc-817:3</v>
      </c>
      <c r="C4017" t="s">
        <v>10359</v>
      </c>
      <c r="D4017">
        <v>3</v>
      </c>
      <c r="E4017" t="s">
        <v>3123</v>
      </c>
    </row>
    <row r="4018" spans="2:5">
      <c r="B4018" s="65" t="str">
        <f t="shared" si="62"/>
        <v>doc-817:4</v>
      </c>
      <c r="C4018" t="s">
        <v>10359</v>
      </c>
      <c r="D4018">
        <v>4</v>
      </c>
      <c r="E4018" t="s">
        <v>2667</v>
      </c>
    </row>
    <row r="4019" spans="2:5">
      <c r="B4019" s="65" t="str">
        <f t="shared" si="62"/>
        <v>doc-819:1</v>
      </c>
      <c r="C4019" t="s">
        <v>10360</v>
      </c>
      <c r="D4019">
        <v>1</v>
      </c>
      <c r="E4019" t="s">
        <v>2717</v>
      </c>
    </row>
    <row r="4020" spans="2:5">
      <c r="B4020" s="65" t="str">
        <f t="shared" si="62"/>
        <v>doc-819:2</v>
      </c>
      <c r="C4020" t="s">
        <v>10360</v>
      </c>
      <c r="D4020">
        <v>2</v>
      </c>
      <c r="E4020" t="s">
        <v>2612</v>
      </c>
    </row>
    <row r="4021" spans="2:5">
      <c r="B4021" s="65" t="str">
        <f t="shared" si="62"/>
        <v>doc-819:3</v>
      </c>
      <c r="C4021" t="s">
        <v>10360</v>
      </c>
      <c r="D4021">
        <v>3</v>
      </c>
      <c r="E4021" t="s">
        <v>2667</v>
      </c>
    </row>
    <row r="4022" spans="2:5">
      <c r="B4022" s="65" t="str">
        <f t="shared" si="62"/>
        <v>doc-820a:1</v>
      </c>
      <c r="C4022" t="s">
        <v>10361</v>
      </c>
      <c r="D4022">
        <v>1</v>
      </c>
      <c r="E4022" t="s">
        <v>2112</v>
      </c>
    </row>
    <row r="4023" spans="2:5">
      <c r="B4023" s="65" t="str">
        <f t="shared" si="62"/>
        <v>doc-820a:2</v>
      </c>
      <c r="C4023" t="s">
        <v>10361</v>
      </c>
      <c r="D4023">
        <v>2</v>
      </c>
      <c r="E4023" t="s">
        <v>2124</v>
      </c>
    </row>
    <row r="4024" spans="2:5">
      <c r="B4024" s="65" t="str">
        <f t="shared" si="62"/>
        <v>doc-820a:3</v>
      </c>
      <c r="C4024" t="s">
        <v>10361</v>
      </c>
      <c r="D4024">
        <v>3</v>
      </c>
      <c r="E4024" t="s">
        <v>2061</v>
      </c>
    </row>
    <row r="4025" spans="2:5">
      <c r="B4025" s="65" t="str">
        <f t="shared" si="62"/>
        <v>doc-820a:4</v>
      </c>
      <c r="C4025" t="s">
        <v>10361</v>
      </c>
      <c r="D4025">
        <v>4</v>
      </c>
      <c r="E4025" t="s">
        <v>2092</v>
      </c>
    </row>
    <row r="4026" spans="2:5">
      <c r="B4026" s="65" t="str">
        <f t="shared" si="62"/>
        <v>doc-820b:1</v>
      </c>
      <c r="C4026" t="s">
        <v>10362</v>
      </c>
      <c r="D4026">
        <v>1</v>
      </c>
      <c r="E4026" t="s">
        <v>2112</v>
      </c>
    </row>
    <row r="4027" spans="2:5">
      <c r="B4027" s="65" t="str">
        <f t="shared" si="62"/>
        <v>doc-820b:2</v>
      </c>
      <c r="C4027" t="s">
        <v>10362</v>
      </c>
      <c r="D4027">
        <v>2</v>
      </c>
      <c r="E4027" t="s">
        <v>2124</v>
      </c>
    </row>
    <row r="4028" spans="2:5">
      <c r="B4028" s="65" t="str">
        <f t="shared" si="62"/>
        <v>doc-820b:3</v>
      </c>
      <c r="C4028" t="s">
        <v>10362</v>
      </c>
      <c r="D4028">
        <v>3</v>
      </c>
      <c r="E4028" t="s">
        <v>2061</v>
      </c>
    </row>
    <row r="4029" spans="2:5">
      <c r="B4029" s="65" t="str">
        <f t="shared" si="62"/>
        <v>doc-820b:4</v>
      </c>
      <c r="C4029" t="s">
        <v>10362</v>
      </c>
      <c r="D4029">
        <v>4</v>
      </c>
      <c r="E4029" t="s">
        <v>2092</v>
      </c>
    </row>
    <row r="4030" spans="2:5">
      <c r="B4030" s="65" t="str">
        <f t="shared" si="62"/>
        <v>doc-820c:1</v>
      </c>
      <c r="C4030" t="s">
        <v>10363</v>
      </c>
      <c r="D4030">
        <v>1</v>
      </c>
      <c r="E4030" t="s">
        <v>2112</v>
      </c>
    </row>
    <row r="4031" spans="2:5">
      <c r="B4031" s="65" t="str">
        <f t="shared" si="62"/>
        <v>doc-820c:2</v>
      </c>
      <c r="C4031" t="s">
        <v>10363</v>
      </c>
      <c r="D4031">
        <v>2</v>
      </c>
      <c r="E4031" t="s">
        <v>2124</v>
      </c>
    </row>
    <row r="4032" spans="2:5">
      <c r="B4032" s="65" t="str">
        <f t="shared" si="62"/>
        <v>doc-820c:3</v>
      </c>
      <c r="C4032" t="s">
        <v>10363</v>
      </c>
      <c r="D4032">
        <v>3</v>
      </c>
      <c r="E4032" t="s">
        <v>2061</v>
      </c>
    </row>
    <row r="4033" spans="2:5">
      <c r="B4033" s="65" t="str">
        <f t="shared" si="62"/>
        <v>doc-820c:4</v>
      </c>
      <c r="C4033" t="s">
        <v>10363</v>
      </c>
      <c r="D4033">
        <v>4</v>
      </c>
      <c r="E4033" t="s">
        <v>2092</v>
      </c>
    </row>
    <row r="4034" spans="2:5">
      <c r="B4034" s="65" t="str">
        <f t="shared" si="62"/>
        <v>doc-821:1</v>
      </c>
      <c r="C4034" t="s">
        <v>10364</v>
      </c>
      <c r="D4034">
        <v>1</v>
      </c>
      <c r="E4034" t="s">
        <v>2965</v>
      </c>
    </row>
    <row r="4035" spans="2:5">
      <c r="B4035" s="65" t="str">
        <f t="shared" si="62"/>
        <v>doc-821:2</v>
      </c>
      <c r="C4035" t="s">
        <v>10364</v>
      </c>
      <c r="D4035">
        <v>2</v>
      </c>
      <c r="E4035" t="s">
        <v>299</v>
      </c>
    </row>
    <row r="4036" spans="2:5">
      <c r="B4036" s="65" t="str">
        <f t="shared" ref="B4036:B4099" si="63">$C4036&amp;":"&amp;$D4036</f>
        <v>doc-821:3</v>
      </c>
      <c r="C4036" t="s">
        <v>10364</v>
      </c>
      <c r="D4036">
        <v>3</v>
      </c>
      <c r="E4036" t="s">
        <v>2967</v>
      </c>
    </row>
    <row r="4037" spans="2:5">
      <c r="B4037" s="65" t="str">
        <f t="shared" si="63"/>
        <v>doc-822:1</v>
      </c>
      <c r="C4037" t="s">
        <v>10365</v>
      </c>
      <c r="D4037">
        <v>1</v>
      </c>
      <c r="E4037" t="s">
        <v>90</v>
      </c>
    </row>
    <row r="4038" spans="2:5">
      <c r="B4038" s="65" t="str">
        <f t="shared" si="63"/>
        <v>doc-822:2</v>
      </c>
      <c r="C4038" t="s">
        <v>10365</v>
      </c>
      <c r="D4038">
        <v>2</v>
      </c>
      <c r="E4038" t="s">
        <v>2967</v>
      </c>
    </row>
    <row r="4039" spans="2:5">
      <c r="B4039" s="65" t="str">
        <f t="shared" si="63"/>
        <v>doc-822:3</v>
      </c>
      <c r="C4039" t="s">
        <v>10365</v>
      </c>
      <c r="D4039">
        <v>3</v>
      </c>
      <c r="E4039" t="s">
        <v>299</v>
      </c>
    </row>
    <row r="4040" spans="2:5">
      <c r="B4040" s="65" t="str">
        <f t="shared" si="63"/>
        <v>doc-826:1</v>
      </c>
      <c r="C4040" t="s">
        <v>10366</v>
      </c>
      <c r="D4040">
        <v>1</v>
      </c>
      <c r="E4040" t="s">
        <v>2710</v>
      </c>
    </row>
    <row r="4041" spans="2:5">
      <c r="B4041" s="65" t="str">
        <f t="shared" si="63"/>
        <v>doc-826:2</v>
      </c>
      <c r="C4041" t="s">
        <v>10366</v>
      </c>
      <c r="D4041">
        <v>2</v>
      </c>
      <c r="E4041" t="s">
        <v>2667</v>
      </c>
    </row>
    <row r="4042" spans="2:5">
      <c r="B4042" s="65" t="str">
        <f t="shared" si="63"/>
        <v>doc-826:3</v>
      </c>
      <c r="C4042" t="s">
        <v>10366</v>
      </c>
      <c r="D4042">
        <v>3</v>
      </c>
      <c r="E4042" t="s">
        <v>1883</v>
      </c>
    </row>
    <row r="4043" spans="2:5">
      <c r="B4043" s="65" t="str">
        <f t="shared" si="63"/>
        <v>doc-826:4</v>
      </c>
      <c r="C4043" t="s">
        <v>10366</v>
      </c>
      <c r="D4043">
        <v>4</v>
      </c>
      <c r="E4043" t="s">
        <v>1911</v>
      </c>
    </row>
    <row r="4044" spans="2:5">
      <c r="B4044" s="65" t="str">
        <f t="shared" si="63"/>
        <v>doc-826:5</v>
      </c>
      <c r="C4044" t="s">
        <v>10366</v>
      </c>
      <c r="D4044">
        <v>5</v>
      </c>
      <c r="E4044" t="s">
        <v>2386</v>
      </c>
    </row>
    <row r="4045" spans="2:5">
      <c r="B4045" s="65" t="str">
        <f t="shared" si="63"/>
        <v>doc-828:1</v>
      </c>
      <c r="C4045" t="s">
        <v>10367</v>
      </c>
      <c r="D4045">
        <v>1</v>
      </c>
      <c r="E4045" t="s">
        <v>1813</v>
      </c>
    </row>
    <row r="4046" spans="2:5">
      <c r="B4046" s="65" t="str">
        <f t="shared" si="63"/>
        <v>doc-828:2</v>
      </c>
      <c r="C4046" t="s">
        <v>10367</v>
      </c>
      <c r="D4046">
        <v>2</v>
      </c>
      <c r="E4046" t="s">
        <v>1880</v>
      </c>
    </row>
    <row r="4047" spans="2:5">
      <c r="B4047" s="65" t="str">
        <f t="shared" si="63"/>
        <v>doc-828:3</v>
      </c>
      <c r="C4047" t="s">
        <v>10367</v>
      </c>
      <c r="D4047">
        <v>3</v>
      </c>
      <c r="E4047" t="s">
        <v>1911</v>
      </c>
    </row>
    <row r="4048" spans="2:5">
      <c r="B4048" s="65" t="str">
        <f t="shared" si="63"/>
        <v>doc-828:4</v>
      </c>
      <c r="C4048" t="s">
        <v>10367</v>
      </c>
      <c r="D4048">
        <v>4</v>
      </c>
      <c r="E4048" t="s">
        <v>2983</v>
      </c>
    </row>
    <row r="4049" spans="2:5">
      <c r="B4049" s="65" t="str">
        <f t="shared" si="63"/>
        <v>doc-830:1</v>
      </c>
      <c r="C4049" t="s">
        <v>10368</v>
      </c>
      <c r="D4049">
        <v>1</v>
      </c>
      <c r="E4049" t="s">
        <v>2676</v>
      </c>
    </row>
    <row r="4050" spans="2:5">
      <c r="B4050" s="65" t="str">
        <f t="shared" si="63"/>
        <v>doc-830:2</v>
      </c>
      <c r="C4050" t="s">
        <v>10368</v>
      </c>
      <c r="D4050">
        <v>2</v>
      </c>
      <c r="E4050" t="s">
        <v>2027</v>
      </c>
    </row>
    <row r="4051" spans="2:5">
      <c r="B4051" s="65" t="str">
        <f t="shared" si="63"/>
        <v>doc-830:3</v>
      </c>
      <c r="C4051" t="s">
        <v>10368</v>
      </c>
      <c r="D4051">
        <v>3</v>
      </c>
      <c r="E4051" t="s">
        <v>2660</v>
      </c>
    </row>
    <row r="4052" spans="2:5">
      <c r="B4052" s="65" t="str">
        <f t="shared" si="63"/>
        <v>doc-831:1</v>
      </c>
      <c r="C4052" t="s">
        <v>10369</v>
      </c>
      <c r="D4052">
        <v>1</v>
      </c>
      <c r="E4052" t="s">
        <v>1880</v>
      </c>
    </row>
    <row r="4053" spans="2:5">
      <c r="B4053" s="65" t="str">
        <f t="shared" si="63"/>
        <v>doc-831:2</v>
      </c>
      <c r="C4053" t="s">
        <v>10369</v>
      </c>
      <c r="D4053">
        <v>2</v>
      </c>
      <c r="E4053" t="s">
        <v>2983</v>
      </c>
    </row>
    <row r="4054" spans="2:5">
      <c r="B4054" s="65" t="str">
        <f t="shared" si="63"/>
        <v>doc-831:3</v>
      </c>
      <c r="C4054" t="s">
        <v>10369</v>
      </c>
      <c r="D4054">
        <v>3</v>
      </c>
      <c r="E4054" t="s">
        <v>1911</v>
      </c>
    </row>
    <row r="4055" spans="2:5">
      <c r="B4055" s="65" t="str">
        <f t="shared" si="63"/>
        <v>doc-833:1</v>
      </c>
      <c r="C4055" t="s">
        <v>10370</v>
      </c>
      <c r="D4055">
        <v>1</v>
      </c>
      <c r="E4055" t="s">
        <v>2515</v>
      </c>
    </row>
    <row r="4056" spans="2:5">
      <c r="B4056" s="65" t="str">
        <f t="shared" si="63"/>
        <v>doc-833:2</v>
      </c>
      <c r="C4056" t="s">
        <v>10370</v>
      </c>
      <c r="D4056">
        <v>2</v>
      </c>
      <c r="E4056" t="s">
        <v>2510</v>
      </c>
    </row>
    <row r="4057" spans="2:5">
      <c r="B4057" s="65" t="str">
        <f t="shared" si="63"/>
        <v>doc-833:3</v>
      </c>
      <c r="C4057" t="s">
        <v>10370</v>
      </c>
      <c r="D4057">
        <v>3</v>
      </c>
      <c r="E4057" t="s">
        <v>2860</v>
      </c>
    </row>
    <row r="4058" spans="2:5">
      <c r="B4058" s="65" t="str">
        <f t="shared" si="63"/>
        <v>doc-836:1</v>
      </c>
      <c r="C4058" t="s">
        <v>10371</v>
      </c>
      <c r="D4058">
        <v>1</v>
      </c>
      <c r="E4058" t="s">
        <v>2510</v>
      </c>
    </row>
    <row r="4059" spans="2:5">
      <c r="B4059" s="65" t="str">
        <f t="shared" si="63"/>
        <v>doc-836:2</v>
      </c>
      <c r="C4059" t="s">
        <v>10371</v>
      </c>
      <c r="D4059">
        <v>2</v>
      </c>
      <c r="E4059" t="s">
        <v>2515</v>
      </c>
    </row>
    <row r="4060" spans="2:5">
      <c r="B4060" s="65" t="str">
        <f t="shared" si="63"/>
        <v>doc-836:3</v>
      </c>
      <c r="C4060" t="s">
        <v>10371</v>
      </c>
      <c r="D4060">
        <v>3</v>
      </c>
      <c r="E4060" t="s">
        <v>1168</v>
      </c>
    </row>
    <row r="4061" spans="2:5">
      <c r="B4061" s="65" t="str">
        <f t="shared" si="63"/>
        <v>doc-836:4</v>
      </c>
      <c r="C4061" t="s">
        <v>10371</v>
      </c>
      <c r="D4061">
        <v>4</v>
      </c>
      <c r="E4061" t="s">
        <v>1171</v>
      </c>
    </row>
    <row r="4062" spans="2:5">
      <c r="B4062" s="65" t="str">
        <f t="shared" si="63"/>
        <v>doc-848:1</v>
      </c>
      <c r="C4062" t="s">
        <v>10372</v>
      </c>
      <c r="D4062">
        <v>1</v>
      </c>
      <c r="E4062" t="s">
        <v>1795</v>
      </c>
    </row>
    <row r="4063" spans="2:5">
      <c r="B4063" s="65" t="str">
        <f t="shared" si="63"/>
        <v>doc-848:2</v>
      </c>
      <c r="C4063" t="s">
        <v>10372</v>
      </c>
      <c r="D4063">
        <v>2</v>
      </c>
      <c r="E4063" t="s">
        <v>1941</v>
      </c>
    </row>
    <row r="4064" spans="2:5">
      <c r="B4064" s="65" t="str">
        <f t="shared" si="63"/>
        <v>doc-848:3</v>
      </c>
      <c r="C4064" t="s">
        <v>10372</v>
      </c>
      <c r="D4064">
        <v>3</v>
      </c>
      <c r="E4064" t="s">
        <v>1575</v>
      </c>
    </row>
    <row r="4065" spans="2:5">
      <c r="B4065" s="65" t="str">
        <f t="shared" si="63"/>
        <v>doc-849:1</v>
      </c>
      <c r="C4065" t="s">
        <v>10373</v>
      </c>
      <c r="D4065">
        <v>1</v>
      </c>
      <c r="E4065" t="s">
        <v>2026</v>
      </c>
    </row>
    <row r="4066" spans="2:5">
      <c r="B4066" s="65" t="str">
        <f t="shared" si="63"/>
        <v>doc-849:2</v>
      </c>
      <c r="C4066" t="s">
        <v>10373</v>
      </c>
      <c r="D4066">
        <v>2</v>
      </c>
      <c r="E4066" t="s">
        <v>1941</v>
      </c>
    </row>
    <row r="4067" spans="2:5">
      <c r="B4067" s="65" t="str">
        <f t="shared" si="63"/>
        <v>doc-849:3</v>
      </c>
      <c r="C4067" t="s">
        <v>10373</v>
      </c>
      <c r="D4067">
        <v>3</v>
      </c>
      <c r="E4067" t="s">
        <v>1632</v>
      </c>
    </row>
    <row r="4068" spans="2:5">
      <c r="B4068" s="65" t="str">
        <f t="shared" si="63"/>
        <v>doc-851:1</v>
      </c>
      <c r="C4068" t="s">
        <v>10374</v>
      </c>
      <c r="D4068">
        <v>1</v>
      </c>
      <c r="E4068" t="s">
        <v>1896</v>
      </c>
    </row>
    <row r="4069" spans="2:5">
      <c r="B4069" s="65" t="str">
        <f t="shared" si="63"/>
        <v>doc-851:2</v>
      </c>
      <c r="C4069" t="s">
        <v>10374</v>
      </c>
      <c r="D4069">
        <v>2</v>
      </c>
      <c r="E4069" t="s">
        <v>1976</v>
      </c>
    </row>
    <row r="4070" spans="2:5">
      <c r="B4070" s="65" t="str">
        <f t="shared" si="63"/>
        <v>doc-858:1</v>
      </c>
      <c r="C4070" t="s">
        <v>10375</v>
      </c>
      <c r="D4070">
        <v>1</v>
      </c>
      <c r="E4070" t="s">
        <v>1836</v>
      </c>
    </row>
    <row r="4071" spans="2:5">
      <c r="B4071" s="65" t="str">
        <f t="shared" si="63"/>
        <v>doc-858:2</v>
      </c>
      <c r="C4071" t="s">
        <v>10375</v>
      </c>
      <c r="D4071">
        <v>2</v>
      </c>
      <c r="E4071" t="s">
        <v>1938</v>
      </c>
    </row>
    <row r="4072" spans="2:5">
      <c r="B4072" s="65" t="str">
        <f t="shared" si="63"/>
        <v>doc-858:3</v>
      </c>
      <c r="C4072" t="s">
        <v>10375</v>
      </c>
      <c r="D4072">
        <v>3</v>
      </c>
      <c r="E4072" t="s">
        <v>1896</v>
      </c>
    </row>
    <row r="4073" spans="2:5">
      <c r="B4073" s="65" t="str">
        <f t="shared" si="63"/>
        <v>doc-863:1</v>
      </c>
      <c r="C4073" t="s">
        <v>10376</v>
      </c>
      <c r="D4073">
        <v>1</v>
      </c>
      <c r="E4073" t="s">
        <v>1896</v>
      </c>
    </row>
    <row r="4074" spans="2:5">
      <c r="B4074" s="65" t="str">
        <f t="shared" si="63"/>
        <v>doc-863:2</v>
      </c>
      <c r="C4074" t="s">
        <v>10376</v>
      </c>
      <c r="D4074">
        <v>2</v>
      </c>
      <c r="E4074" t="s">
        <v>1941</v>
      </c>
    </row>
    <row r="4075" spans="2:5">
      <c r="B4075" s="65" t="str">
        <f t="shared" si="63"/>
        <v>doc-863:3</v>
      </c>
      <c r="C4075" t="s">
        <v>10376</v>
      </c>
      <c r="D4075">
        <v>3</v>
      </c>
      <c r="E4075" t="s">
        <v>1976</v>
      </c>
    </row>
    <row r="4076" spans="2:5">
      <c r="B4076" s="65" t="str">
        <f t="shared" si="63"/>
        <v>doc-864:1</v>
      </c>
      <c r="C4076" t="s">
        <v>10377</v>
      </c>
      <c r="D4076">
        <v>1</v>
      </c>
      <c r="E4076" t="s">
        <v>1896</v>
      </c>
    </row>
    <row r="4077" spans="2:5">
      <c r="B4077" s="65" t="str">
        <f t="shared" si="63"/>
        <v>doc-864:2</v>
      </c>
      <c r="C4077" t="s">
        <v>10377</v>
      </c>
      <c r="D4077">
        <v>2</v>
      </c>
      <c r="E4077" t="s">
        <v>1976</v>
      </c>
    </row>
    <row r="4078" spans="2:5">
      <c r="B4078" s="65" t="str">
        <f t="shared" si="63"/>
        <v>doc-867:1</v>
      </c>
      <c r="C4078" t="s">
        <v>10378</v>
      </c>
      <c r="D4078">
        <v>1</v>
      </c>
      <c r="E4078" t="s">
        <v>1763</v>
      </c>
    </row>
    <row r="4079" spans="2:5">
      <c r="B4079" s="65" t="str">
        <f t="shared" si="63"/>
        <v>doc-867:2</v>
      </c>
      <c r="C4079" t="s">
        <v>10378</v>
      </c>
      <c r="D4079">
        <v>2</v>
      </c>
      <c r="E4079" t="s">
        <v>1737</v>
      </c>
    </row>
    <row r="4080" spans="2:5">
      <c r="B4080" s="65" t="str">
        <f t="shared" si="63"/>
        <v>doc-867:3</v>
      </c>
      <c r="C4080" t="s">
        <v>10378</v>
      </c>
      <c r="D4080">
        <v>3</v>
      </c>
      <c r="E4080" t="s">
        <v>1760</v>
      </c>
    </row>
    <row r="4081" spans="2:5">
      <c r="B4081" s="65" t="str">
        <f t="shared" si="63"/>
        <v>doc-867:4</v>
      </c>
      <c r="C4081" t="s">
        <v>10378</v>
      </c>
      <c r="D4081">
        <v>4</v>
      </c>
      <c r="E4081" t="s">
        <v>1775</v>
      </c>
    </row>
    <row r="4082" spans="2:5">
      <c r="B4082" s="65" t="str">
        <f t="shared" si="63"/>
        <v>doc-867:5</v>
      </c>
      <c r="C4082" t="s">
        <v>10378</v>
      </c>
      <c r="D4082">
        <v>5</v>
      </c>
      <c r="E4082" t="s">
        <v>1968</v>
      </c>
    </row>
    <row r="4083" spans="2:5">
      <c r="B4083" s="65" t="str">
        <f t="shared" si="63"/>
        <v>doc-867:6</v>
      </c>
      <c r="C4083" t="s">
        <v>10378</v>
      </c>
      <c r="D4083">
        <v>6</v>
      </c>
      <c r="E4083" t="s">
        <v>2422</v>
      </c>
    </row>
    <row r="4084" spans="2:5">
      <c r="B4084" s="65" t="str">
        <f t="shared" si="63"/>
        <v>doc-867:7</v>
      </c>
      <c r="C4084" t="s">
        <v>10378</v>
      </c>
      <c r="D4084">
        <v>7</v>
      </c>
      <c r="E4084" t="s">
        <v>2087</v>
      </c>
    </row>
    <row r="4085" spans="2:5">
      <c r="B4085" s="65" t="str">
        <f t="shared" si="63"/>
        <v>doc-876:1</v>
      </c>
      <c r="C4085" t="s">
        <v>10379</v>
      </c>
      <c r="D4085">
        <v>1</v>
      </c>
      <c r="E4085" t="s">
        <v>2302</v>
      </c>
    </row>
    <row r="4086" spans="2:5">
      <c r="B4086" s="65" t="str">
        <f t="shared" si="63"/>
        <v>doc-876:2</v>
      </c>
      <c r="C4086" t="s">
        <v>10379</v>
      </c>
      <c r="D4086">
        <v>2</v>
      </c>
      <c r="E4086" t="s">
        <v>1395</v>
      </c>
    </row>
    <row r="4087" spans="2:5">
      <c r="B4087" s="65" t="str">
        <f t="shared" si="63"/>
        <v>doc-876:3</v>
      </c>
      <c r="C4087" t="s">
        <v>10379</v>
      </c>
      <c r="D4087">
        <v>3</v>
      </c>
      <c r="E4087" t="s">
        <v>1349</v>
      </c>
    </row>
    <row r="4088" spans="2:5">
      <c r="B4088" s="65" t="str">
        <f t="shared" si="63"/>
        <v>doc-876:4</v>
      </c>
      <c r="C4088" t="s">
        <v>10379</v>
      </c>
      <c r="D4088">
        <v>4</v>
      </c>
      <c r="E4088" t="s">
        <v>281</v>
      </c>
    </row>
    <row r="4089" spans="2:5">
      <c r="B4089" s="65" t="str">
        <f t="shared" si="63"/>
        <v>doc-877:1</v>
      </c>
      <c r="C4089" t="s">
        <v>10380</v>
      </c>
      <c r="D4089">
        <v>1</v>
      </c>
      <c r="E4089" t="s">
        <v>1760</v>
      </c>
    </row>
    <row r="4090" spans="2:5">
      <c r="B4090" s="65" t="str">
        <f t="shared" si="63"/>
        <v>doc-877:2</v>
      </c>
      <c r="C4090" t="s">
        <v>10380</v>
      </c>
      <c r="D4090">
        <v>2</v>
      </c>
      <c r="E4090" t="s">
        <v>1763</v>
      </c>
    </row>
    <row r="4091" spans="2:5">
      <c r="B4091" s="65" t="str">
        <f t="shared" si="63"/>
        <v>doc-877:3</v>
      </c>
      <c r="C4091" t="s">
        <v>10380</v>
      </c>
      <c r="D4091">
        <v>3</v>
      </c>
      <c r="E4091" t="s">
        <v>1737</v>
      </c>
    </row>
    <row r="4092" spans="2:5">
      <c r="B4092" s="65" t="str">
        <f t="shared" si="63"/>
        <v>doc-877:4</v>
      </c>
      <c r="C4092" t="s">
        <v>10380</v>
      </c>
      <c r="D4092">
        <v>4</v>
      </c>
      <c r="E4092" t="s">
        <v>79</v>
      </c>
    </row>
    <row r="4093" spans="2:5">
      <c r="B4093" s="65" t="str">
        <f t="shared" si="63"/>
        <v>doc-877:5</v>
      </c>
      <c r="C4093" t="s">
        <v>10380</v>
      </c>
      <c r="D4093">
        <v>5</v>
      </c>
      <c r="E4093" t="s">
        <v>1790</v>
      </c>
    </row>
    <row r="4094" spans="2:5">
      <c r="B4094" s="65" t="str">
        <f t="shared" si="63"/>
        <v>doc-877:6</v>
      </c>
      <c r="C4094" t="s">
        <v>10380</v>
      </c>
      <c r="D4094">
        <v>6</v>
      </c>
      <c r="E4094" t="s">
        <v>2485</v>
      </c>
    </row>
    <row r="4095" spans="2:5">
      <c r="B4095" s="65" t="str">
        <f t="shared" si="63"/>
        <v>doc-877:7</v>
      </c>
      <c r="C4095" t="s">
        <v>10380</v>
      </c>
      <c r="D4095">
        <v>7</v>
      </c>
      <c r="E4095" t="s">
        <v>2422</v>
      </c>
    </row>
    <row r="4096" spans="2:5">
      <c r="B4096" s="65" t="str">
        <f t="shared" si="63"/>
        <v>doc-877:8</v>
      </c>
      <c r="C4096" t="s">
        <v>10380</v>
      </c>
      <c r="D4096">
        <v>8</v>
      </c>
      <c r="E4096" t="s">
        <v>2087</v>
      </c>
    </row>
    <row r="4097" spans="2:5">
      <c r="B4097" s="65" t="str">
        <f t="shared" si="63"/>
        <v>doc-878:1</v>
      </c>
      <c r="C4097" t="s">
        <v>10381</v>
      </c>
      <c r="D4097">
        <v>1</v>
      </c>
      <c r="E4097" t="s">
        <v>1395</v>
      </c>
    </row>
    <row r="4098" spans="2:5">
      <c r="B4098" s="65" t="str">
        <f t="shared" si="63"/>
        <v>doc-878:2</v>
      </c>
      <c r="C4098" t="s">
        <v>10381</v>
      </c>
      <c r="D4098">
        <v>2</v>
      </c>
      <c r="E4098" t="s">
        <v>1349</v>
      </c>
    </row>
    <row r="4099" spans="2:5">
      <c r="B4099" s="65" t="str">
        <f t="shared" si="63"/>
        <v>doc-878:3</v>
      </c>
      <c r="C4099" t="s">
        <v>10381</v>
      </c>
      <c r="D4099">
        <v>3</v>
      </c>
      <c r="E4099" t="s">
        <v>2664</v>
      </c>
    </row>
    <row r="4100" spans="2:5">
      <c r="B4100" s="65" t="str">
        <f t="shared" ref="B4100:B4163" si="64">$C4100&amp;":"&amp;$D4100</f>
        <v>doc-881:1</v>
      </c>
      <c r="C4100" t="s">
        <v>10382</v>
      </c>
      <c r="D4100">
        <v>1</v>
      </c>
      <c r="E4100" t="s">
        <v>1437</v>
      </c>
    </row>
    <row r="4101" spans="2:5">
      <c r="B4101" s="65" t="str">
        <f t="shared" si="64"/>
        <v>doc-881:2</v>
      </c>
      <c r="C4101" t="s">
        <v>10382</v>
      </c>
      <c r="D4101">
        <v>2</v>
      </c>
      <c r="E4101" t="s">
        <v>1349</v>
      </c>
    </row>
    <row r="4102" spans="2:5">
      <c r="B4102" s="65" t="str">
        <f t="shared" si="64"/>
        <v>doc-881:3</v>
      </c>
      <c r="C4102" t="s">
        <v>10382</v>
      </c>
      <c r="D4102">
        <v>3</v>
      </c>
      <c r="E4102" t="s">
        <v>1395</v>
      </c>
    </row>
    <row r="4103" spans="2:5">
      <c r="B4103" s="65" t="str">
        <f t="shared" si="64"/>
        <v>doc-881:4</v>
      </c>
      <c r="C4103" t="s">
        <v>10382</v>
      </c>
      <c r="D4103">
        <v>4</v>
      </c>
      <c r="E4103" t="s">
        <v>1108</v>
      </c>
    </row>
    <row r="4104" spans="2:5">
      <c r="B4104" s="65" t="str">
        <f t="shared" si="64"/>
        <v>doc-881:5</v>
      </c>
      <c r="C4104" t="s">
        <v>10382</v>
      </c>
      <c r="D4104">
        <v>5</v>
      </c>
      <c r="E4104" t="s">
        <v>281</v>
      </c>
    </row>
    <row r="4105" spans="2:5">
      <c r="B4105" s="65" t="str">
        <f t="shared" si="64"/>
        <v>doc-882:1</v>
      </c>
      <c r="C4105" t="s">
        <v>10383</v>
      </c>
      <c r="D4105">
        <v>1</v>
      </c>
      <c r="E4105" t="s">
        <v>1349</v>
      </c>
    </row>
    <row r="4106" spans="2:5">
      <c r="B4106" s="65" t="str">
        <f t="shared" si="64"/>
        <v>doc-882:2</v>
      </c>
      <c r="C4106" t="s">
        <v>10383</v>
      </c>
      <c r="D4106">
        <v>2</v>
      </c>
      <c r="E4106" t="s">
        <v>1425</v>
      </c>
    </row>
    <row r="4107" spans="2:5">
      <c r="B4107" s="65" t="str">
        <f t="shared" si="64"/>
        <v>doc-882:3</v>
      </c>
      <c r="C4107" t="s">
        <v>10383</v>
      </c>
      <c r="D4107">
        <v>3</v>
      </c>
      <c r="E4107" t="s">
        <v>1420</v>
      </c>
    </row>
    <row r="4108" spans="2:5">
      <c r="B4108" s="65" t="str">
        <f t="shared" si="64"/>
        <v>doc-883:1</v>
      </c>
      <c r="C4108" t="s">
        <v>5516</v>
      </c>
      <c r="D4108">
        <v>1</v>
      </c>
      <c r="E4108" t="s">
        <v>2302</v>
      </c>
    </row>
    <row r="4109" spans="2:5">
      <c r="B4109" s="65" t="str">
        <f t="shared" si="64"/>
        <v>doc-883:2</v>
      </c>
      <c r="C4109" t="s">
        <v>5516</v>
      </c>
      <c r="D4109">
        <v>2</v>
      </c>
      <c r="E4109" t="s">
        <v>1395</v>
      </c>
    </row>
    <row r="4110" spans="2:5">
      <c r="B4110" s="65" t="str">
        <f t="shared" si="64"/>
        <v>doc-883:3</v>
      </c>
      <c r="C4110" t="s">
        <v>5516</v>
      </c>
      <c r="D4110">
        <v>3</v>
      </c>
      <c r="E4110" t="s">
        <v>1437</v>
      </c>
    </row>
    <row r="4111" spans="2:5">
      <c r="B4111" s="65" t="str">
        <f t="shared" si="64"/>
        <v>doc-883:4</v>
      </c>
      <c r="C4111" t="s">
        <v>5516</v>
      </c>
      <c r="D4111">
        <v>4</v>
      </c>
      <c r="E4111" t="s">
        <v>1349</v>
      </c>
    </row>
    <row r="4112" spans="2:5">
      <c r="B4112" s="65" t="str">
        <f t="shared" si="64"/>
        <v>doc-883:5</v>
      </c>
      <c r="C4112" t="s">
        <v>5516</v>
      </c>
      <c r="D4112">
        <v>5</v>
      </c>
      <c r="E4112" t="s">
        <v>281</v>
      </c>
    </row>
    <row r="4113" spans="2:5">
      <c r="B4113" s="65" t="str">
        <f t="shared" si="64"/>
        <v>doc-886:1</v>
      </c>
      <c r="C4113" t="s">
        <v>10384</v>
      </c>
      <c r="D4113">
        <v>1</v>
      </c>
      <c r="E4113" t="s">
        <v>2173</v>
      </c>
    </row>
    <row r="4114" spans="2:5">
      <c r="B4114" s="65" t="str">
        <f t="shared" si="64"/>
        <v>doc-886:2</v>
      </c>
      <c r="C4114" t="s">
        <v>10384</v>
      </c>
      <c r="D4114">
        <v>2</v>
      </c>
      <c r="E4114" t="s">
        <v>2302</v>
      </c>
    </row>
    <row r="4115" spans="2:5">
      <c r="B4115" s="65" t="str">
        <f t="shared" si="64"/>
        <v>doc-886:3</v>
      </c>
      <c r="C4115" t="s">
        <v>10384</v>
      </c>
      <c r="D4115">
        <v>3</v>
      </c>
      <c r="E4115" t="s">
        <v>1395</v>
      </c>
    </row>
    <row r="4116" spans="2:5">
      <c r="B4116" s="65" t="str">
        <f t="shared" si="64"/>
        <v>doc-886:4</v>
      </c>
      <c r="C4116" t="s">
        <v>10384</v>
      </c>
      <c r="D4116">
        <v>4</v>
      </c>
      <c r="E4116" t="s">
        <v>1437</v>
      </c>
    </row>
    <row r="4117" spans="2:5">
      <c r="B4117" s="65" t="str">
        <f t="shared" si="64"/>
        <v>doc-886:5</v>
      </c>
      <c r="C4117" t="s">
        <v>10384</v>
      </c>
      <c r="D4117">
        <v>5</v>
      </c>
      <c r="E4117" t="s">
        <v>1349</v>
      </c>
    </row>
    <row r="4118" spans="2:5">
      <c r="B4118" s="65" t="str">
        <f t="shared" si="64"/>
        <v>doc-886:6</v>
      </c>
      <c r="C4118" t="s">
        <v>10384</v>
      </c>
      <c r="D4118">
        <v>6</v>
      </c>
      <c r="E4118" t="s">
        <v>281</v>
      </c>
    </row>
    <row r="4119" spans="2:5">
      <c r="B4119" s="65" t="str">
        <f t="shared" si="64"/>
        <v>doc-886:7</v>
      </c>
      <c r="C4119" t="s">
        <v>10384</v>
      </c>
      <c r="D4119">
        <v>7</v>
      </c>
      <c r="E4119" t="s">
        <v>2121</v>
      </c>
    </row>
    <row r="4120" spans="2:5">
      <c r="B4120" s="65" t="str">
        <f t="shared" si="64"/>
        <v>doc-899a:1</v>
      </c>
      <c r="C4120" t="s">
        <v>10385</v>
      </c>
      <c r="D4120">
        <v>1</v>
      </c>
      <c r="E4120" t="s">
        <v>2926</v>
      </c>
    </row>
    <row r="4121" spans="2:5">
      <c r="B4121" s="65" t="str">
        <f t="shared" si="64"/>
        <v>doc-899a:2</v>
      </c>
      <c r="C4121" t="s">
        <v>10385</v>
      </c>
      <c r="D4121">
        <v>2</v>
      </c>
      <c r="E4121" t="s">
        <v>299</v>
      </c>
    </row>
    <row r="4122" spans="2:5">
      <c r="B4122" s="65" t="str">
        <f t="shared" si="64"/>
        <v>doc-899a:3</v>
      </c>
      <c r="C4122" t="s">
        <v>10385</v>
      </c>
      <c r="D4122">
        <v>3</v>
      </c>
      <c r="E4122" t="s">
        <v>254</v>
      </c>
    </row>
    <row r="4123" spans="2:5">
      <c r="B4123" s="65" t="str">
        <f t="shared" si="64"/>
        <v>doc-899b:1</v>
      </c>
      <c r="C4123" t="s">
        <v>10386</v>
      </c>
      <c r="D4123">
        <v>1</v>
      </c>
      <c r="E4123" t="s">
        <v>2926</v>
      </c>
    </row>
    <row r="4124" spans="2:5">
      <c r="B4124" s="65" t="str">
        <f t="shared" si="64"/>
        <v>doc-899b:2</v>
      </c>
      <c r="C4124" t="s">
        <v>10386</v>
      </c>
      <c r="D4124">
        <v>2</v>
      </c>
      <c r="E4124" t="s">
        <v>299</v>
      </c>
    </row>
    <row r="4125" spans="2:5">
      <c r="B4125" s="65" t="str">
        <f t="shared" si="64"/>
        <v>doc-899b:3</v>
      </c>
      <c r="C4125" t="s">
        <v>10386</v>
      </c>
      <c r="D4125">
        <v>3</v>
      </c>
      <c r="E4125" t="s">
        <v>254</v>
      </c>
    </row>
    <row r="4126" spans="2:5">
      <c r="B4126" s="65" t="str">
        <f t="shared" si="64"/>
        <v>doc-915:1</v>
      </c>
      <c r="C4126" t="s">
        <v>10387</v>
      </c>
      <c r="D4126">
        <v>1</v>
      </c>
      <c r="E4126" t="s">
        <v>2889</v>
      </c>
    </row>
    <row r="4127" spans="2:5">
      <c r="B4127" s="65" t="str">
        <f t="shared" si="64"/>
        <v>doc-915:2</v>
      </c>
      <c r="C4127" t="s">
        <v>10387</v>
      </c>
      <c r="D4127">
        <v>2</v>
      </c>
      <c r="E4127" t="s">
        <v>2847</v>
      </c>
    </row>
    <row r="4128" spans="2:5">
      <c r="B4128" s="65" t="str">
        <f t="shared" si="64"/>
        <v>doc-915:3</v>
      </c>
      <c r="C4128" t="s">
        <v>10387</v>
      </c>
      <c r="D4128">
        <v>3</v>
      </c>
      <c r="E4128" t="s">
        <v>2849</v>
      </c>
    </row>
    <row r="4129" spans="2:5">
      <c r="B4129" s="65" t="str">
        <f t="shared" si="64"/>
        <v>doc-916:1</v>
      </c>
      <c r="C4129" t="s">
        <v>10388</v>
      </c>
      <c r="D4129">
        <v>1</v>
      </c>
      <c r="E4129" t="s">
        <v>2889</v>
      </c>
    </row>
    <row r="4130" spans="2:5">
      <c r="B4130" s="65" t="str">
        <f t="shared" si="64"/>
        <v>doc-916:2</v>
      </c>
      <c r="C4130" t="s">
        <v>10388</v>
      </c>
      <c r="D4130">
        <v>2</v>
      </c>
      <c r="E4130" t="s">
        <v>2887</v>
      </c>
    </row>
    <row r="4131" spans="2:5">
      <c r="B4131" s="65" t="str">
        <f t="shared" si="64"/>
        <v>doc-916:3</v>
      </c>
      <c r="C4131" t="s">
        <v>10388</v>
      </c>
      <c r="D4131">
        <v>3</v>
      </c>
      <c r="E4131" t="s">
        <v>2847</v>
      </c>
    </row>
    <row r="4132" spans="2:5">
      <c r="B4132" s="65" t="str">
        <f t="shared" si="64"/>
        <v>doc-916:4</v>
      </c>
      <c r="C4132" t="s">
        <v>10388</v>
      </c>
      <c r="D4132">
        <v>4</v>
      </c>
      <c r="E4132" t="s">
        <v>2179</v>
      </c>
    </row>
    <row r="4133" spans="2:5">
      <c r="B4133" s="65" t="str">
        <f t="shared" si="64"/>
        <v>doc-916:5</v>
      </c>
      <c r="C4133" t="s">
        <v>10388</v>
      </c>
      <c r="D4133">
        <v>5</v>
      </c>
      <c r="E4133" t="s">
        <v>2849</v>
      </c>
    </row>
    <row r="4134" spans="2:5">
      <c r="B4134" s="65" t="str">
        <f t="shared" si="64"/>
        <v>doc-916:6</v>
      </c>
      <c r="C4134" t="s">
        <v>10388</v>
      </c>
      <c r="D4134">
        <v>6</v>
      </c>
      <c r="E4134" t="s">
        <v>2121</v>
      </c>
    </row>
    <row r="4135" spans="2:5">
      <c r="B4135" s="65" t="str">
        <f t="shared" si="64"/>
        <v>doc-917:1</v>
      </c>
      <c r="C4135" t="s">
        <v>6557</v>
      </c>
      <c r="D4135">
        <v>1</v>
      </c>
      <c r="E4135" t="s">
        <v>2617</v>
      </c>
    </row>
    <row r="4136" spans="2:5">
      <c r="B4136" s="65" t="str">
        <f t="shared" si="64"/>
        <v>doc-917:2</v>
      </c>
      <c r="C4136" t="s">
        <v>6557</v>
      </c>
      <c r="D4136">
        <v>2</v>
      </c>
      <c r="E4136" t="s">
        <v>2717</v>
      </c>
    </row>
    <row r="4137" spans="2:5">
      <c r="B4137" s="65" t="str">
        <f t="shared" si="64"/>
        <v>doc-917:3</v>
      </c>
      <c r="C4137" t="s">
        <v>6557</v>
      </c>
      <c r="D4137">
        <v>3</v>
      </c>
      <c r="E4137" t="s">
        <v>2667</v>
      </c>
    </row>
    <row r="4138" spans="2:5">
      <c r="B4138" s="65" t="str">
        <f t="shared" si="64"/>
        <v>doc-918:1</v>
      </c>
      <c r="C4138" t="s">
        <v>10389</v>
      </c>
      <c r="D4138">
        <v>1</v>
      </c>
      <c r="E4138" t="s">
        <v>2710</v>
      </c>
    </row>
    <row r="4139" spans="2:5">
      <c r="B4139" s="65" t="str">
        <f t="shared" si="64"/>
        <v>doc-918:2</v>
      </c>
      <c r="C4139" t="s">
        <v>10389</v>
      </c>
      <c r="D4139">
        <v>2</v>
      </c>
      <c r="E4139" t="s">
        <v>2683</v>
      </c>
    </row>
    <row r="4140" spans="2:5">
      <c r="B4140" s="65" t="str">
        <f t="shared" si="64"/>
        <v>doc-918:3</v>
      </c>
      <c r="C4140" t="s">
        <v>10389</v>
      </c>
      <c r="D4140">
        <v>3</v>
      </c>
      <c r="E4140" t="s">
        <v>1911</v>
      </c>
    </row>
    <row r="4141" spans="2:5">
      <c r="B4141" s="65" t="str">
        <f t="shared" si="64"/>
        <v>doc-918:4</v>
      </c>
      <c r="C4141" t="s">
        <v>10389</v>
      </c>
      <c r="D4141">
        <v>4</v>
      </c>
      <c r="E4141" t="s">
        <v>2667</v>
      </c>
    </row>
    <row r="4142" spans="2:5">
      <c r="B4142" s="65" t="str">
        <f t="shared" si="64"/>
        <v>doc-919:1</v>
      </c>
      <c r="C4142" t="s">
        <v>10390</v>
      </c>
      <c r="D4142">
        <v>1</v>
      </c>
      <c r="E4142" t="s">
        <v>2740</v>
      </c>
    </row>
    <row r="4143" spans="2:5">
      <c r="B4143" s="65" t="str">
        <f t="shared" si="64"/>
        <v>doc-919:2</v>
      </c>
      <c r="C4143" t="s">
        <v>10390</v>
      </c>
      <c r="D4143">
        <v>2</v>
      </c>
      <c r="E4143" t="s">
        <v>2597</v>
      </c>
    </row>
    <row r="4144" spans="2:5">
      <c r="B4144" s="65" t="str">
        <f t="shared" si="64"/>
        <v>doc-919:3</v>
      </c>
      <c r="C4144" t="s">
        <v>10390</v>
      </c>
      <c r="D4144">
        <v>3</v>
      </c>
      <c r="E4144" t="s">
        <v>2635</v>
      </c>
    </row>
    <row r="4145" spans="2:5">
      <c r="B4145" s="65" t="str">
        <f t="shared" si="64"/>
        <v>doc-919:4</v>
      </c>
      <c r="C4145" t="s">
        <v>10390</v>
      </c>
      <c r="D4145">
        <v>4</v>
      </c>
      <c r="E4145" t="s">
        <v>2667</v>
      </c>
    </row>
    <row r="4146" spans="2:5">
      <c r="B4146" s="65" t="str">
        <f t="shared" si="64"/>
        <v>doc-920:1</v>
      </c>
      <c r="C4146" t="s">
        <v>10391</v>
      </c>
      <c r="D4146">
        <v>1</v>
      </c>
      <c r="E4146" t="s">
        <v>2710</v>
      </c>
    </row>
    <row r="4147" spans="2:5">
      <c r="B4147" s="65" t="str">
        <f t="shared" si="64"/>
        <v>doc-920:2</v>
      </c>
      <c r="C4147" t="s">
        <v>10391</v>
      </c>
      <c r="D4147">
        <v>2</v>
      </c>
      <c r="E4147" t="s">
        <v>1880</v>
      </c>
    </row>
    <row r="4148" spans="2:5">
      <c r="B4148" s="65" t="str">
        <f t="shared" si="64"/>
        <v>doc-920:3</v>
      </c>
      <c r="C4148" t="s">
        <v>10391</v>
      </c>
      <c r="D4148">
        <v>3</v>
      </c>
      <c r="E4148" t="s">
        <v>2983</v>
      </c>
    </row>
    <row r="4149" spans="2:5">
      <c r="B4149" s="65" t="str">
        <f t="shared" si="64"/>
        <v>doc-920:4</v>
      </c>
      <c r="C4149" t="s">
        <v>10391</v>
      </c>
      <c r="D4149">
        <v>4</v>
      </c>
      <c r="E4149" t="s">
        <v>1911</v>
      </c>
    </row>
    <row r="4150" spans="2:5">
      <c r="B4150" s="65" t="str">
        <f t="shared" si="64"/>
        <v>doc-920:5</v>
      </c>
      <c r="C4150" t="s">
        <v>10391</v>
      </c>
      <c r="D4150">
        <v>5</v>
      </c>
      <c r="E4150" t="s">
        <v>2996</v>
      </c>
    </row>
    <row r="4151" spans="2:5">
      <c r="B4151" s="65" t="str">
        <f t="shared" si="64"/>
        <v>doc-920:6</v>
      </c>
      <c r="C4151" t="s">
        <v>10391</v>
      </c>
      <c r="D4151">
        <v>6</v>
      </c>
      <c r="E4151" t="s">
        <v>2667</v>
      </c>
    </row>
    <row r="4152" spans="2:5">
      <c r="B4152" s="65" t="str">
        <f t="shared" si="64"/>
        <v>doc-921:1</v>
      </c>
      <c r="C4152" t="s">
        <v>10392</v>
      </c>
      <c r="D4152">
        <v>1</v>
      </c>
      <c r="E4152" t="s">
        <v>2717</v>
      </c>
    </row>
    <row r="4153" spans="2:5">
      <c r="B4153" s="65" t="str">
        <f t="shared" si="64"/>
        <v>doc-921:2</v>
      </c>
      <c r="C4153" t="s">
        <v>10392</v>
      </c>
      <c r="D4153">
        <v>2</v>
      </c>
      <c r="E4153" t="s">
        <v>2617</v>
      </c>
    </row>
    <row r="4154" spans="2:5">
      <c r="B4154" s="65" t="str">
        <f t="shared" si="64"/>
        <v>doc-921:3</v>
      </c>
      <c r="C4154" t="s">
        <v>10392</v>
      </c>
      <c r="D4154">
        <v>3</v>
      </c>
      <c r="E4154" t="s">
        <v>2667</v>
      </c>
    </row>
    <row r="4155" spans="2:5">
      <c r="B4155" s="65" t="str">
        <f t="shared" si="64"/>
        <v>doc-924:1</v>
      </c>
      <c r="C4155" t="s">
        <v>10393</v>
      </c>
      <c r="D4155">
        <v>1</v>
      </c>
      <c r="E4155" t="s">
        <v>2676</v>
      </c>
    </row>
    <row r="4156" spans="2:5">
      <c r="B4156" s="65" t="str">
        <f t="shared" si="64"/>
        <v>doc-924:2</v>
      </c>
      <c r="C4156" t="s">
        <v>10393</v>
      </c>
      <c r="D4156">
        <v>2</v>
      </c>
      <c r="E4156" t="s">
        <v>2027</v>
      </c>
    </row>
    <row r="4157" spans="2:5">
      <c r="B4157" s="65" t="str">
        <f t="shared" si="64"/>
        <v>doc-924:3</v>
      </c>
      <c r="C4157" t="s">
        <v>10393</v>
      </c>
      <c r="D4157">
        <v>3</v>
      </c>
      <c r="E4157" t="s">
        <v>2660</v>
      </c>
    </row>
    <row r="4158" spans="2:5">
      <c r="B4158" s="65" t="str">
        <f t="shared" si="64"/>
        <v>doc-925:1</v>
      </c>
      <c r="C4158" t="s">
        <v>10394</v>
      </c>
      <c r="D4158">
        <v>1</v>
      </c>
      <c r="E4158" t="s">
        <v>2112</v>
      </c>
    </row>
    <row r="4159" spans="2:5">
      <c r="B4159" s="65" t="str">
        <f t="shared" si="64"/>
        <v>doc-925:2</v>
      </c>
      <c r="C4159" t="s">
        <v>10394</v>
      </c>
      <c r="D4159">
        <v>2</v>
      </c>
      <c r="E4159" t="s">
        <v>2124</v>
      </c>
    </row>
    <row r="4160" spans="2:5">
      <c r="B4160" s="65" t="str">
        <f t="shared" si="64"/>
        <v>doc-925:3</v>
      </c>
      <c r="C4160" t="s">
        <v>10394</v>
      </c>
      <c r="D4160">
        <v>3</v>
      </c>
      <c r="E4160" t="s">
        <v>3109</v>
      </c>
    </row>
    <row r="4161" spans="2:5">
      <c r="B4161" s="65" t="str">
        <f t="shared" si="64"/>
        <v>doc-925:4</v>
      </c>
      <c r="C4161" t="s">
        <v>10394</v>
      </c>
      <c r="D4161">
        <v>4</v>
      </c>
      <c r="E4161" t="s">
        <v>2252</v>
      </c>
    </row>
    <row r="4162" spans="2:5">
      <c r="B4162" s="65" t="str">
        <f t="shared" si="64"/>
        <v>doc-925:5</v>
      </c>
      <c r="C4162" t="s">
        <v>10394</v>
      </c>
      <c r="D4162">
        <v>5</v>
      </c>
      <c r="E4162" t="s">
        <v>2061</v>
      </c>
    </row>
    <row r="4163" spans="2:5">
      <c r="B4163" s="65" t="str">
        <f t="shared" si="64"/>
        <v>doc-925:6</v>
      </c>
      <c r="C4163" t="s">
        <v>10394</v>
      </c>
      <c r="D4163">
        <v>6</v>
      </c>
      <c r="E4163" t="s">
        <v>2255</v>
      </c>
    </row>
    <row r="4164" spans="2:5">
      <c r="B4164" s="65" t="str">
        <f t="shared" ref="B4164:B4227" si="65">$C4164&amp;":"&amp;$D4164</f>
        <v>doc-926:1</v>
      </c>
      <c r="C4164" t="s">
        <v>10395</v>
      </c>
      <c r="D4164">
        <v>1</v>
      </c>
      <c r="E4164" t="s">
        <v>2151</v>
      </c>
    </row>
    <row r="4165" spans="2:5">
      <c r="B4165" s="65" t="str">
        <f t="shared" si="65"/>
        <v>doc-926:2</v>
      </c>
      <c r="C4165" t="s">
        <v>10395</v>
      </c>
      <c r="D4165">
        <v>2</v>
      </c>
      <c r="E4165" t="s">
        <v>1905</v>
      </c>
    </row>
    <row r="4166" spans="2:5">
      <c r="B4166" s="65" t="str">
        <f t="shared" si="65"/>
        <v>doc-926:3</v>
      </c>
      <c r="C4166" t="s">
        <v>10395</v>
      </c>
      <c r="D4166">
        <v>3</v>
      </c>
      <c r="E4166" t="s">
        <v>2092</v>
      </c>
    </row>
    <row r="4167" spans="2:5">
      <c r="B4167" s="65" t="str">
        <f t="shared" si="65"/>
        <v>doc-926:4</v>
      </c>
      <c r="C4167" t="s">
        <v>10395</v>
      </c>
      <c r="D4167">
        <v>4</v>
      </c>
      <c r="E4167" t="s">
        <v>2061</v>
      </c>
    </row>
    <row r="4168" spans="2:5">
      <c r="B4168" s="65" t="str">
        <f t="shared" si="65"/>
        <v>doc-926:5</v>
      </c>
      <c r="C4168" t="s">
        <v>10395</v>
      </c>
      <c r="D4168">
        <v>5</v>
      </c>
      <c r="E4168" t="s">
        <v>2137</v>
      </c>
    </row>
    <row r="4169" spans="2:5">
      <c r="B4169" s="65" t="str">
        <f t="shared" si="65"/>
        <v>doc-927a:1</v>
      </c>
      <c r="C4169" t="s">
        <v>10396</v>
      </c>
      <c r="D4169">
        <v>1</v>
      </c>
      <c r="E4169" t="s">
        <v>2394</v>
      </c>
    </row>
    <row r="4170" spans="2:5">
      <c r="B4170" s="65" t="str">
        <f t="shared" si="65"/>
        <v>doc-927a:2</v>
      </c>
      <c r="C4170" t="s">
        <v>10396</v>
      </c>
      <c r="D4170">
        <v>2</v>
      </c>
      <c r="E4170" t="s">
        <v>2386</v>
      </c>
    </row>
    <row r="4171" spans="2:5">
      <c r="B4171" s="65" t="str">
        <f t="shared" si="65"/>
        <v>doc-927b:1</v>
      </c>
      <c r="C4171" t="s">
        <v>10397</v>
      </c>
      <c r="D4171">
        <v>1</v>
      </c>
      <c r="E4171" t="s">
        <v>2394</v>
      </c>
    </row>
    <row r="4172" spans="2:5">
      <c r="B4172" s="65" t="str">
        <f t="shared" si="65"/>
        <v>doc-927b:2</v>
      </c>
      <c r="C4172" t="s">
        <v>10397</v>
      </c>
      <c r="D4172">
        <v>2</v>
      </c>
      <c r="E4172" t="s">
        <v>2386</v>
      </c>
    </row>
    <row r="4173" spans="2:5">
      <c r="B4173" s="65" t="str">
        <f t="shared" si="65"/>
        <v>doc-928:1</v>
      </c>
      <c r="C4173" t="s">
        <v>10398</v>
      </c>
      <c r="D4173">
        <v>1</v>
      </c>
      <c r="E4173" t="s">
        <v>1795</v>
      </c>
    </row>
    <row r="4174" spans="2:5">
      <c r="B4174" s="65" t="str">
        <f t="shared" si="65"/>
        <v>doc-928:2</v>
      </c>
      <c r="C4174" t="s">
        <v>10398</v>
      </c>
      <c r="D4174">
        <v>2</v>
      </c>
      <c r="E4174" t="s">
        <v>1941</v>
      </c>
    </row>
    <row r="4175" spans="2:5">
      <c r="B4175" s="65" t="str">
        <f t="shared" si="65"/>
        <v>doc-928:3</v>
      </c>
      <c r="C4175" t="s">
        <v>10398</v>
      </c>
      <c r="D4175">
        <v>3</v>
      </c>
      <c r="E4175" t="s">
        <v>1575</v>
      </c>
    </row>
    <row r="4176" spans="2:5">
      <c r="B4176" s="65" t="str">
        <f t="shared" si="65"/>
        <v>doc-929:1</v>
      </c>
      <c r="C4176" t="s">
        <v>10399</v>
      </c>
      <c r="D4176">
        <v>1</v>
      </c>
      <c r="E4176" t="s">
        <v>1795</v>
      </c>
    </row>
    <row r="4177" spans="2:5">
      <c r="B4177" s="65" t="str">
        <f t="shared" si="65"/>
        <v>doc-929:2</v>
      </c>
      <c r="C4177" t="s">
        <v>10399</v>
      </c>
      <c r="D4177">
        <v>2</v>
      </c>
      <c r="E4177" t="s">
        <v>1941</v>
      </c>
    </row>
    <row r="4178" spans="2:5">
      <c r="B4178" s="65" t="str">
        <f t="shared" si="65"/>
        <v>doc-929:3</v>
      </c>
      <c r="C4178" t="s">
        <v>10399</v>
      </c>
      <c r="D4178">
        <v>3</v>
      </c>
      <c r="E4178" t="s">
        <v>1575</v>
      </c>
    </row>
    <row r="4179" spans="2:5">
      <c r="B4179" s="65" t="str">
        <f t="shared" si="65"/>
        <v>doc-930:1</v>
      </c>
      <c r="C4179" t="s">
        <v>10400</v>
      </c>
      <c r="D4179">
        <v>1</v>
      </c>
      <c r="E4179" t="s">
        <v>1795</v>
      </c>
    </row>
    <row r="4180" spans="2:5">
      <c r="B4180" s="65" t="str">
        <f t="shared" si="65"/>
        <v>doc-930:2</v>
      </c>
      <c r="C4180" t="s">
        <v>10400</v>
      </c>
      <c r="D4180">
        <v>2</v>
      </c>
      <c r="E4180" t="s">
        <v>1941</v>
      </c>
    </row>
    <row r="4181" spans="2:5">
      <c r="B4181" s="65" t="str">
        <f t="shared" si="65"/>
        <v>doc-930:3</v>
      </c>
      <c r="C4181" t="s">
        <v>10400</v>
      </c>
      <c r="D4181">
        <v>3</v>
      </c>
      <c r="E4181" t="s">
        <v>1575</v>
      </c>
    </row>
    <row r="4182" spans="2:5">
      <c r="B4182" s="65" t="str">
        <f t="shared" si="65"/>
        <v>doc-931:1</v>
      </c>
      <c r="C4182" t="s">
        <v>10401</v>
      </c>
      <c r="D4182">
        <v>1</v>
      </c>
      <c r="E4182" t="s">
        <v>1896</v>
      </c>
    </row>
    <row r="4183" spans="2:5">
      <c r="B4183" s="65" t="str">
        <f t="shared" si="65"/>
        <v>doc-931:2</v>
      </c>
      <c r="C4183" t="s">
        <v>10401</v>
      </c>
      <c r="D4183">
        <v>2</v>
      </c>
      <c r="E4183" t="s">
        <v>1941</v>
      </c>
    </row>
    <row r="4184" spans="2:5">
      <c r="B4184" s="65" t="str">
        <f t="shared" si="65"/>
        <v>doc-931:3</v>
      </c>
      <c r="C4184" t="s">
        <v>10401</v>
      </c>
      <c r="D4184">
        <v>3</v>
      </c>
      <c r="E4184" t="s">
        <v>1976</v>
      </c>
    </row>
    <row r="4185" spans="2:5">
      <c r="B4185" s="65" t="str">
        <f t="shared" si="65"/>
        <v>doc-932a:1</v>
      </c>
      <c r="C4185" t="s">
        <v>10402</v>
      </c>
      <c r="D4185">
        <v>1</v>
      </c>
      <c r="E4185" t="s">
        <v>3080</v>
      </c>
    </row>
    <row r="4186" spans="2:5">
      <c r="B4186" s="65" t="str">
        <f t="shared" si="65"/>
        <v>doc-932a:2</v>
      </c>
      <c r="C4186" t="s">
        <v>10402</v>
      </c>
      <c r="D4186">
        <v>2</v>
      </c>
      <c r="E4186" t="s">
        <v>3075</v>
      </c>
    </row>
    <row r="4187" spans="2:5">
      <c r="B4187" s="65" t="str">
        <f t="shared" si="65"/>
        <v>doc-932b:1</v>
      </c>
      <c r="C4187" t="s">
        <v>10403</v>
      </c>
      <c r="D4187">
        <v>1</v>
      </c>
      <c r="E4187" t="s">
        <v>3080</v>
      </c>
    </row>
    <row r="4188" spans="2:5">
      <c r="B4188" s="65" t="str">
        <f t="shared" si="65"/>
        <v>doc-932b:2</v>
      </c>
      <c r="C4188" t="s">
        <v>10403</v>
      </c>
      <c r="D4188">
        <v>2</v>
      </c>
      <c r="E4188" t="s">
        <v>3075</v>
      </c>
    </row>
    <row r="4189" spans="2:5">
      <c r="B4189" s="65" t="str">
        <f t="shared" si="65"/>
        <v>doc-933:1</v>
      </c>
      <c r="C4189" t="s">
        <v>10404</v>
      </c>
      <c r="D4189">
        <v>1</v>
      </c>
      <c r="E4189" t="s">
        <v>3085</v>
      </c>
    </row>
    <row r="4190" spans="2:5">
      <c r="B4190" s="65" t="str">
        <f t="shared" si="65"/>
        <v>doc-933:2</v>
      </c>
      <c r="C4190" t="s">
        <v>10404</v>
      </c>
      <c r="D4190">
        <v>2</v>
      </c>
      <c r="E4190" t="s">
        <v>3075</v>
      </c>
    </row>
    <row r="4191" spans="2:5">
      <c r="B4191" s="65" t="str">
        <f t="shared" si="65"/>
        <v>doc-933:3</v>
      </c>
      <c r="C4191" t="s">
        <v>10404</v>
      </c>
      <c r="D4191">
        <v>3</v>
      </c>
      <c r="E4191" t="s">
        <v>3072</v>
      </c>
    </row>
    <row r="4192" spans="2:5">
      <c r="B4192" s="65" t="str">
        <f t="shared" si="65"/>
        <v>doc-934:1</v>
      </c>
      <c r="C4192" t="s">
        <v>10405</v>
      </c>
      <c r="D4192">
        <v>1</v>
      </c>
      <c r="E4192" t="s">
        <v>2023</v>
      </c>
    </row>
    <row r="4193" spans="2:5">
      <c r="B4193" s="65" t="str">
        <f t="shared" si="65"/>
        <v>doc-934:2</v>
      </c>
      <c r="C4193" t="s">
        <v>10405</v>
      </c>
      <c r="D4193">
        <v>2</v>
      </c>
      <c r="E4193" t="s">
        <v>1833</v>
      </c>
    </row>
    <row r="4194" spans="2:5">
      <c r="B4194" s="65" t="str">
        <f t="shared" si="65"/>
        <v>doc-934:3</v>
      </c>
      <c r="C4194" t="s">
        <v>10405</v>
      </c>
      <c r="D4194">
        <v>3</v>
      </c>
      <c r="E4194" t="s">
        <v>1108</v>
      </c>
    </row>
    <row r="4195" spans="2:5">
      <c r="B4195" s="65" t="str">
        <f t="shared" si="65"/>
        <v>doc-934:4</v>
      </c>
      <c r="C4195" t="s">
        <v>10405</v>
      </c>
      <c r="D4195">
        <v>4</v>
      </c>
      <c r="E4195" t="s">
        <v>2895</v>
      </c>
    </row>
    <row r="4196" spans="2:5">
      <c r="B4196" s="65" t="str">
        <f t="shared" si="65"/>
        <v>doc-934:5</v>
      </c>
      <c r="C4196" t="s">
        <v>10405</v>
      </c>
      <c r="D4196">
        <v>5</v>
      </c>
      <c r="E4196" t="s">
        <v>2849</v>
      </c>
    </row>
    <row r="4197" spans="2:5">
      <c r="B4197" s="65" t="str">
        <f t="shared" si="65"/>
        <v>doc-935:1</v>
      </c>
      <c r="C4197" t="s">
        <v>10406</v>
      </c>
      <c r="D4197">
        <v>1</v>
      </c>
      <c r="E4197" t="s">
        <v>2698</v>
      </c>
    </row>
    <row r="4198" spans="2:5">
      <c r="B4198" s="65" t="str">
        <f t="shared" si="65"/>
        <v>doc-935:2</v>
      </c>
      <c r="C4198" t="s">
        <v>10406</v>
      </c>
      <c r="D4198">
        <v>2</v>
      </c>
      <c r="E4198" t="s">
        <v>2664</v>
      </c>
    </row>
    <row r="4199" spans="2:5">
      <c r="B4199" s="65" t="str">
        <f t="shared" si="65"/>
        <v>doc-935:3</v>
      </c>
      <c r="C4199" t="s">
        <v>10406</v>
      </c>
      <c r="D4199">
        <v>3</v>
      </c>
      <c r="E4199" t="s">
        <v>1833</v>
      </c>
    </row>
    <row r="4200" spans="2:5">
      <c r="B4200" s="65" t="str">
        <f t="shared" si="65"/>
        <v>doc-935:4</v>
      </c>
      <c r="C4200" t="s">
        <v>10406</v>
      </c>
      <c r="D4200">
        <v>4</v>
      </c>
      <c r="E4200" t="s">
        <v>1108</v>
      </c>
    </row>
    <row r="4201" spans="2:5">
      <c r="B4201" s="65" t="str">
        <f t="shared" si="65"/>
        <v>doc-936:1</v>
      </c>
      <c r="C4201" t="s">
        <v>10407</v>
      </c>
      <c r="D4201">
        <v>1</v>
      </c>
      <c r="E4201" t="s">
        <v>1467</v>
      </c>
    </row>
    <row r="4202" spans="2:5">
      <c r="B4202" s="65" t="str">
        <f t="shared" si="65"/>
        <v>doc-936:2</v>
      </c>
      <c r="C4202" t="s">
        <v>10407</v>
      </c>
      <c r="D4202">
        <v>2</v>
      </c>
      <c r="E4202" t="s">
        <v>73</v>
      </c>
    </row>
    <row r="4203" spans="2:5">
      <c r="B4203" s="65" t="str">
        <f t="shared" si="65"/>
        <v>doc-937:1</v>
      </c>
      <c r="C4203" t="s">
        <v>6256</v>
      </c>
      <c r="D4203">
        <v>1</v>
      </c>
      <c r="E4203" t="s">
        <v>1437</v>
      </c>
    </row>
    <row r="4204" spans="2:5">
      <c r="B4204" s="65" t="str">
        <f t="shared" si="65"/>
        <v>doc-937:2</v>
      </c>
      <c r="C4204" t="s">
        <v>6256</v>
      </c>
      <c r="D4204">
        <v>2</v>
      </c>
      <c r="E4204" t="s">
        <v>1349</v>
      </c>
    </row>
    <row r="4205" spans="2:5">
      <c r="B4205" s="65" t="str">
        <f t="shared" si="65"/>
        <v>doc-937:3</v>
      </c>
      <c r="C4205" t="s">
        <v>6256</v>
      </c>
      <c r="D4205">
        <v>3</v>
      </c>
      <c r="E4205" t="s">
        <v>1395</v>
      </c>
    </row>
    <row r="4206" spans="2:5">
      <c r="B4206" s="65" t="str">
        <f t="shared" si="65"/>
        <v>doc-937:4</v>
      </c>
      <c r="C4206" t="s">
        <v>6256</v>
      </c>
      <c r="D4206">
        <v>4</v>
      </c>
      <c r="E4206" t="s">
        <v>1108</v>
      </c>
    </row>
    <row r="4207" spans="2:5">
      <c r="B4207" s="65" t="str">
        <f t="shared" si="65"/>
        <v>doc-937:5</v>
      </c>
      <c r="C4207" t="s">
        <v>6256</v>
      </c>
      <c r="D4207">
        <v>5</v>
      </c>
      <c r="E4207" t="s">
        <v>281</v>
      </c>
    </row>
    <row r="4208" spans="2:5">
      <c r="B4208" s="65" t="str">
        <f t="shared" si="65"/>
        <v>doc-938:1</v>
      </c>
      <c r="C4208" t="s">
        <v>10408</v>
      </c>
      <c r="D4208">
        <v>1</v>
      </c>
      <c r="E4208" t="s">
        <v>2336</v>
      </c>
    </row>
    <row r="4209" spans="2:5">
      <c r="B4209" s="65" t="str">
        <f t="shared" si="65"/>
        <v>doc-938:2</v>
      </c>
      <c r="C4209" t="s">
        <v>10408</v>
      </c>
      <c r="D4209">
        <v>2</v>
      </c>
      <c r="E4209" t="s">
        <v>2316</v>
      </c>
    </row>
    <row r="4210" spans="2:5">
      <c r="B4210" s="65" t="str">
        <f t="shared" si="65"/>
        <v>doc-938:3</v>
      </c>
      <c r="C4210" t="s">
        <v>10408</v>
      </c>
      <c r="D4210">
        <v>3</v>
      </c>
      <c r="E4210" t="s">
        <v>1804</v>
      </c>
    </row>
    <row r="4211" spans="2:5">
      <c r="B4211" s="65" t="str">
        <f t="shared" si="65"/>
        <v>doc-938:4</v>
      </c>
      <c r="C4211" t="s">
        <v>10408</v>
      </c>
      <c r="D4211">
        <v>4</v>
      </c>
      <c r="E4211" t="s">
        <v>281</v>
      </c>
    </row>
    <row r="4212" spans="2:5">
      <c r="B4212" s="65" t="str">
        <f t="shared" si="65"/>
        <v>doc-939:1</v>
      </c>
      <c r="C4212" t="s">
        <v>10409</v>
      </c>
      <c r="D4212">
        <v>1</v>
      </c>
      <c r="E4212" t="s">
        <v>1275</v>
      </c>
    </row>
    <row r="4213" spans="2:5">
      <c r="B4213" s="65" t="str">
        <f t="shared" si="65"/>
        <v>doc-939:2</v>
      </c>
      <c r="C4213" t="s">
        <v>10409</v>
      </c>
      <c r="D4213">
        <v>2</v>
      </c>
      <c r="E4213" t="s">
        <v>1283</v>
      </c>
    </row>
    <row r="4214" spans="2:5">
      <c r="B4214" s="65" t="str">
        <f t="shared" si="65"/>
        <v>doc-939:3</v>
      </c>
      <c r="C4214" t="s">
        <v>10409</v>
      </c>
      <c r="D4214">
        <v>3</v>
      </c>
      <c r="E4214" t="s">
        <v>254</v>
      </c>
    </row>
    <row r="4215" spans="2:5">
      <c r="B4215" s="65" t="str">
        <f t="shared" si="65"/>
        <v>doc-940:1</v>
      </c>
      <c r="C4215" t="s">
        <v>10410</v>
      </c>
      <c r="D4215">
        <v>1</v>
      </c>
      <c r="E4215" t="s">
        <v>3061</v>
      </c>
    </row>
    <row r="4216" spans="2:5">
      <c r="B4216" s="65" t="str">
        <f t="shared" si="65"/>
        <v>doc-940:2</v>
      </c>
      <c r="C4216" t="s">
        <v>10410</v>
      </c>
      <c r="D4216">
        <v>2</v>
      </c>
      <c r="E4216" t="s">
        <v>3066</v>
      </c>
    </row>
    <row r="4217" spans="2:5">
      <c r="B4217" s="65" t="str">
        <f t="shared" si="65"/>
        <v>doc-940:3</v>
      </c>
      <c r="C4217" t="s">
        <v>10410</v>
      </c>
      <c r="D4217">
        <v>3</v>
      </c>
      <c r="E4217" t="s">
        <v>79</v>
      </c>
    </row>
    <row r="4218" spans="2:5">
      <c r="B4218" s="65" t="str">
        <f t="shared" si="65"/>
        <v>doc-940:4</v>
      </c>
      <c r="C4218" t="s">
        <v>10410</v>
      </c>
      <c r="D4218">
        <v>4</v>
      </c>
      <c r="E4218" t="s">
        <v>3058</v>
      </c>
    </row>
    <row r="4219" spans="2:5">
      <c r="B4219" s="65" t="str">
        <f t="shared" si="65"/>
        <v>doc-941:1</v>
      </c>
      <c r="C4219" t="s">
        <v>10411</v>
      </c>
      <c r="D4219">
        <v>1</v>
      </c>
      <c r="E4219" t="s">
        <v>1561</v>
      </c>
    </row>
    <row r="4220" spans="2:5">
      <c r="B4220" s="65" t="str">
        <f t="shared" si="65"/>
        <v>doc-941:2</v>
      </c>
      <c r="C4220" t="s">
        <v>10411</v>
      </c>
      <c r="D4220">
        <v>2</v>
      </c>
      <c r="E4220" t="s">
        <v>2197</v>
      </c>
    </row>
    <row r="4221" spans="2:5">
      <c r="B4221" s="65" t="str">
        <f t="shared" si="65"/>
        <v>doc-941:3</v>
      </c>
      <c r="C4221" t="s">
        <v>10411</v>
      </c>
      <c r="D4221">
        <v>3</v>
      </c>
      <c r="E4221" t="s">
        <v>82</v>
      </c>
    </row>
    <row r="4222" spans="2:5">
      <c r="B4222" s="65" t="str">
        <f t="shared" si="65"/>
        <v>doc-941:4</v>
      </c>
      <c r="C4222" t="s">
        <v>10411</v>
      </c>
      <c r="D4222">
        <v>4</v>
      </c>
      <c r="E4222" t="s">
        <v>1197</v>
      </c>
    </row>
    <row r="4223" spans="2:5">
      <c r="B4223" s="65" t="str">
        <f t="shared" si="65"/>
        <v>doc-941:5</v>
      </c>
      <c r="C4223" t="s">
        <v>10411</v>
      </c>
      <c r="D4223">
        <v>5</v>
      </c>
      <c r="E4223" t="s">
        <v>1078</v>
      </c>
    </row>
    <row r="4224" spans="2:5">
      <c r="B4224" s="65" t="str">
        <f t="shared" si="65"/>
        <v>doc-942:1</v>
      </c>
      <c r="C4224" t="s">
        <v>10412</v>
      </c>
      <c r="D4224">
        <v>1</v>
      </c>
      <c r="E4224" t="s">
        <v>2501</v>
      </c>
    </row>
    <row r="4225" spans="2:5">
      <c r="B4225" s="65" t="str">
        <f t="shared" si="65"/>
        <v>doc-942:2</v>
      </c>
      <c r="C4225" t="s">
        <v>10412</v>
      </c>
      <c r="D4225">
        <v>2</v>
      </c>
      <c r="E4225" t="s">
        <v>2435</v>
      </c>
    </row>
    <row r="4226" spans="2:5">
      <c r="B4226" s="65" t="str">
        <f t="shared" si="65"/>
        <v>doc-942:3</v>
      </c>
      <c r="C4226" t="s">
        <v>10412</v>
      </c>
      <c r="D4226">
        <v>3</v>
      </c>
      <c r="E4226" t="s">
        <v>2422</v>
      </c>
    </row>
    <row r="4227" spans="2:5">
      <c r="B4227" s="65" t="str">
        <f t="shared" si="65"/>
        <v>doc-943:1</v>
      </c>
      <c r="C4227" t="s">
        <v>10413</v>
      </c>
      <c r="D4227">
        <v>1</v>
      </c>
      <c r="E4227" t="s">
        <v>2435</v>
      </c>
    </row>
    <row r="4228" spans="2:5">
      <c r="B4228" s="65" t="str">
        <f t="shared" ref="B4228:B4291" si="66">$C4228&amp;":"&amp;$D4228</f>
        <v>doc-943:2</v>
      </c>
      <c r="C4228" t="s">
        <v>10413</v>
      </c>
      <c r="D4228">
        <v>2</v>
      </c>
      <c r="E4228" t="s">
        <v>2485</v>
      </c>
    </row>
    <row r="4229" spans="2:5">
      <c r="B4229" s="65" t="str">
        <f t="shared" si="66"/>
        <v>doc-943:3</v>
      </c>
      <c r="C4229" t="s">
        <v>10413</v>
      </c>
      <c r="D4229">
        <v>3</v>
      </c>
      <c r="E4229" t="s">
        <v>2422</v>
      </c>
    </row>
    <row r="4230" spans="2:5">
      <c r="B4230" s="65" t="str">
        <f t="shared" si="66"/>
        <v>doc-944:1</v>
      </c>
      <c r="C4230" t="s">
        <v>10414</v>
      </c>
      <c r="D4230">
        <v>1</v>
      </c>
      <c r="E4230" t="s">
        <v>1921</v>
      </c>
    </row>
    <row r="4231" spans="2:5">
      <c r="B4231" s="65" t="str">
        <f t="shared" si="66"/>
        <v>doc-944:2</v>
      </c>
      <c r="C4231" t="s">
        <v>10414</v>
      </c>
      <c r="D4231">
        <v>2</v>
      </c>
      <c r="E4231" t="s">
        <v>1905</v>
      </c>
    </row>
    <row r="4232" spans="2:5">
      <c r="B4232" s="65" t="str">
        <f t="shared" si="66"/>
        <v>doc-944:3</v>
      </c>
      <c r="C4232" t="s">
        <v>10414</v>
      </c>
      <c r="D4232">
        <v>3</v>
      </c>
      <c r="E4232" t="s">
        <v>1916</v>
      </c>
    </row>
    <row r="4233" spans="2:5">
      <c r="B4233" s="65" t="str">
        <f t="shared" si="66"/>
        <v>doc-944:4</v>
      </c>
      <c r="C4233" t="s">
        <v>10414</v>
      </c>
      <c r="D4233">
        <v>4</v>
      </c>
      <c r="E4233" t="s">
        <v>2003</v>
      </c>
    </row>
    <row r="4234" spans="2:5">
      <c r="B4234" s="65" t="str">
        <f t="shared" si="66"/>
        <v>doc-944:5</v>
      </c>
      <c r="C4234" t="s">
        <v>10414</v>
      </c>
      <c r="D4234">
        <v>5</v>
      </c>
      <c r="E4234" t="s">
        <v>1904</v>
      </c>
    </row>
    <row r="4235" spans="2:5">
      <c r="B4235" s="65" t="str">
        <f t="shared" si="66"/>
        <v>doc-945:1</v>
      </c>
      <c r="C4235" t="s">
        <v>10415</v>
      </c>
      <c r="D4235">
        <v>1</v>
      </c>
      <c r="E4235" t="s">
        <v>2485</v>
      </c>
    </row>
    <row r="4236" spans="2:5">
      <c r="B4236" s="65" t="str">
        <f t="shared" si="66"/>
        <v>doc-945:2</v>
      </c>
      <c r="C4236" t="s">
        <v>10415</v>
      </c>
      <c r="D4236">
        <v>2</v>
      </c>
      <c r="E4236" t="s">
        <v>2458</v>
      </c>
    </row>
    <row r="4237" spans="2:5">
      <c r="B4237" s="65" t="str">
        <f t="shared" si="66"/>
        <v>doc-945:3</v>
      </c>
      <c r="C4237" t="s">
        <v>10415</v>
      </c>
      <c r="D4237">
        <v>3</v>
      </c>
      <c r="E4237" t="s">
        <v>2422</v>
      </c>
    </row>
    <row r="4238" spans="2:5">
      <c r="B4238" s="65" t="str">
        <f t="shared" si="66"/>
        <v>doc-946:1</v>
      </c>
      <c r="C4238" t="s">
        <v>10416</v>
      </c>
      <c r="D4238">
        <v>1</v>
      </c>
      <c r="E4238" t="s">
        <v>2485</v>
      </c>
    </row>
    <row r="4239" spans="2:5">
      <c r="B4239" s="65" t="str">
        <f t="shared" si="66"/>
        <v>doc-946:2</v>
      </c>
      <c r="C4239" t="s">
        <v>10416</v>
      </c>
      <c r="D4239">
        <v>2</v>
      </c>
      <c r="E4239" t="s">
        <v>2422</v>
      </c>
    </row>
    <row r="4240" spans="2:5">
      <c r="B4240" s="65" t="str">
        <f t="shared" si="66"/>
        <v>doc-946:3</v>
      </c>
      <c r="C4240" t="s">
        <v>10416</v>
      </c>
      <c r="D4240">
        <v>3</v>
      </c>
      <c r="E4240" t="s">
        <v>1968</v>
      </c>
    </row>
    <row r="4241" spans="2:5">
      <c r="B4241" s="65" t="str">
        <f t="shared" si="66"/>
        <v>doc-946:4</v>
      </c>
      <c r="C4241" t="s">
        <v>10416</v>
      </c>
      <c r="D4241">
        <v>4</v>
      </c>
      <c r="E4241" t="s">
        <v>1856</v>
      </c>
    </row>
    <row r="4242" spans="2:5">
      <c r="B4242" s="65" t="str">
        <f t="shared" si="66"/>
        <v>doc-947b:1</v>
      </c>
      <c r="C4242" t="s">
        <v>10417</v>
      </c>
      <c r="D4242">
        <v>1</v>
      </c>
      <c r="E4242" t="s">
        <v>1763</v>
      </c>
    </row>
    <row r="4243" spans="2:5">
      <c r="B4243" s="65" t="str">
        <f t="shared" si="66"/>
        <v>doc-947b:2</v>
      </c>
      <c r="C4243" t="s">
        <v>10417</v>
      </c>
      <c r="D4243">
        <v>2</v>
      </c>
      <c r="E4243" t="s">
        <v>1737</v>
      </c>
    </row>
    <row r="4244" spans="2:5">
      <c r="B4244" s="65" t="str">
        <f t="shared" si="66"/>
        <v>doc-947b:3</v>
      </c>
      <c r="C4244" t="s">
        <v>10417</v>
      </c>
      <c r="D4244">
        <v>3</v>
      </c>
      <c r="E4244" t="s">
        <v>1760</v>
      </c>
    </row>
    <row r="4245" spans="2:5">
      <c r="B4245" s="65" t="str">
        <f t="shared" si="66"/>
        <v>doc-947b:4</v>
      </c>
      <c r="C4245" t="s">
        <v>10417</v>
      </c>
      <c r="D4245">
        <v>4</v>
      </c>
      <c r="E4245" t="s">
        <v>1968</v>
      </c>
    </row>
    <row r="4246" spans="2:5">
      <c r="B4246" s="65" t="str">
        <f t="shared" si="66"/>
        <v>doc-947b:5</v>
      </c>
      <c r="C4246" t="s">
        <v>10417</v>
      </c>
      <c r="D4246">
        <v>5</v>
      </c>
      <c r="E4246" t="s">
        <v>2422</v>
      </c>
    </row>
    <row r="4247" spans="2:5">
      <c r="B4247" s="65" t="str">
        <f t="shared" si="66"/>
        <v>doc-947b:6</v>
      </c>
      <c r="C4247" t="s">
        <v>10417</v>
      </c>
      <c r="D4247">
        <v>6</v>
      </c>
      <c r="E4247" t="s">
        <v>2087</v>
      </c>
    </row>
    <row r="4248" spans="2:5">
      <c r="B4248" s="65" t="str">
        <f t="shared" si="66"/>
        <v>doc-947b:7</v>
      </c>
      <c r="C4248" t="s">
        <v>10417</v>
      </c>
      <c r="D4248">
        <v>7</v>
      </c>
      <c r="E4248" t="s">
        <v>1775</v>
      </c>
    </row>
    <row r="4249" spans="2:5">
      <c r="B4249" s="65" t="str">
        <f t="shared" si="66"/>
        <v>doc-948:1</v>
      </c>
      <c r="C4249" t="s">
        <v>10418</v>
      </c>
      <c r="D4249">
        <v>1</v>
      </c>
      <c r="E4249" t="s">
        <v>3075</v>
      </c>
    </row>
    <row r="4250" spans="2:5">
      <c r="B4250" s="65" t="str">
        <f t="shared" si="66"/>
        <v>doc-948:2</v>
      </c>
      <c r="C4250" t="s">
        <v>10418</v>
      </c>
      <c r="D4250">
        <v>2</v>
      </c>
      <c r="E4250" t="s">
        <v>3080</v>
      </c>
    </row>
    <row r="4251" spans="2:5">
      <c r="B4251" s="65" t="str">
        <f t="shared" si="66"/>
        <v>doc-948:3</v>
      </c>
      <c r="C4251" t="s">
        <v>10418</v>
      </c>
      <c r="D4251">
        <v>3</v>
      </c>
      <c r="E4251" t="s">
        <v>3076</v>
      </c>
    </row>
    <row r="4252" spans="2:5">
      <c r="B4252" s="65" t="str">
        <f t="shared" si="66"/>
        <v>doc-948:4</v>
      </c>
      <c r="C4252" t="s">
        <v>10418</v>
      </c>
      <c r="D4252">
        <v>4</v>
      </c>
      <c r="E4252" t="s">
        <v>1962</v>
      </c>
    </row>
    <row r="4253" spans="2:5">
      <c r="B4253" s="65" t="str">
        <f t="shared" si="66"/>
        <v>doc-948:5</v>
      </c>
      <c r="C4253" t="s">
        <v>10418</v>
      </c>
      <c r="D4253">
        <v>5</v>
      </c>
      <c r="E4253" t="s">
        <v>1844</v>
      </c>
    </row>
    <row r="4254" spans="2:5">
      <c r="B4254" s="65" t="str">
        <f t="shared" si="66"/>
        <v>doc-948:6</v>
      </c>
      <c r="C4254" t="s">
        <v>10418</v>
      </c>
      <c r="D4254">
        <v>6</v>
      </c>
      <c r="E4254" t="s">
        <v>1116</v>
      </c>
    </row>
    <row r="4255" spans="2:5">
      <c r="B4255" s="65" t="str">
        <f t="shared" si="66"/>
        <v>doc-948:7</v>
      </c>
      <c r="C4255" t="s">
        <v>10418</v>
      </c>
      <c r="D4255">
        <v>7</v>
      </c>
      <c r="E4255" t="s">
        <v>2218</v>
      </c>
    </row>
    <row r="4256" spans="2:5">
      <c r="B4256" s="65" t="str">
        <f t="shared" si="66"/>
        <v>doc-949:1</v>
      </c>
      <c r="C4256" t="s">
        <v>10419</v>
      </c>
      <c r="D4256">
        <v>1</v>
      </c>
      <c r="E4256" t="s">
        <v>2678</v>
      </c>
    </row>
    <row r="4257" spans="2:5">
      <c r="B4257" s="65" t="str">
        <f t="shared" si="66"/>
        <v>doc-949:2</v>
      </c>
      <c r="C4257" t="s">
        <v>10419</v>
      </c>
      <c r="D4257">
        <v>2</v>
      </c>
      <c r="E4257" t="s">
        <v>2667</v>
      </c>
    </row>
    <row r="4258" spans="2:5">
      <c r="B4258" s="65" t="str">
        <f t="shared" si="66"/>
        <v>doc-949:3</v>
      </c>
      <c r="C4258" t="s">
        <v>10419</v>
      </c>
      <c r="D4258">
        <v>3</v>
      </c>
      <c r="E4258" t="s">
        <v>1165</v>
      </c>
    </row>
    <row r="4259" spans="2:5">
      <c r="B4259" s="65" t="str">
        <f t="shared" si="66"/>
        <v>doc-949:4</v>
      </c>
      <c r="C4259" t="s">
        <v>10419</v>
      </c>
      <c r="D4259">
        <v>4</v>
      </c>
      <c r="E4259" t="s">
        <v>3106</v>
      </c>
    </row>
    <row r="4260" spans="2:5">
      <c r="B4260" s="65" t="str">
        <f t="shared" si="66"/>
        <v>doc-950:1</v>
      </c>
      <c r="C4260" t="s">
        <v>10420</v>
      </c>
      <c r="D4260">
        <v>1</v>
      </c>
      <c r="E4260" t="s">
        <v>2023</v>
      </c>
    </row>
    <row r="4261" spans="2:5">
      <c r="B4261" s="65" t="str">
        <f t="shared" si="66"/>
        <v>doc-950:2</v>
      </c>
      <c r="C4261" t="s">
        <v>10420</v>
      </c>
      <c r="D4261">
        <v>2</v>
      </c>
      <c r="E4261" t="s">
        <v>2143</v>
      </c>
    </row>
    <row r="4262" spans="2:5">
      <c r="B4262" s="65" t="str">
        <f t="shared" si="66"/>
        <v>doc-950:3</v>
      </c>
      <c r="C4262" t="s">
        <v>10420</v>
      </c>
      <c r="D4262">
        <v>3</v>
      </c>
      <c r="E4262" t="s">
        <v>1911</v>
      </c>
    </row>
    <row r="4263" spans="2:5">
      <c r="B4263" s="65" t="str">
        <f t="shared" si="66"/>
        <v>doc-950:4</v>
      </c>
      <c r="C4263" t="s">
        <v>10420</v>
      </c>
      <c r="D4263">
        <v>4</v>
      </c>
      <c r="E4263" t="s">
        <v>2121</v>
      </c>
    </row>
    <row r="4264" spans="2:5">
      <c r="B4264" s="65" t="str">
        <f t="shared" si="66"/>
        <v>doc-952:1</v>
      </c>
      <c r="C4264" t="s">
        <v>10421</v>
      </c>
      <c r="D4264">
        <v>1</v>
      </c>
      <c r="E4264" t="s">
        <v>2911</v>
      </c>
    </row>
    <row r="4265" spans="2:5">
      <c r="B4265" s="65" t="str">
        <f t="shared" si="66"/>
        <v>doc-952:2</v>
      </c>
      <c r="C4265" t="s">
        <v>10421</v>
      </c>
      <c r="D4265">
        <v>2</v>
      </c>
      <c r="E4265" t="s">
        <v>2851</v>
      </c>
    </row>
    <row r="4266" spans="2:5">
      <c r="B4266" s="65" t="str">
        <f t="shared" si="66"/>
        <v>doc-952:3</v>
      </c>
      <c r="C4266" t="s">
        <v>10421</v>
      </c>
      <c r="D4266">
        <v>3</v>
      </c>
      <c r="E4266" t="s">
        <v>2860</v>
      </c>
    </row>
    <row r="4267" spans="2:5">
      <c r="B4267" s="65" t="str">
        <f t="shared" si="66"/>
        <v>doc-952:4</v>
      </c>
      <c r="C4267" t="s">
        <v>10421</v>
      </c>
      <c r="D4267">
        <v>4</v>
      </c>
      <c r="E4267" t="s">
        <v>2849</v>
      </c>
    </row>
    <row r="4268" spans="2:5">
      <c r="B4268" s="65" t="str">
        <f t="shared" si="66"/>
        <v>doc-953:1</v>
      </c>
      <c r="C4268" t="s">
        <v>10422</v>
      </c>
      <c r="D4268">
        <v>1</v>
      </c>
      <c r="E4268" t="s">
        <v>1171</v>
      </c>
    </row>
    <row r="4269" spans="2:5">
      <c r="B4269" s="65" t="str">
        <f t="shared" si="66"/>
        <v>doc-953:2</v>
      </c>
      <c r="C4269" t="s">
        <v>10422</v>
      </c>
      <c r="D4269">
        <v>2</v>
      </c>
      <c r="E4269" t="s">
        <v>1179</v>
      </c>
    </row>
    <row r="4270" spans="2:5">
      <c r="B4270" s="65" t="str">
        <f t="shared" si="66"/>
        <v>doc-954a:1</v>
      </c>
      <c r="C4270" t="s">
        <v>10423</v>
      </c>
      <c r="D4270">
        <v>1</v>
      </c>
      <c r="E4270" t="s">
        <v>1409</v>
      </c>
    </row>
    <row r="4271" spans="2:5">
      <c r="B4271" s="65" t="str">
        <f t="shared" si="66"/>
        <v>doc-954a:2</v>
      </c>
      <c r="C4271" t="s">
        <v>10423</v>
      </c>
      <c r="D4271">
        <v>2</v>
      </c>
      <c r="E4271" t="s">
        <v>1883</v>
      </c>
    </row>
    <row r="4272" spans="2:5">
      <c r="B4272" s="65" t="str">
        <f t="shared" si="66"/>
        <v>doc-954a:3</v>
      </c>
      <c r="C4272" t="s">
        <v>10423</v>
      </c>
      <c r="D4272">
        <v>3</v>
      </c>
      <c r="E4272" t="s">
        <v>2017</v>
      </c>
    </row>
    <row r="4273" spans="2:5">
      <c r="B4273" s="65" t="str">
        <f t="shared" si="66"/>
        <v>doc-954b:1</v>
      </c>
      <c r="C4273" t="s">
        <v>10424</v>
      </c>
      <c r="D4273">
        <v>1</v>
      </c>
      <c r="E4273" t="s">
        <v>1409</v>
      </c>
    </row>
    <row r="4274" spans="2:5">
      <c r="B4274" s="65" t="str">
        <f t="shared" si="66"/>
        <v>doc-954b:2</v>
      </c>
      <c r="C4274" t="s">
        <v>10424</v>
      </c>
      <c r="D4274">
        <v>2</v>
      </c>
      <c r="E4274" t="s">
        <v>1883</v>
      </c>
    </row>
    <row r="4275" spans="2:5">
      <c r="B4275" s="65" t="str">
        <f t="shared" si="66"/>
        <v>doc-954b:3</v>
      </c>
      <c r="C4275" t="s">
        <v>10424</v>
      </c>
      <c r="D4275">
        <v>3</v>
      </c>
      <c r="E4275" t="s">
        <v>2017</v>
      </c>
    </row>
    <row r="4276" spans="2:5">
      <c r="B4276" s="65" t="str">
        <f t="shared" si="66"/>
        <v>doc-955a:1</v>
      </c>
      <c r="C4276" t="s">
        <v>10425</v>
      </c>
      <c r="D4276">
        <v>1</v>
      </c>
      <c r="E4276" t="s">
        <v>3080</v>
      </c>
    </row>
    <row r="4277" spans="2:5">
      <c r="B4277" s="65" t="str">
        <f t="shared" si="66"/>
        <v>doc-955a:2</v>
      </c>
      <c r="C4277" t="s">
        <v>10425</v>
      </c>
      <c r="D4277">
        <v>2</v>
      </c>
      <c r="E4277" t="s">
        <v>3075</v>
      </c>
    </row>
    <row r="4278" spans="2:5">
      <c r="B4278" s="65" t="str">
        <f t="shared" si="66"/>
        <v>doc-955b:1</v>
      </c>
      <c r="C4278" t="s">
        <v>10426</v>
      </c>
      <c r="D4278">
        <v>1</v>
      </c>
      <c r="E4278" t="s">
        <v>3080</v>
      </c>
    </row>
    <row r="4279" spans="2:5">
      <c r="B4279" s="65" t="str">
        <f t="shared" si="66"/>
        <v>doc-955b:2</v>
      </c>
      <c r="C4279" t="s">
        <v>10426</v>
      </c>
      <c r="D4279">
        <v>2</v>
      </c>
      <c r="E4279" t="s">
        <v>3075</v>
      </c>
    </row>
    <row r="4280" spans="2:5">
      <c r="B4280" s="65" t="str">
        <f t="shared" si="66"/>
        <v>doc-956:1</v>
      </c>
      <c r="C4280" t="s">
        <v>10427</v>
      </c>
      <c r="D4280">
        <v>1</v>
      </c>
      <c r="E4280" t="s">
        <v>2722</v>
      </c>
    </row>
    <row r="4281" spans="2:5">
      <c r="B4281" s="65" t="str">
        <f t="shared" si="66"/>
        <v>doc-956:2</v>
      </c>
      <c r="C4281" t="s">
        <v>10427</v>
      </c>
      <c r="D4281">
        <v>2</v>
      </c>
      <c r="E4281" t="s">
        <v>1711</v>
      </c>
    </row>
    <row r="4282" spans="2:5">
      <c r="B4282" s="65" t="str">
        <f t="shared" si="66"/>
        <v>doc-956:3</v>
      </c>
      <c r="C4282" t="s">
        <v>10427</v>
      </c>
      <c r="D4282">
        <v>3</v>
      </c>
      <c r="E4282" t="s">
        <v>2664</v>
      </c>
    </row>
    <row r="4283" spans="2:5">
      <c r="B4283" s="65" t="str">
        <f t="shared" si="66"/>
        <v>doc-957:1</v>
      </c>
      <c r="C4283" t="s">
        <v>10428</v>
      </c>
      <c r="D4283">
        <v>1</v>
      </c>
      <c r="E4283" t="s">
        <v>2895</v>
      </c>
    </row>
    <row r="4284" spans="2:5">
      <c r="B4284" s="65" t="str">
        <f t="shared" si="66"/>
        <v>doc-957:2</v>
      </c>
      <c r="C4284" t="s">
        <v>10428</v>
      </c>
      <c r="D4284">
        <v>2</v>
      </c>
      <c r="E4284" t="s">
        <v>2023</v>
      </c>
    </row>
    <row r="4285" spans="2:5">
      <c r="B4285" s="65" t="str">
        <f t="shared" si="66"/>
        <v>doc-957:3</v>
      </c>
      <c r="C4285" t="s">
        <v>10428</v>
      </c>
      <c r="D4285">
        <v>3</v>
      </c>
      <c r="E4285" t="s">
        <v>1833</v>
      </c>
    </row>
    <row r="4286" spans="2:5">
      <c r="B4286" s="65" t="str">
        <f t="shared" si="66"/>
        <v>doc-957:4</v>
      </c>
      <c r="C4286" t="s">
        <v>10428</v>
      </c>
      <c r="D4286">
        <v>4</v>
      </c>
      <c r="E4286" t="s">
        <v>2847</v>
      </c>
    </row>
    <row r="4287" spans="2:5">
      <c r="B4287" s="65" t="str">
        <f t="shared" si="66"/>
        <v>doc-957:5</v>
      </c>
      <c r="C4287" t="s">
        <v>10428</v>
      </c>
      <c r="D4287">
        <v>5</v>
      </c>
      <c r="E4287" t="s">
        <v>2849</v>
      </c>
    </row>
    <row r="4288" spans="2:5">
      <c r="B4288" s="65" t="str">
        <f t="shared" si="66"/>
        <v>doc-958:1</v>
      </c>
      <c r="C4288" t="s">
        <v>10429</v>
      </c>
      <c r="D4288">
        <v>1</v>
      </c>
      <c r="E4288" t="s">
        <v>2640</v>
      </c>
    </row>
    <row r="4289" spans="2:5">
      <c r="B4289" s="65" t="str">
        <f t="shared" si="66"/>
        <v>doc-958:2</v>
      </c>
      <c r="C4289" t="s">
        <v>10429</v>
      </c>
      <c r="D4289">
        <v>2</v>
      </c>
      <c r="E4289" t="s">
        <v>1833</v>
      </c>
    </row>
    <row r="4290" spans="2:5">
      <c r="B4290" s="65" t="str">
        <f t="shared" si="66"/>
        <v>doc-958:3</v>
      </c>
      <c r="C4290" t="s">
        <v>10429</v>
      </c>
      <c r="D4290">
        <v>3</v>
      </c>
      <c r="E4290" t="s">
        <v>1108</v>
      </c>
    </row>
    <row r="4291" spans="2:5">
      <c r="B4291" s="65" t="str">
        <f t="shared" si="66"/>
        <v>doc-958:4</v>
      </c>
      <c r="C4291" t="s">
        <v>10429</v>
      </c>
      <c r="D4291">
        <v>4</v>
      </c>
      <c r="E4291" t="s">
        <v>107</v>
      </c>
    </row>
    <row r="4292" spans="2:5">
      <c r="B4292" s="65" t="str">
        <f t="shared" ref="B4292:B4355" si="67">$C4292&amp;":"&amp;$D4292</f>
        <v>doc-959:1</v>
      </c>
      <c r="C4292" t="s">
        <v>10430</v>
      </c>
      <c r="D4292">
        <v>1</v>
      </c>
      <c r="E4292" t="s">
        <v>2749</v>
      </c>
    </row>
    <row r="4293" spans="2:5">
      <c r="B4293" s="65" t="str">
        <f t="shared" si="67"/>
        <v>doc-959:2</v>
      </c>
      <c r="C4293" t="s">
        <v>10430</v>
      </c>
      <c r="D4293">
        <v>2</v>
      </c>
      <c r="E4293" t="s">
        <v>2720</v>
      </c>
    </row>
    <row r="4294" spans="2:5">
      <c r="B4294" s="65" t="str">
        <f t="shared" si="67"/>
        <v>doc-959:3</v>
      </c>
      <c r="C4294" t="s">
        <v>10430</v>
      </c>
      <c r="D4294">
        <v>3</v>
      </c>
      <c r="E4294" t="s">
        <v>2698</v>
      </c>
    </row>
    <row r="4295" spans="2:5">
      <c r="B4295" s="65" t="str">
        <f t="shared" si="67"/>
        <v>doc-959:4</v>
      </c>
      <c r="C4295" t="s">
        <v>10430</v>
      </c>
      <c r="D4295">
        <v>4</v>
      </c>
      <c r="E4295" t="s">
        <v>2742</v>
      </c>
    </row>
    <row r="4296" spans="2:5">
      <c r="B4296" s="65" t="str">
        <f t="shared" si="67"/>
        <v>doc-959:5</v>
      </c>
      <c r="C4296" t="s">
        <v>10430</v>
      </c>
      <c r="D4296">
        <v>5</v>
      </c>
      <c r="E4296" t="s">
        <v>2664</v>
      </c>
    </row>
    <row r="4297" spans="2:5">
      <c r="B4297" s="65" t="str">
        <f t="shared" si="67"/>
        <v>doc-959:6</v>
      </c>
      <c r="C4297" t="s">
        <v>10430</v>
      </c>
      <c r="D4297">
        <v>6</v>
      </c>
      <c r="E4297" t="s">
        <v>2023</v>
      </c>
    </row>
    <row r="4298" spans="2:5">
      <c r="B4298" s="65" t="str">
        <f t="shared" si="67"/>
        <v>doc-959:7</v>
      </c>
      <c r="C4298" t="s">
        <v>10430</v>
      </c>
      <c r="D4298">
        <v>7</v>
      </c>
      <c r="E4298" t="s">
        <v>1833</v>
      </c>
    </row>
    <row r="4299" spans="2:5">
      <c r="B4299" s="65" t="str">
        <f t="shared" si="67"/>
        <v>doc-960d:1</v>
      </c>
      <c r="C4299" t="s">
        <v>10431</v>
      </c>
      <c r="D4299">
        <v>1</v>
      </c>
      <c r="E4299" t="s">
        <v>2954</v>
      </c>
    </row>
    <row r="4300" spans="2:5">
      <c r="B4300" s="65" t="str">
        <f t="shared" si="67"/>
        <v>doc-960d:2</v>
      </c>
      <c r="C4300" t="s">
        <v>10431</v>
      </c>
      <c r="D4300">
        <v>2</v>
      </c>
      <c r="E4300" t="s">
        <v>2967</v>
      </c>
    </row>
    <row r="4301" spans="2:5">
      <c r="B4301" s="65" t="str">
        <f t="shared" si="67"/>
        <v>doc-960d:3</v>
      </c>
      <c r="C4301" t="s">
        <v>10431</v>
      </c>
      <c r="D4301">
        <v>3</v>
      </c>
      <c r="E4301" t="s">
        <v>299</v>
      </c>
    </row>
    <row r="4302" spans="2:5">
      <c r="B4302" s="65" t="str">
        <f t="shared" si="67"/>
        <v>doc-961:1</v>
      </c>
      <c r="C4302" t="s">
        <v>10432</v>
      </c>
      <c r="D4302">
        <v>1</v>
      </c>
      <c r="E4302" t="s">
        <v>2302</v>
      </c>
    </row>
    <row r="4303" spans="2:5">
      <c r="B4303" s="65" t="str">
        <f t="shared" si="67"/>
        <v>doc-961:2</v>
      </c>
      <c r="C4303" t="s">
        <v>10432</v>
      </c>
      <c r="D4303">
        <v>2</v>
      </c>
      <c r="E4303" t="s">
        <v>1395</v>
      </c>
    </row>
    <row r="4304" spans="2:5">
      <c r="B4304" s="65" t="str">
        <f t="shared" si="67"/>
        <v>doc-961:3</v>
      </c>
      <c r="C4304" t="s">
        <v>10432</v>
      </c>
      <c r="D4304">
        <v>3</v>
      </c>
      <c r="E4304" t="s">
        <v>1349</v>
      </c>
    </row>
    <row r="4305" spans="2:5">
      <c r="B4305" s="65" t="str">
        <f t="shared" si="67"/>
        <v>doc-961:4</v>
      </c>
      <c r="C4305" t="s">
        <v>10432</v>
      </c>
      <c r="D4305">
        <v>4</v>
      </c>
      <c r="E4305" t="s">
        <v>281</v>
      </c>
    </row>
    <row r="4306" spans="2:5">
      <c r="B4306" s="65" t="str">
        <f t="shared" si="67"/>
        <v>doc-962:1</v>
      </c>
      <c r="C4306" t="s">
        <v>10433</v>
      </c>
      <c r="D4306">
        <v>1</v>
      </c>
      <c r="E4306" t="s">
        <v>2336</v>
      </c>
    </row>
    <row r="4307" spans="2:5">
      <c r="B4307" s="65" t="str">
        <f t="shared" si="67"/>
        <v>doc-962:2</v>
      </c>
      <c r="C4307" t="s">
        <v>10433</v>
      </c>
      <c r="D4307">
        <v>2</v>
      </c>
      <c r="E4307" t="s">
        <v>1804</v>
      </c>
    </row>
    <row r="4308" spans="2:5">
      <c r="B4308" s="65" t="str">
        <f t="shared" si="67"/>
        <v>doc-962:3</v>
      </c>
      <c r="C4308" t="s">
        <v>10433</v>
      </c>
      <c r="D4308">
        <v>3</v>
      </c>
      <c r="E4308" t="s">
        <v>1747</v>
      </c>
    </row>
    <row r="4309" spans="2:5">
      <c r="B4309" s="65" t="str">
        <f t="shared" si="67"/>
        <v>doc-962:4</v>
      </c>
      <c r="C4309" t="s">
        <v>10433</v>
      </c>
      <c r="D4309">
        <v>4</v>
      </c>
      <c r="E4309" t="s">
        <v>281</v>
      </c>
    </row>
    <row r="4310" spans="2:5">
      <c r="B4310" s="65" t="str">
        <f t="shared" si="67"/>
        <v>doc-963:1</v>
      </c>
      <c r="C4310" t="s">
        <v>10434</v>
      </c>
      <c r="D4310">
        <v>1</v>
      </c>
      <c r="E4310" t="s">
        <v>2435</v>
      </c>
    </row>
    <row r="4311" spans="2:5">
      <c r="B4311" s="65" t="str">
        <f t="shared" si="67"/>
        <v>doc-963:2</v>
      </c>
      <c r="C4311" t="s">
        <v>10434</v>
      </c>
      <c r="D4311">
        <v>2</v>
      </c>
      <c r="E4311" t="s">
        <v>2501</v>
      </c>
    </row>
    <row r="4312" spans="2:5">
      <c r="B4312" s="65" t="str">
        <f t="shared" si="67"/>
        <v>doc-963:3</v>
      </c>
      <c r="C4312" t="s">
        <v>10434</v>
      </c>
      <c r="D4312">
        <v>3</v>
      </c>
      <c r="E4312" t="s">
        <v>2422</v>
      </c>
    </row>
    <row r="4313" spans="2:5">
      <c r="B4313" s="65" t="str">
        <f t="shared" si="67"/>
        <v>doc-964:1</v>
      </c>
      <c r="C4313" t="s">
        <v>10435</v>
      </c>
      <c r="D4313">
        <v>1</v>
      </c>
      <c r="E4313" t="s">
        <v>2435</v>
      </c>
    </row>
    <row r="4314" spans="2:5">
      <c r="B4314" s="65" t="str">
        <f t="shared" si="67"/>
        <v>doc-964:2</v>
      </c>
      <c r="C4314" t="s">
        <v>10435</v>
      </c>
      <c r="D4314">
        <v>2</v>
      </c>
      <c r="E4314" t="s">
        <v>2501</v>
      </c>
    </row>
    <row r="4315" spans="2:5">
      <c r="B4315" s="65" t="str">
        <f t="shared" si="67"/>
        <v>doc-964:3</v>
      </c>
      <c r="C4315" t="s">
        <v>10435</v>
      </c>
      <c r="D4315">
        <v>3</v>
      </c>
      <c r="E4315" t="s">
        <v>2422</v>
      </c>
    </row>
    <row r="4316" spans="2:5">
      <c r="B4316" s="65" t="str">
        <f t="shared" si="67"/>
        <v>doc-965:1</v>
      </c>
      <c r="C4316" t="s">
        <v>10436</v>
      </c>
      <c r="D4316">
        <v>1</v>
      </c>
      <c r="E4316" t="s">
        <v>2926</v>
      </c>
    </row>
    <row r="4317" spans="2:5">
      <c r="B4317" s="65" t="str">
        <f t="shared" si="67"/>
        <v>doc-965:2</v>
      </c>
      <c r="C4317" t="s">
        <v>10436</v>
      </c>
      <c r="D4317">
        <v>2</v>
      </c>
      <c r="E4317" t="s">
        <v>299</v>
      </c>
    </row>
    <row r="4318" spans="2:5">
      <c r="B4318" s="65" t="str">
        <f t="shared" si="67"/>
        <v>doc-965:3</v>
      </c>
      <c r="C4318" t="s">
        <v>10436</v>
      </c>
      <c r="D4318">
        <v>3</v>
      </c>
      <c r="E4318" t="s">
        <v>254</v>
      </c>
    </row>
    <row r="4319" spans="2:5">
      <c r="B4319" s="65" t="str">
        <f t="shared" si="67"/>
        <v>doc-966:1</v>
      </c>
      <c r="C4319" t="s">
        <v>10437</v>
      </c>
      <c r="D4319">
        <v>1</v>
      </c>
      <c r="E4319" t="s">
        <v>2933</v>
      </c>
    </row>
    <row r="4320" spans="2:5">
      <c r="B4320" s="65" t="str">
        <f t="shared" si="67"/>
        <v>doc-966:2</v>
      </c>
      <c r="C4320" t="s">
        <v>10437</v>
      </c>
      <c r="D4320">
        <v>2</v>
      </c>
      <c r="E4320" t="s">
        <v>299</v>
      </c>
    </row>
    <row r="4321" spans="2:5">
      <c r="B4321" s="65" t="str">
        <f t="shared" si="67"/>
        <v>doc-966:3</v>
      </c>
      <c r="C4321" t="s">
        <v>10437</v>
      </c>
      <c r="D4321">
        <v>3</v>
      </c>
      <c r="E4321" t="s">
        <v>2939</v>
      </c>
    </row>
    <row r="4322" spans="2:5">
      <c r="B4322" s="65" t="str">
        <f t="shared" si="67"/>
        <v>doc-966:4</v>
      </c>
      <c r="C4322" t="s">
        <v>10437</v>
      </c>
      <c r="D4322">
        <v>4</v>
      </c>
      <c r="E4322" t="s">
        <v>1417</v>
      </c>
    </row>
    <row r="4323" spans="2:5">
      <c r="B4323" s="65" t="str">
        <f t="shared" si="67"/>
        <v>doc-967:1</v>
      </c>
      <c r="C4323" t="s">
        <v>10438</v>
      </c>
      <c r="D4323">
        <v>1</v>
      </c>
      <c r="E4323" t="s">
        <v>1448</v>
      </c>
    </row>
    <row r="4324" spans="2:5">
      <c r="B4324" s="65" t="str">
        <f t="shared" si="67"/>
        <v>doc-967:2</v>
      </c>
      <c r="C4324" t="s">
        <v>10438</v>
      </c>
      <c r="D4324">
        <v>2</v>
      </c>
      <c r="E4324" t="s">
        <v>2207</v>
      </c>
    </row>
    <row r="4325" spans="2:5">
      <c r="B4325" s="65" t="str">
        <f t="shared" si="67"/>
        <v>doc-967:3</v>
      </c>
      <c r="C4325" t="s">
        <v>10438</v>
      </c>
      <c r="D4325">
        <v>3</v>
      </c>
      <c r="E4325" t="s">
        <v>2521</v>
      </c>
    </row>
    <row r="4326" spans="2:5">
      <c r="B4326" s="65" t="str">
        <f t="shared" si="67"/>
        <v>doc-967:4</v>
      </c>
      <c r="C4326" t="s">
        <v>10438</v>
      </c>
      <c r="D4326">
        <v>4</v>
      </c>
      <c r="E4326" t="s">
        <v>1372</v>
      </c>
    </row>
    <row r="4327" spans="2:5">
      <c r="B4327" s="65" t="str">
        <f t="shared" si="67"/>
        <v>doc-968:1</v>
      </c>
      <c r="C4327" t="s">
        <v>10439</v>
      </c>
      <c r="D4327">
        <v>1</v>
      </c>
      <c r="E4327" t="s">
        <v>2742</v>
      </c>
    </row>
    <row r="4328" spans="2:5">
      <c r="B4328" s="65" t="str">
        <f t="shared" si="67"/>
        <v>doc-968:2</v>
      </c>
      <c r="C4328" t="s">
        <v>10439</v>
      </c>
      <c r="D4328">
        <v>2</v>
      </c>
      <c r="E4328" t="s">
        <v>2722</v>
      </c>
    </row>
    <row r="4329" spans="2:5">
      <c r="B4329" s="65" t="str">
        <f t="shared" si="67"/>
        <v>doc-968:3</v>
      </c>
      <c r="C4329" t="s">
        <v>10439</v>
      </c>
      <c r="D4329">
        <v>3</v>
      </c>
      <c r="E4329" t="s">
        <v>2664</v>
      </c>
    </row>
    <row r="4330" spans="2:5">
      <c r="B4330" s="65" t="str">
        <f t="shared" si="67"/>
        <v>doc-969:1</v>
      </c>
      <c r="C4330" t="s">
        <v>10440</v>
      </c>
      <c r="D4330">
        <v>1</v>
      </c>
      <c r="E4330" t="s">
        <v>2087</v>
      </c>
    </row>
    <row r="4331" spans="2:5">
      <c r="B4331" s="65" t="str">
        <f t="shared" si="67"/>
        <v>doc-969:2</v>
      </c>
      <c r="C4331" t="s">
        <v>10440</v>
      </c>
      <c r="D4331">
        <v>2</v>
      </c>
      <c r="E4331" t="s">
        <v>1545</v>
      </c>
    </row>
    <row r="4332" spans="2:5">
      <c r="B4332" s="65" t="str">
        <f t="shared" si="67"/>
        <v>doc-969:3</v>
      </c>
      <c r="C4332" t="s">
        <v>10440</v>
      </c>
      <c r="D4332">
        <v>3</v>
      </c>
      <c r="E4332" t="s">
        <v>1666</v>
      </c>
    </row>
    <row r="4333" spans="2:5">
      <c r="B4333" s="65" t="str">
        <f t="shared" si="67"/>
        <v>doc-970:1</v>
      </c>
      <c r="C4333" t="s">
        <v>10441</v>
      </c>
      <c r="D4333">
        <v>1</v>
      </c>
      <c r="E4333" t="s">
        <v>1349</v>
      </c>
    </row>
    <row r="4334" spans="2:5">
      <c r="B4334" s="65" t="str">
        <f t="shared" si="67"/>
        <v>doc-970:2</v>
      </c>
      <c r="C4334" t="s">
        <v>10441</v>
      </c>
      <c r="D4334">
        <v>2</v>
      </c>
      <c r="E4334" t="s">
        <v>1425</v>
      </c>
    </row>
    <row r="4335" spans="2:5">
      <c r="B4335" s="65" t="str">
        <f t="shared" si="67"/>
        <v>doc-970:3</v>
      </c>
      <c r="C4335" t="s">
        <v>10441</v>
      </c>
      <c r="D4335">
        <v>3</v>
      </c>
      <c r="E4335" t="s">
        <v>1420</v>
      </c>
    </row>
    <row r="4336" spans="2:5">
      <c r="B4336" s="65" t="str">
        <f t="shared" si="67"/>
        <v>doc-971:1</v>
      </c>
      <c r="C4336" t="s">
        <v>10442</v>
      </c>
      <c r="D4336">
        <v>1</v>
      </c>
      <c r="E4336" t="s">
        <v>2435</v>
      </c>
    </row>
    <row r="4337" spans="2:5">
      <c r="B4337" s="65" t="str">
        <f t="shared" si="67"/>
        <v>doc-971:2</v>
      </c>
      <c r="C4337" t="s">
        <v>10442</v>
      </c>
      <c r="D4337">
        <v>2</v>
      </c>
      <c r="E4337" t="s">
        <v>2485</v>
      </c>
    </row>
    <row r="4338" spans="2:5">
      <c r="B4338" s="65" t="str">
        <f t="shared" si="67"/>
        <v>doc-971:3</v>
      </c>
      <c r="C4338" t="s">
        <v>10442</v>
      </c>
      <c r="D4338">
        <v>3</v>
      </c>
      <c r="E4338" t="s">
        <v>2422</v>
      </c>
    </row>
    <row r="4339" spans="2:5">
      <c r="B4339" s="65" t="str">
        <f t="shared" si="67"/>
        <v>doc-972:1</v>
      </c>
      <c r="C4339" t="s">
        <v>5982</v>
      </c>
      <c r="D4339">
        <v>1</v>
      </c>
      <c r="E4339" t="s">
        <v>2501</v>
      </c>
    </row>
    <row r="4340" spans="2:5">
      <c r="B4340" s="65" t="str">
        <f t="shared" si="67"/>
        <v>doc-972:2</v>
      </c>
      <c r="C4340" t="s">
        <v>5982</v>
      </c>
      <c r="D4340">
        <v>2</v>
      </c>
      <c r="E4340" t="s">
        <v>2435</v>
      </c>
    </row>
    <row r="4341" spans="2:5">
      <c r="B4341" s="65" t="str">
        <f t="shared" si="67"/>
        <v>doc-972:3</v>
      </c>
      <c r="C4341" t="s">
        <v>5982</v>
      </c>
      <c r="D4341">
        <v>3</v>
      </c>
      <c r="E4341" t="s">
        <v>2422</v>
      </c>
    </row>
    <row r="4342" spans="2:5">
      <c r="B4342" s="65" t="str">
        <f t="shared" si="67"/>
        <v>doc-974:1</v>
      </c>
      <c r="C4342" t="s">
        <v>10443</v>
      </c>
      <c r="D4342">
        <v>1</v>
      </c>
      <c r="E4342" t="s">
        <v>2469</v>
      </c>
    </row>
    <row r="4343" spans="2:5">
      <c r="B4343" s="65" t="str">
        <f t="shared" si="67"/>
        <v>doc-974:2</v>
      </c>
      <c r="C4343" t="s">
        <v>10443</v>
      </c>
      <c r="D4343">
        <v>2</v>
      </c>
      <c r="E4343" t="s">
        <v>2455</v>
      </c>
    </row>
    <row r="4344" spans="2:5">
      <c r="B4344" s="65" t="str">
        <f t="shared" si="67"/>
        <v>doc-974:3</v>
      </c>
      <c r="C4344" t="s">
        <v>10443</v>
      </c>
      <c r="D4344">
        <v>3</v>
      </c>
      <c r="E4344" t="s">
        <v>2450</v>
      </c>
    </row>
    <row r="4345" spans="2:5">
      <c r="B4345" s="65" t="str">
        <f t="shared" si="67"/>
        <v>doc-974:4</v>
      </c>
      <c r="C4345" t="s">
        <v>10443</v>
      </c>
      <c r="D4345">
        <v>4</v>
      </c>
      <c r="E4345" t="s">
        <v>2275</v>
      </c>
    </row>
    <row r="4346" spans="2:5">
      <c r="B4346" s="65" t="str">
        <f t="shared" si="67"/>
        <v>doc-974:5</v>
      </c>
      <c r="C4346" t="s">
        <v>10443</v>
      </c>
      <c r="D4346">
        <v>5</v>
      </c>
      <c r="E4346" t="s">
        <v>2433</v>
      </c>
    </row>
    <row r="4347" spans="2:5">
      <c r="B4347" s="65" t="str">
        <f t="shared" si="67"/>
        <v>doc-975a:1</v>
      </c>
      <c r="C4347" t="s">
        <v>10444</v>
      </c>
      <c r="D4347">
        <v>1</v>
      </c>
      <c r="E4347" t="s">
        <v>1409</v>
      </c>
    </row>
    <row r="4348" spans="2:5">
      <c r="B4348" s="65" t="str">
        <f t="shared" si="67"/>
        <v>doc-975a:2</v>
      </c>
      <c r="C4348" t="s">
        <v>10444</v>
      </c>
      <c r="D4348">
        <v>2</v>
      </c>
      <c r="E4348" t="s">
        <v>1841</v>
      </c>
    </row>
    <row r="4349" spans="2:5">
      <c r="B4349" s="65" t="str">
        <f t="shared" si="67"/>
        <v>doc-975a:3</v>
      </c>
      <c r="C4349" t="s">
        <v>10444</v>
      </c>
      <c r="D4349">
        <v>3</v>
      </c>
      <c r="E4349" t="s">
        <v>2232</v>
      </c>
    </row>
    <row r="4350" spans="2:5">
      <c r="B4350" s="65" t="str">
        <f t="shared" si="67"/>
        <v>doc-975b:1</v>
      </c>
      <c r="C4350" t="s">
        <v>10445</v>
      </c>
      <c r="D4350">
        <v>1</v>
      </c>
      <c r="E4350" t="s">
        <v>1409</v>
      </c>
    </row>
    <row r="4351" spans="2:5">
      <c r="B4351" s="65" t="str">
        <f t="shared" si="67"/>
        <v>doc-975b:2</v>
      </c>
      <c r="C4351" t="s">
        <v>10445</v>
      </c>
      <c r="D4351">
        <v>2</v>
      </c>
      <c r="E4351" t="s">
        <v>1841</v>
      </c>
    </row>
    <row r="4352" spans="2:5">
      <c r="B4352" s="65" t="str">
        <f t="shared" si="67"/>
        <v>doc-975b:3</v>
      </c>
      <c r="C4352" t="s">
        <v>10445</v>
      </c>
      <c r="D4352">
        <v>3</v>
      </c>
      <c r="E4352" t="s">
        <v>2232</v>
      </c>
    </row>
    <row r="4353" spans="2:5">
      <c r="B4353" s="65" t="str">
        <f t="shared" si="67"/>
        <v>doc-976:1</v>
      </c>
      <c r="C4353" t="s">
        <v>10446</v>
      </c>
      <c r="D4353">
        <v>1</v>
      </c>
      <c r="E4353" t="s">
        <v>2841</v>
      </c>
    </row>
    <row r="4354" spans="2:5">
      <c r="B4354" s="65" t="str">
        <f t="shared" si="67"/>
        <v>doc-976:2</v>
      </c>
      <c r="C4354" t="s">
        <v>10446</v>
      </c>
      <c r="D4354">
        <v>2</v>
      </c>
      <c r="E4354" t="s">
        <v>2899</v>
      </c>
    </row>
    <row r="4355" spans="2:5">
      <c r="B4355" s="65" t="str">
        <f t="shared" si="67"/>
        <v>doc-976:3</v>
      </c>
      <c r="C4355" t="s">
        <v>10446</v>
      </c>
      <c r="D4355">
        <v>3</v>
      </c>
      <c r="E4355" t="s">
        <v>2831</v>
      </c>
    </row>
    <row r="4356" spans="2:5">
      <c r="B4356" s="65" t="str">
        <f t="shared" ref="B4356:B4419" si="68">$C4356&amp;":"&amp;$D4356</f>
        <v>doc-976:4</v>
      </c>
      <c r="C4356" t="s">
        <v>10446</v>
      </c>
      <c r="D4356">
        <v>4</v>
      </c>
      <c r="E4356" t="s">
        <v>2849</v>
      </c>
    </row>
    <row r="4357" spans="2:5">
      <c r="B4357" s="65" t="str">
        <f t="shared" si="68"/>
        <v>doc-977:1</v>
      </c>
      <c r="C4357" t="s">
        <v>10447</v>
      </c>
      <c r="D4357">
        <v>1</v>
      </c>
      <c r="E4357" t="s">
        <v>2132</v>
      </c>
    </row>
    <row r="4358" spans="2:5">
      <c r="B4358" s="65" t="str">
        <f t="shared" si="68"/>
        <v>doc-977:2</v>
      </c>
      <c r="C4358" t="s">
        <v>10447</v>
      </c>
      <c r="D4358">
        <v>2</v>
      </c>
      <c r="E4358" t="s">
        <v>1962</v>
      </c>
    </row>
    <row r="4359" spans="2:5">
      <c r="B4359" s="65" t="str">
        <f t="shared" si="68"/>
        <v>doc-977:3</v>
      </c>
      <c r="C4359" t="s">
        <v>10447</v>
      </c>
      <c r="D4359">
        <v>3</v>
      </c>
      <c r="E4359" t="s">
        <v>1905</v>
      </c>
    </row>
    <row r="4360" spans="2:5">
      <c r="B4360" s="65" t="str">
        <f t="shared" si="68"/>
        <v>doc-977:4</v>
      </c>
      <c r="C4360" t="s">
        <v>10447</v>
      </c>
      <c r="D4360">
        <v>4</v>
      </c>
      <c r="E4360" t="s">
        <v>2061</v>
      </c>
    </row>
    <row r="4361" spans="2:5">
      <c r="B4361" s="65" t="str">
        <f t="shared" si="68"/>
        <v>doc-978:1</v>
      </c>
      <c r="C4361" t="s">
        <v>10448</v>
      </c>
      <c r="D4361">
        <v>1</v>
      </c>
      <c r="E4361" t="s">
        <v>1179</v>
      </c>
    </row>
    <row r="4362" spans="2:5">
      <c r="B4362" s="65" t="str">
        <f t="shared" si="68"/>
        <v>doc-978:2</v>
      </c>
      <c r="C4362" t="s">
        <v>10448</v>
      </c>
      <c r="D4362">
        <v>2</v>
      </c>
      <c r="E4362" t="s">
        <v>2983</v>
      </c>
    </row>
    <row r="4363" spans="2:5">
      <c r="B4363" s="65" t="str">
        <f t="shared" si="68"/>
        <v>doc-978:3</v>
      </c>
      <c r="C4363" t="s">
        <v>10448</v>
      </c>
      <c r="D4363">
        <v>3</v>
      </c>
      <c r="E4363" t="s">
        <v>1171</v>
      </c>
    </row>
    <row r="4364" spans="2:5">
      <c r="B4364" s="65" t="str">
        <f t="shared" si="68"/>
        <v>doc-979:1</v>
      </c>
      <c r="C4364" t="s">
        <v>10449</v>
      </c>
      <c r="D4364">
        <v>1</v>
      </c>
      <c r="E4364" t="s">
        <v>2884</v>
      </c>
    </row>
    <row r="4365" spans="2:5">
      <c r="B4365" s="65" t="str">
        <f t="shared" si="68"/>
        <v>doc-979:2</v>
      </c>
      <c r="C4365" t="s">
        <v>10449</v>
      </c>
      <c r="D4365">
        <v>2</v>
      </c>
      <c r="E4365" t="s">
        <v>2847</v>
      </c>
    </row>
    <row r="4366" spans="2:5">
      <c r="B4366" s="65" t="str">
        <f t="shared" si="68"/>
        <v>doc-979:3</v>
      </c>
      <c r="C4366" t="s">
        <v>10449</v>
      </c>
      <c r="D4366">
        <v>3</v>
      </c>
      <c r="E4366" t="s">
        <v>2849</v>
      </c>
    </row>
    <row r="4367" spans="2:5">
      <c r="B4367" s="65" t="str">
        <f t="shared" si="68"/>
        <v>doc-979:4</v>
      </c>
      <c r="C4367" t="s">
        <v>10449</v>
      </c>
      <c r="D4367">
        <v>4</v>
      </c>
      <c r="E4367" t="s">
        <v>296</v>
      </c>
    </row>
    <row r="4368" spans="2:5">
      <c r="B4368" s="65" t="str">
        <f t="shared" si="68"/>
        <v>doc-980:1</v>
      </c>
      <c r="C4368" t="s">
        <v>10450</v>
      </c>
      <c r="D4368">
        <v>1</v>
      </c>
      <c r="E4368" t="s">
        <v>2179</v>
      </c>
    </row>
    <row r="4369" spans="2:5">
      <c r="B4369" s="65" t="str">
        <f t="shared" si="68"/>
        <v>doc-980:2</v>
      </c>
      <c r="C4369" t="s">
        <v>10450</v>
      </c>
      <c r="D4369">
        <v>2</v>
      </c>
      <c r="E4369" t="s">
        <v>2121</v>
      </c>
    </row>
    <row r="4370" spans="2:5">
      <c r="B4370" s="65" t="str">
        <f t="shared" si="68"/>
        <v>doc-980:3</v>
      </c>
      <c r="C4370" t="s">
        <v>10450</v>
      </c>
      <c r="D4370">
        <v>3</v>
      </c>
      <c r="E4370" t="s">
        <v>2847</v>
      </c>
    </row>
    <row r="4371" spans="2:5">
      <c r="B4371" s="65" t="str">
        <f t="shared" si="68"/>
        <v>doc-980:4</v>
      </c>
      <c r="C4371" t="s">
        <v>10450</v>
      </c>
      <c r="D4371">
        <v>4</v>
      </c>
      <c r="E4371" t="s">
        <v>2849</v>
      </c>
    </row>
    <row r="4372" spans="2:5">
      <c r="B4372" s="65" t="str">
        <f t="shared" si="68"/>
        <v>doc-981:1</v>
      </c>
      <c r="C4372" t="s">
        <v>10451</v>
      </c>
      <c r="D4372">
        <v>1</v>
      </c>
      <c r="E4372" t="s">
        <v>2599</v>
      </c>
    </row>
    <row r="4373" spans="2:5">
      <c r="B4373" s="65" t="str">
        <f t="shared" si="68"/>
        <v>doc-981:2</v>
      </c>
      <c r="C4373" t="s">
        <v>10451</v>
      </c>
      <c r="D4373">
        <v>2</v>
      </c>
      <c r="E4373" t="s">
        <v>2667</v>
      </c>
    </row>
    <row r="4374" spans="2:5">
      <c r="B4374" s="65" t="str">
        <f t="shared" si="68"/>
        <v>doc-983:1</v>
      </c>
      <c r="C4374" t="s">
        <v>10452</v>
      </c>
      <c r="D4374">
        <v>1</v>
      </c>
      <c r="E4374" t="s">
        <v>1720</v>
      </c>
    </row>
    <row r="4375" spans="2:5">
      <c r="B4375" s="65" t="str">
        <f t="shared" si="68"/>
        <v>doc-983:2</v>
      </c>
      <c r="C4375" t="s">
        <v>10452</v>
      </c>
      <c r="D4375">
        <v>2</v>
      </c>
      <c r="E4375" t="s">
        <v>2023</v>
      </c>
    </row>
    <row r="4376" spans="2:5">
      <c r="B4376" s="65" t="str">
        <f t="shared" si="68"/>
        <v>doc-983:3</v>
      </c>
      <c r="C4376" t="s">
        <v>10452</v>
      </c>
      <c r="D4376">
        <v>3</v>
      </c>
      <c r="E4376" t="s">
        <v>1911</v>
      </c>
    </row>
    <row r="4377" spans="2:5">
      <c r="B4377" s="65" t="str">
        <f t="shared" si="68"/>
        <v>doc-983:4</v>
      </c>
      <c r="C4377" t="s">
        <v>10452</v>
      </c>
      <c r="D4377">
        <v>4</v>
      </c>
      <c r="E4377" t="s">
        <v>2121</v>
      </c>
    </row>
    <row r="4378" spans="2:5">
      <c r="B4378" s="65" t="str">
        <f t="shared" si="68"/>
        <v>doc-983:5</v>
      </c>
      <c r="C4378" t="s">
        <v>10452</v>
      </c>
      <c r="D4378">
        <v>5</v>
      </c>
      <c r="E4378" t="s">
        <v>296</v>
      </c>
    </row>
    <row r="4379" spans="2:5">
      <c r="B4379" s="65" t="str">
        <f t="shared" si="68"/>
        <v>doc-984:1</v>
      </c>
      <c r="C4379" t="s">
        <v>10453</v>
      </c>
      <c r="D4379">
        <v>1</v>
      </c>
      <c r="E4379" t="s">
        <v>2027</v>
      </c>
    </row>
    <row r="4380" spans="2:5">
      <c r="B4380" s="65" t="str">
        <f t="shared" si="68"/>
        <v>doc-984:2</v>
      </c>
      <c r="C4380" t="s">
        <v>10453</v>
      </c>
      <c r="D4380">
        <v>2</v>
      </c>
      <c r="E4380" t="s">
        <v>1856</v>
      </c>
    </row>
    <row r="4381" spans="2:5">
      <c r="B4381" s="65" t="str">
        <f t="shared" si="68"/>
        <v>doc-984:3</v>
      </c>
      <c r="C4381" t="s">
        <v>10453</v>
      </c>
      <c r="D4381">
        <v>3</v>
      </c>
      <c r="E4381" t="s">
        <v>3007</v>
      </c>
    </row>
    <row r="4382" spans="2:5">
      <c r="B4382" s="65" t="str">
        <f t="shared" si="68"/>
        <v>doc-985:1</v>
      </c>
      <c r="C4382" t="s">
        <v>10454</v>
      </c>
      <c r="D4382">
        <v>1</v>
      </c>
      <c r="E4382" t="s">
        <v>2112</v>
      </c>
    </row>
    <row r="4383" spans="2:5">
      <c r="B4383" s="65" t="str">
        <f t="shared" si="68"/>
        <v>doc-985:2</v>
      </c>
      <c r="C4383" t="s">
        <v>10454</v>
      </c>
      <c r="D4383">
        <v>2</v>
      </c>
      <c r="E4383" t="s">
        <v>2061</v>
      </c>
    </row>
    <row r="4384" spans="2:5">
      <c r="B4384" s="65" t="str">
        <f t="shared" si="68"/>
        <v>doc-985:3</v>
      </c>
      <c r="C4384" t="s">
        <v>10454</v>
      </c>
      <c r="D4384">
        <v>3</v>
      </c>
      <c r="E4384" t="s">
        <v>2124</v>
      </c>
    </row>
    <row r="4385" spans="2:5">
      <c r="B4385" s="65" t="str">
        <f t="shared" si="68"/>
        <v>doc-985:4</v>
      </c>
      <c r="C4385" t="s">
        <v>10454</v>
      </c>
      <c r="D4385">
        <v>4</v>
      </c>
      <c r="E4385" t="s">
        <v>2092</v>
      </c>
    </row>
    <row r="4386" spans="2:5">
      <c r="B4386" s="65" t="str">
        <f t="shared" si="68"/>
        <v>doc-986a:1</v>
      </c>
      <c r="C4386" t="s">
        <v>10455</v>
      </c>
      <c r="D4386">
        <v>1</v>
      </c>
      <c r="E4386" t="s">
        <v>1409</v>
      </c>
    </row>
    <row r="4387" spans="2:5">
      <c r="B4387" s="65" t="str">
        <f t="shared" si="68"/>
        <v>doc-986a:2</v>
      </c>
      <c r="C4387" t="s">
        <v>10455</v>
      </c>
      <c r="D4387">
        <v>2</v>
      </c>
      <c r="E4387" t="s">
        <v>2799</v>
      </c>
    </row>
    <row r="4388" spans="2:5">
      <c r="B4388" s="65" t="str">
        <f t="shared" si="68"/>
        <v>doc-986a:3</v>
      </c>
      <c r="C4388" t="s">
        <v>10455</v>
      </c>
      <c r="D4388">
        <v>3</v>
      </c>
      <c r="E4388" t="s">
        <v>1883</v>
      </c>
    </row>
    <row r="4389" spans="2:5">
      <c r="B4389" s="65" t="str">
        <f t="shared" si="68"/>
        <v>doc-986a:4</v>
      </c>
      <c r="C4389" t="s">
        <v>10455</v>
      </c>
      <c r="D4389">
        <v>4</v>
      </c>
      <c r="E4389" t="s">
        <v>2017</v>
      </c>
    </row>
    <row r="4390" spans="2:5">
      <c r="B4390" s="65" t="str">
        <f t="shared" si="68"/>
        <v>doc-986b:1</v>
      </c>
      <c r="C4390" t="s">
        <v>10456</v>
      </c>
      <c r="D4390">
        <v>1</v>
      </c>
      <c r="E4390" t="s">
        <v>1409</v>
      </c>
    </row>
    <row r="4391" spans="2:5">
      <c r="B4391" s="65" t="str">
        <f t="shared" si="68"/>
        <v>doc-986b:2</v>
      </c>
      <c r="C4391" t="s">
        <v>10456</v>
      </c>
      <c r="D4391">
        <v>2</v>
      </c>
      <c r="E4391" t="s">
        <v>2799</v>
      </c>
    </row>
    <row r="4392" spans="2:5">
      <c r="B4392" s="65" t="str">
        <f t="shared" si="68"/>
        <v>doc-986b:3</v>
      </c>
      <c r="C4392" t="s">
        <v>10456</v>
      </c>
      <c r="D4392">
        <v>3</v>
      </c>
      <c r="E4392" t="s">
        <v>1883</v>
      </c>
    </row>
    <row r="4393" spans="2:5">
      <c r="B4393" s="65" t="str">
        <f t="shared" si="68"/>
        <v>doc-986b:4</v>
      </c>
      <c r="C4393" t="s">
        <v>10456</v>
      </c>
      <c r="D4393">
        <v>4</v>
      </c>
      <c r="E4393" t="s">
        <v>2017</v>
      </c>
    </row>
    <row r="4394" spans="2:5">
      <c r="B4394" s="65" t="str">
        <f t="shared" si="68"/>
        <v>doc-987:1</v>
      </c>
      <c r="C4394" t="s">
        <v>10457</v>
      </c>
      <c r="D4394">
        <v>1</v>
      </c>
      <c r="E4394" t="s">
        <v>1896</v>
      </c>
    </row>
    <row r="4395" spans="2:5">
      <c r="B4395" s="65" t="str">
        <f t="shared" si="68"/>
        <v>doc-987:2</v>
      </c>
      <c r="C4395" t="s">
        <v>10457</v>
      </c>
      <c r="D4395">
        <v>2</v>
      </c>
      <c r="E4395" t="s">
        <v>1976</v>
      </c>
    </row>
    <row r="4396" spans="2:5">
      <c r="B4396" s="65" t="str">
        <f t="shared" si="68"/>
        <v>doc-988:1</v>
      </c>
      <c r="C4396" t="s">
        <v>10458</v>
      </c>
      <c r="D4396">
        <v>1</v>
      </c>
      <c r="E4396" t="s">
        <v>1836</v>
      </c>
    </row>
    <row r="4397" spans="2:5">
      <c r="B4397" s="65" t="str">
        <f t="shared" si="68"/>
        <v>doc-988:2</v>
      </c>
      <c r="C4397" t="s">
        <v>10458</v>
      </c>
      <c r="D4397">
        <v>2</v>
      </c>
      <c r="E4397" t="s">
        <v>1938</v>
      </c>
    </row>
    <row r="4398" spans="2:5">
      <c r="B4398" s="65" t="str">
        <f t="shared" si="68"/>
        <v>doc-988:3</v>
      </c>
      <c r="C4398" t="s">
        <v>10458</v>
      </c>
      <c r="D4398">
        <v>3</v>
      </c>
      <c r="E4398" t="s">
        <v>1896</v>
      </c>
    </row>
    <row r="4399" spans="2:5">
      <c r="B4399" s="65" t="str">
        <f t="shared" si="68"/>
        <v>doc-989:1</v>
      </c>
      <c r="C4399" t="s">
        <v>10459</v>
      </c>
      <c r="D4399">
        <v>1</v>
      </c>
      <c r="E4399" t="s">
        <v>2662</v>
      </c>
    </row>
    <row r="4400" spans="2:5">
      <c r="B4400" s="65" t="str">
        <f t="shared" si="68"/>
        <v>doc-989:2</v>
      </c>
      <c r="C4400" t="s">
        <v>10459</v>
      </c>
      <c r="D4400">
        <v>2</v>
      </c>
      <c r="E4400" t="s">
        <v>2667</v>
      </c>
    </row>
    <row r="4401" spans="2:5">
      <c r="B4401" s="65" t="str">
        <f t="shared" si="68"/>
        <v>doc-989:3</v>
      </c>
      <c r="C4401" t="s">
        <v>10459</v>
      </c>
      <c r="D4401">
        <v>3</v>
      </c>
      <c r="E4401" t="s">
        <v>1804</v>
      </c>
    </row>
    <row r="4402" spans="2:5">
      <c r="B4402" s="65" t="str">
        <f t="shared" si="68"/>
        <v>doc-990:1</v>
      </c>
      <c r="C4402" t="s">
        <v>10460</v>
      </c>
      <c r="D4402">
        <v>1</v>
      </c>
      <c r="E4402" t="s">
        <v>2717</v>
      </c>
    </row>
    <row r="4403" spans="2:5">
      <c r="B4403" s="65" t="str">
        <f t="shared" si="68"/>
        <v>doc-990:2</v>
      </c>
      <c r="C4403" t="s">
        <v>10460</v>
      </c>
      <c r="D4403">
        <v>2</v>
      </c>
      <c r="E4403" t="s">
        <v>2667</v>
      </c>
    </row>
    <row r="4404" spans="2:5">
      <c r="B4404" s="65" t="str">
        <f t="shared" si="68"/>
        <v>doc-991:1</v>
      </c>
      <c r="C4404" t="s">
        <v>10461</v>
      </c>
      <c r="D4404">
        <v>1</v>
      </c>
      <c r="E4404" t="s">
        <v>2933</v>
      </c>
    </row>
    <row r="4405" spans="2:5">
      <c r="B4405" s="65" t="str">
        <f t="shared" si="68"/>
        <v>doc-991:2</v>
      </c>
      <c r="C4405" t="s">
        <v>10461</v>
      </c>
      <c r="D4405">
        <v>2</v>
      </c>
      <c r="E4405" t="s">
        <v>299</v>
      </c>
    </row>
    <row r="4406" spans="2:5">
      <c r="B4406" s="65" t="str">
        <f t="shared" si="68"/>
        <v>doc-991:3</v>
      </c>
      <c r="C4406" t="s">
        <v>10461</v>
      </c>
      <c r="D4406">
        <v>3</v>
      </c>
      <c r="E4406" t="s">
        <v>2939</v>
      </c>
    </row>
    <row r="4407" spans="2:5">
      <c r="B4407" s="65" t="str">
        <f t="shared" si="68"/>
        <v>doc-991:4</v>
      </c>
      <c r="C4407" t="s">
        <v>10461</v>
      </c>
      <c r="D4407">
        <v>4</v>
      </c>
      <c r="E4407" t="s">
        <v>1417</v>
      </c>
    </row>
    <row r="4408" spans="2:5">
      <c r="B4408" s="65" t="str">
        <f t="shared" si="68"/>
        <v>doc-992:1</v>
      </c>
      <c r="C4408" t="s">
        <v>10462</v>
      </c>
      <c r="D4408">
        <v>1</v>
      </c>
      <c r="E4408" t="s">
        <v>1757</v>
      </c>
    </row>
    <row r="4409" spans="2:5">
      <c r="B4409" s="65" t="str">
        <f t="shared" si="68"/>
        <v>doc-992:2</v>
      </c>
      <c r="C4409" t="s">
        <v>10462</v>
      </c>
      <c r="D4409">
        <v>2</v>
      </c>
      <c r="E4409" t="s">
        <v>1775</v>
      </c>
    </row>
    <row r="4410" spans="2:5">
      <c r="B4410" s="65" t="str">
        <f t="shared" si="68"/>
        <v>doc-992:3</v>
      </c>
      <c r="C4410" t="s">
        <v>10462</v>
      </c>
      <c r="D4410">
        <v>3</v>
      </c>
      <c r="E4410" t="s">
        <v>1224</v>
      </c>
    </row>
    <row r="4411" spans="2:5">
      <c r="B4411" s="65" t="str">
        <f t="shared" si="68"/>
        <v>doc-992:4</v>
      </c>
      <c r="C4411" t="s">
        <v>10462</v>
      </c>
      <c r="D4411">
        <v>4</v>
      </c>
      <c r="E4411" t="s">
        <v>1216</v>
      </c>
    </row>
    <row r="4412" spans="2:5">
      <c r="B4412" s="65" t="str">
        <f t="shared" si="68"/>
        <v>doc-992:5</v>
      </c>
      <c r="C4412" t="s">
        <v>10462</v>
      </c>
      <c r="D4412">
        <v>5</v>
      </c>
      <c r="E4412" t="s">
        <v>1219</v>
      </c>
    </row>
    <row r="4413" spans="2:5">
      <c r="B4413" s="65" t="str">
        <f t="shared" si="68"/>
        <v>doc-994:1</v>
      </c>
      <c r="C4413" t="s">
        <v>10463</v>
      </c>
      <c r="D4413">
        <v>1</v>
      </c>
      <c r="E4413" t="s">
        <v>2087</v>
      </c>
    </row>
    <row r="4414" spans="2:5">
      <c r="B4414" s="65" t="str">
        <f t="shared" si="68"/>
        <v>doc-994:2</v>
      </c>
      <c r="C4414" t="s">
        <v>10463</v>
      </c>
      <c r="D4414">
        <v>2</v>
      </c>
      <c r="E4414" t="s">
        <v>1127</v>
      </c>
    </row>
    <row r="4415" spans="2:5">
      <c r="B4415" s="65" t="str">
        <f t="shared" si="68"/>
        <v>doc-994:3</v>
      </c>
      <c r="C4415" t="s">
        <v>10463</v>
      </c>
      <c r="D4415">
        <v>3</v>
      </c>
      <c r="E4415" t="s">
        <v>2664</v>
      </c>
    </row>
    <row r="4416" spans="2:5">
      <c r="B4416" s="65" t="str">
        <f t="shared" si="68"/>
        <v>doc-994:4</v>
      </c>
      <c r="C4416" t="s">
        <v>10463</v>
      </c>
      <c r="D4416">
        <v>4</v>
      </c>
      <c r="E4416" t="s">
        <v>1663</v>
      </c>
    </row>
    <row r="4417" spans="2:5">
      <c r="B4417" s="65" t="str">
        <f t="shared" si="68"/>
        <v>doc-995:1</v>
      </c>
      <c r="C4417" t="s">
        <v>10464</v>
      </c>
      <c r="D4417">
        <v>1</v>
      </c>
      <c r="E4417" t="s">
        <v>2455</v>
      </c>
    </row>
    <row r="4418" spans="2:5">
      <c r="B4418" s="65" t="str">
        <f t="shared" si="68"/>
        <v>doc-995:2</v>
      </c>
      <c r="C4418" t="s">
        <v>10464</v>
      </c>
      <c r="D4418">
        <v>2</v>
      </c>
      <c r="E4418" t="s">
        <v>2469</v>
      </c>
    </row>
    <row r="4419" spans="2:5">
      <c r="B4419" s="65" t="str">
        <f t="shared" si="68"/>
        <v>doc-995:3</v>
      </c>
      <c r="C4419" t="s">
        <v>10464</v>
      </c>
      <c r="D4419">
        <v>3</v>
      </c>
      <c r="E4419" t="s">
        <v>2433</v>
      </c>
    </row>
    <row r="4420" spans="2:5">
      <c r="B4420" s="65" t="str">
        <f t="shared" ref="B4420:B4483" si="69">$C4420&amp;":"&amp;$D4420</f>
        <v>doc-996:1</v>
      </c>
      <c r="C4420" t="s">
        <v>10465</v>
      </c>
      <c r="D4420">
        <v>1</v>
      </c>
      <c r="E4420" t="s">
        <v>2455</v>
      </c>
    </row>
    <row r="4421" spans="2:5">
      <c r="B4421" s="65" t="str">
        <f t="shared" si="69"/>
        <v>doc-996:2</v>
      </c>
      <c r="C4421" t="s">
        <v>10465</v>
      </c>
      <c r="D4421">
        <v>2</v>
      </c>
      <c r="E4421" t="s">
        <v>2469</v>
      </c>
    </row>
    <row r="4422" spans="2:5">
      <c r="B4422" s="65" t="str">
        <f t="shared" si="69"/>
        <v>doc-996:3</v>
      </c>
      <c r="C4422" t="s">
        <v>10465</v>
      </c>
      <c r="D4422">
        <v>3</v>
      </c>
      <c r="E4422" t="s">
        <v>2484</v>
      </c>
    </row>
    <row r="4423" spans="2:5">
      <c r="B4423" s="65" t="str">
        <f t="shared" si="69"/>
        <v>doc-996:4</v>
      </c>
      <c r="C4423" t="s">
        <v>10465</v>
      </c>
      <c r="D4423">
        <v>4</v>
      </c>
      <c r="E4423" t="s">
        <v>3061</v>
      </c>
    </row>
    <row r="4424" spans="2:5">
      <c r="B4424" s="65" t="str">
        <f t="shared" si="69"/>
        <v>doc-996:5</v>
      </c>
      <c r="C4424" t="s">
        <v>10465</v>
      </c>
      <c r="D4424">
        <v>5</v>
      </c>
      <c r="E4424" t="s">
        <v>79</v>
      </c>
    </row>
    <row r="4425" spans="2:5">
      <c r="B4425" s="65" t="str">
        <f t="shared" si="69"/>
        <v>doc-996:6</v>
      </c>
      <c r="C4425" t="s">
        <v>10465</v>
      </c>
      <c r="D4425">
        <v>6</v>
      </c>
      <c r="E4425" t="s">
        <v>1750</v>
      </c>
    </row>
    <row r="4426" spans="2:5">
      <c r="B4426" s="65" t="str">
        <f t="shared" si="69"/>
        <v>doc-997:1</v>
      </c>
      <c r="C4426" t="s">
        <v>10466</v>
      </c>
      <c r="D4426">
        <v>1</v>
      </c>
      <c r="E4426" t="s">
        <v>2176</v>
      </c>
    </row>
    <row r="4427" spans="2:5">
      <c r="B4427" s="65" t="str">
        <f t="shared" si="69"/>
        <v>doc-997:2</v>
      </c>
      <c r="C4427" t="s">
        <v>10466</v>
      </c>
      <c r="D4427">
        <v>2</v>
      </c>
      <c r="E4427" t="s">
        <v>2179</v>
      </c>
    </row>
    <row r="4428" spans="2:5">
      <c r="B4428" s="65" t="str">
        <f t="shared" si="69"/>
        <v>doc-997:3</v>
      </c>
      <c r="C4428" t="s">
        <v>10466</v>
      </c>
      <c r="D4428">
        <v>3</v>
      </c>
      <c r="E4428" t="s">
        <v>2121</v>
      </c>
    </row>
    <row r="4429" spans="2:5">
      <c r="B4429" s="65" t="str">
        <f t="shared" si="69"/>
        <v>doc-998:1</v>
      </c>
      <c r="C4429" t="s">
        <v>10467</v>
      </c>
      <c r="D4429">
        <v>1</v>
      </c>
      <c r="E4429" t="s">
        <v>2843</v>
      </c>
    </row>
    <row r="4430" spans="2:5">
      <c r="B4430" s="65" t="str">
        <f t="shared" si="69"/>
        <v>doc-998:2</v>
      </c>
      <c r="C4430" t="s">
        <v>10467</v>
      </c>
      <c r="D4430">
        <v>2</v>
      </c>
      <c r="E4430" t="s">
        <v>2847</v>
      </c>
    </row>
    <row r="4431" spans="2:5">
      <c r="B4431" s="65" t="str">
        <f t="shared" si="69"/>
        <v>doc-998:3</v>
      </c>
      <c r="C4431" t="s">
        <v>10467</v>
      </c>
      <c r="D4431">
        <v>3</v>
      </c>
      <c r="E4431" t="s">
        <v>2831</v>
      </c>
    </row>
    <row r="4432" spans="2:5">
      <c r="B4432" s="65" t="str">
        <f t="shared" si="69"/>
        <v>doc-998:4</v>
      </c>
      <c r="C4432" t="s">
        <v>10467</v>
      </c>
      <c r="D4432">
        <v>4</v>
      </c>
      <c r="E4432" t="s">
        <v>2849</v>
      </c>
    </row>
    <row r="4433" spans="2:5">
      <c r="B4433" s="65" t="str">
        <f t="shared" si="69"/>
        <v>doc-998:5</v>
      </c>
      <c r="C4433" t="s">
        <v>10467</v>
      </c>
      <c r="D4433">
        <v>5</v>
      </c>
      <c r="E4433" t="s">
        <v>2867</v>
      </c>
    </row>
    <row r="4434" spans="2:5">
      <c r="B4434" s="65" t="str">
        <f t="shared" si="69"/>
        <v>doc-999a:1</v>
      </c>
      <c r="C4434" t="s">
        <v>10468</v>
      </c>
      <c r="D4434">
        <v>1</v>
      </c>
      <c r="E4434" t="s">
        <v>2733</v>
      </c>
    </row>
    <row r="4435" spans="2:5">
      <c r="B4435" s="65" t="str">
        <f t="shared" si="69"/>
        <v>doc-999a:2</v>
      </c>
      <c r="C4435" t="s">
        <v>10468</v>
      </c>
      <c r="D4435">
        <v>2</v>
      </c>
      <c r="E4435" t="s">
        <v>2717</v>
      </c>
    </row>
    <row r="4436" spans="2:5">
      <c r="B4436" s="65" t="str">
        <f t="shared" si="69"/>
        <v>doc-999a:3</v>
      </c>
      <c r="C4436" t="s">
        <v>10468</v>
      </c>
      <c r="D4436">
        <v>3</v>
      </c>
      <c r="E4436" t="s">
        <v>2667</v>
      </c>
    </row>
    <row r="4437" spans="2:5">
      <c r="B4437" s="65" t="str">
        <f t="shared" si="69"/>
        <v>doc-999a:4</v>
      </c>
      <c r="C4437" t="s">
        <v>10468</v>
      </c>
      <c r="D4437">
        <v>4</v>
      </c>
      <c r="E4437" t="s">
        <v>1699</v>
      </c>
    </row>
    <row r="4438" spans="2:5">
      <c r="B4438" s="65" t="str">
        <f t="shared" si="69"/>
        <v>doc-x0001:1</v>
      </c>
      <c r="C4438" t="s">
        <v>10469</v>
      </c>
      <c r="D4438">
        <v>1</v>
      </c>
      <c r="E4438" t="s">
        <v>1856</v>
      </c>
    </row>
    <row r="4439" spans="2:5">
      <c r="B4439" s="65" t="str">
        <f t="shared" si="69"/>
        <v>doc-x0001:2</v>
      </c>
      <c r="C4439" t="s">
        <v>10469</v>
      </c>
      <c r="D4439">
        <v>2</v>
      </c>
      <c r="E4439" t="s">
        <v>1185</v>
      </c>
    </row>
    <row r="4440" spans="2:5">
      <c r="B4440" s="65" t="str">
        <f t="shared" si="69"/>
        <v>doc-x0001:3</v>
      </c>
      <c r="C4440" t="s">
        <v>10469</v>
      </c>
      <c r="D4440">
        <v>3</v>
      </c>
      <c r="E4440" t="s">
        <v>107</v>
      </c>
    </row>
    <row r="4441" spans="2:5">
      <c r="B4441" s="65" t="str">
        <f t="shared" si="69"/>
        <v>doc-x0001:4</v>
      </c>
      <c r="C4441" t="s">
        <v>10469</v>
      </c>
      <c r="D4441">
        <v>4</v>
      </c>
      <c r="E4441" t="s">
        <v>296</v>
      </c>
    </row>
    <row r="4442" spans="2:5">
      <c r="B4442" s="65" t="str">
        <f t="shared" si="69"/>
        <v>doc-x0001:5</v>
      </c>
      <c r="C4442" t="s">
        <v>10469</v>
      </c>
      <c r="D4442">
        <v>5</v>
      </c>
      <c r="E4442" t="s">
        <v>1084</v>
      </c>
    </row>
    <row r="4443" spans="2:5">
      <c r="B4443" s="65" t="str">
        <f t="shared" si="69"/>
        <v>doc-x0002:1</v>
      </c>
      <c r="C4443" t="s">
        <v>10470</v>
      </c>
      <c r="D4443">
        <v>1</v>
      </c>
      <c r="E4443" t="s">
        <v>1856</v>
      </c>
    </row>
    <row r="4444" spans="2:5">
      <c r="B4444" s="65" t="str">
        <f t="shared" si="69"/>
        <v>doc-x0002:2</v>
      </c>
      <c r="C4444" t="s">
        <v>10470</v>
      </c>
      <c r="D4444">
        <v>2</v>
      </c>
      <c r="E4444" t="s">
        <v>107</v>
      </c>
    </row>
    <row r="4445" spans="2:5">
      <c r="B4445" s="65" t="str">
        <f t="shared" si="69"/>
        <v>doc-x0002:3</v>
      </c>
      <c r="C4445" t="s">
        <v>10470</v>
      </c>
      <c r="D4445">
        <v>3</v>
      </c>
      <c r="E4445" t="s">
        <v>1084</v>
      </c>
    </row>
    <row r="4446" spans="2:5">
      <c r="B4446" s="65" t="str">
        <f t="shared" si="69"/>
        <v>doc-x0002:4</v>
      </c>
      <c r="C4446" t="s">
        <v>10470</v>
      </c>
      <c r="D4446">
        <v>4</v>
      </c>
      <c r="E4446" t="s">
        <v>1550</v>
      </c>
    </row>
    <row r="4447" spans="2:5">
      <c r="B4447" s="65" t="str">
        <f t="shared" si="69"/>
        <v>doc-x0003:1</v>
      </c>
      <c r="C4447" t="s">
        <v>10471</v>
      </c>
      <c r="D4447">
        <v>1</v>
      </c>
      <c r="E4447" t="s">
        <v>107</v>
      </c>
    </row>
    <row r="4448" spans="2:5">
      <c r="B4448" s="65" t="str">
        <f t="shared" si="69"/>
        <v>doc-x0003:2</v>
      </c>
      <c r="C4448" t="s">
        <v>10471</v>
      </c>
      <c r="D4448">
        <v>2</v>
      </c>
      <c r="E4448" t="s">
        <v>1084</v>
      </c>
    </row>
    <row r="4449" spans="2:5">
      <c r="B4449" s="65" t="str">
        <f t="shared" si="69"/>
        <v>doc-x0003:3</v>
      </c>
      <c r="C4449" t="s">
        <v>10471</v>
      </c>
      <c r="D4449">
        <v>3</v>
      </c>
      <c r="E4449" t="s">
        <v>1856</v>
      </c>
    </row>
    <row r="4450" spans="2:5">
      <c r="B4450" s="65" t="str">
        <f t="shared" si="69"/>
        <v>doc-x0003:4</v>
      </c>
      <c r="C4450" t="s">
        <v>10471</v>
      </c>
      <c r="D4450">
        <v>4</v>
      </c>
      <c r="E4450" t="s">
        <v>1550</v>
      </c>
    </row>
    <row r="4451" spans="2:5">
      <c r="B4451" s="65" t="str">
        <f t="shared" si="69"/>
        <v>doc-x0004:1</v>
      </c>
      <c r="C4451" t="s">
        <v>10472</v>
      </c>
      <c r="D4451">
        <v>1</v>
      </c>
      <c r="E4451" t="s">
        <v>1747</v>
      </c>
    </row>
    <row r="4452" spans="2:5">
      <c r="B4452" s="65" t="str">
        <f t="shared" si="69"/>
        <v>doc-x0004:2</v>
      </c>
      <c r="C4452" t="s">
        <v>10472</v>
      </c>
      <c r="D4452">
        <v>2</v>
      </c>
      <c r="E4452" t="s">
        <v>302</v>
      </c>
    </row>
    <row r="4453" spans="2:5">
      <c r="B4453" s="65" t="str">
        <f t="shared" si="69"/>
        <v>doc-x0004:3</v>
      </c>
      <c r="C4453" t="s">
        <v>10472</v>
      </c>
      <c r="D4453">
        <v>3</v>
      </c>
      <c r="E4453" t="s">
        <v>1737</v>
      </c>
    </row>
    <row r="4454" spans="2:5">
      <c r="B4454" s="65" t="str">
        <f t="shared" si="69"/>
        <v>doc-x0004:4</v>
      </c>
      <c r="C4454" t="s">
        <v>10472</v>
      </c>
      <c r="D4454">
        <v>4</v>
      </c>
      <c r="E4454" t="s">
        <v>1732</v>
      </c>
    </row>
    <row r="4455" spans="2:5">
      <c r="B4455" s="65" t="str">
        <f t="shared" si="69"/>
        <v>doc-x0004:5</v>
      </c>
      <c r="C4455" t="s">
        <v>10472</v>
      </c>
      <c r="D4455">
        <v>5</v>
      </c>
      <c r="E4455" t="s">
        <v>1856</v>
      </c>
    </row>
    <row r="4456" spans="2:5">
      <c r="B4456" s="65" t="str">
        <f t="shared" si="69"/>
        <v>doc-x0004:6</v>
      </c>
      <c r="C4456" t="s">
        <v>10472</v>
      </c>
      <c r="D4456">
        <v>6</v>
      </c>
      <c r="E4456" t="s">
        <v>2003</v>
      </c>
    </row>
    <row r="4457" spans="2:5">
      <c r="B4457" s="65" t="str">
        <f t="shared" si="69"/>
        <v>doc-x0004:7</v>
      </c>
      <c r="C4457" t="s">
        <v>10472</v>
      </c>
      <c r="D4457">
        <v>7</v>
      </c>
      <c r="E4457" t="s">
        <v>1084</v>
      </c>
    </row>
    <row r="4458" spans="2:5">
      <c r="B4458" s="65" t="str">
        <f t="shared" si="69"/>
        <v>doc-x0004:8</v>
      </c>
      <c r="C4458" t="s">
        <v>10472</v>
      </c>
      <c r="D4458">
        <v>8</v>
      </c>
      <c r="E4458" t="s">
        <v>107</v>
      </c>
    </row>
    <row r="4459" spans="2:5">
      <c r="B4459" s="65" t="str">
        <f t="shared" si="69"/>
        <v>doc-x0005:1</v>
      </c>
      <c r="C4459" t="s">
        <v>10473</v>
      </c>
      <c r="D4459">
        <v>1</v>
      </c>
      <c r="E4459" t="s">
        <v>1856</v>
      </c>
    </row>
    <row r="4460" spans="2:5">
      <c r="B4460" s="65" t="str">
        <f t="shared" si="69"/>
        <v>doc-x0005:2</v>
      </c>
      <c r="C4460" t="s">
        <v>10473</v>
      </c>
      <c r="D4460">
        <v>2</v>
      </c>
      <c r="E4460" t="s">
        <v>1084</v>
      </c>
    </row>
    <row r="4461" spans="2:5">
      <c r="B4461" s="65" t="str">
        <f t="shared" si="69"/>
        <v>doc-x0005:3</v>
      </c>
      <c r="C4461" t="s">
        <v>10473</v>
      </c>
      <c r="D4461">
        <v>3</v>
      </c>
      <c r="E4461" t="s">
        <v>107</v>
      </c>
    </row>
    <row r="4462" spans="2:5">
      <c r="B4462" s="65" t="str">
        <f t="shared" si="69"/>
        <v>doc-x0006:1</v>
      </c>
      <c r="C4462" t="s">
        <v>6219</v>
      </c>
      <c r="D4462">
        <v>1</v>
      </c>
      <c r="E4462" t="s">
        <v>1988</v>
      </c>
    </row>
    <row r="4463" spans="2:5">
      <c r="B4463" s="65" t="str">
        <f t="shared" si="69"/>
        <v>doc-x0006:2</v>
      </c>
      <c r="C4463" t="s">
        <v>6219</v>
      </c>
      <c r="D4463">
        <v>2</v>
      </c>
      <c r="E4463" t="s">
        <v>2160</v>
      </c>
    </row>
    <row r="4464" spans="2:5">
      <c r="B4464" s="65" t="str">
        <f t="shared" si="69"/>
        <v>doc-x0006:3</v>
      </c>
      <c r="C4464" t="s">
        <v>6219</v>
      </c>
      <c r="D4464">
        <v>3</v>
      </c>
      <c r="E4464" t="s">
        <v>2023</v>
      </c>
    </row>
    <row r="4465" spans="2:5">
      <c r="B4465" s="65" t="str">
        <f t="shared" si="69"/>
        <v>doc-x0006:4</v>
      </c>
      <c r="C4465" t="s">
        <v>6219</v>
      </c>
      <c r="D4465">
        <v>4</v>
      </c>
      <c r="E4465" t="s">
        <v>1944</v>
      </c>
    </row>
    <row r="4466" spans="2:5">
      <c r="B4466" s="65" t="str">
        <f t="shared" si="69"/>
        <v>doc-x0006:5</v>
      </c>
      <c r="C4466" t="s">
        <v>6219</v>
      </c>
      <c r="D4466">
        <v>5</v>
      </c>
      <c r="E4466" t="s">
        <v>1105</v>
      </c>
    </row>
    <row r="4467" spans="2:5">
      <c r="B4467" s="65" t="str">
        <f t="shared" si="69"/>
        <v>doc-x0006:6</v>
      </c>
      <c r="C4467" t="s">
        <v>6219</v>
      </c>
      <c r="D4467">
        <v>6</v>
      </c>
      <c r="E4467" t="s">
        <v>2121</v>
      </c>
    </row>
    <row r="4468" spans="2:5">
      <c r="B4468" s="65" t="str">
        <f t="shared" si="69"/>
        <v>doc-x0007:1</v>
      </c>
      <c r="C4468" t="s">
        <v>10474</v>
      </c>
      <c r="D4468">
        <v>1</v>
      </c>
      <c r="E4468" t="s">
        <v>2160</v>
      </c>
    </row>
    <row r="4469" spans="2:5">
      <c r="B4469" s="65" t="str">
        <f t="shared" si="69"/>
        <v>doc-x0007:2</v>
      </c>
      <c r="C4469" t="s">
        <v>10474</v>
      </c>
      <c r="D4469">
        <v>2</v>
      </c>
      <c r="E4469" t="s">
        <v>1105</v>
      </c>
    </row>
    <row r="4470" spans="2:5">
      <c r="B4470" s="65" t="str">
        <f t="shared" si="69"/>
        <v>doc-x0007:3</v>
      </c>
      <c r="C4470" t="s">
        <v>10474</v>
      </c>
      <c r="D4470">
        <v>3</v>
      </c>
      <c r="E4470" t="s">
        <v>1988</v>
      </c>
    </row>
    <row r="4471" spans="2:5">
      <c r="B4471" s="65" t="str">
        <f t="shared" si="69"/>
        <v>doc-x0007:4</v>
      </c>
      <c r="C4471" t="s">
        <v>10474</v>
      </c>
      <c r="D4471">
        <v>4</v>
      </c>
      <c r="E4471" t="s">
        <v>2023</v>
      </c>
    </row>
    <row r="4472" spans="2:5">
      <c r="B4472" s="65" t="str">
        <f t="shared" si="69"/>
        <v>doc-x0007:5</v>
      </c>
      <c r="C4472" t="s">
        <v>10474</v>
      </c>
      <c r="D4472">
        <v>5</v>
      </c>
      <c r="E4472" t="s">
        <v>2121</v>
      </c>
    </row>
    <row r="4473" spans="2:5">
      <c r="B4473" s="65" t="str">
        <f t="shared" si="69"/>
        <v>doc-x0008:1</v>
      </c>
      <c r="C4473" t="s">
        <v>10475</v>
      </c>
      <c r="D4473">
        <v>1</v>
      </c>
      <c r="E4473" t="s">
        <v>1869</v>
      </c>
    </row>
    <row r="4474" spans="2:5">
      <c r="B4474" s="65" t="str">
        <f t="shared" si="69"/>
        <v>doc-x0008:2</v>
      </c>
      <c r="C4474" t="s">
        <v>10475</v>
      </c>
      <c r="D4474">
        <v>2</v>
      </c>
      <c r="E4474" t="s">
        <v>1105</v>
      </c>
    </row>
    <row r="4475" spans="2:5">
      <c r="B4475" s="65" t="str">
        <f t="shared" si="69"/>
        <v>doc-x0008:3</v>
      </c>
      <c r="C4475" t="s">
        <v>10475</v>
      </c>
      <c r="D4475">
        <v>3</v>
      </c>
      <c r="E4475" t="s">
        <v>1988</v>
      </c>
    </row>
    <row r="4476" spans="2:5">
      <c r="B4476" s="65" t="str">
        <f t="shared" si="69"/>
        <v>doc-x0008:4</v>
      </c>
      <c r="C4476" t="s">
        <v>10475</v>
      </c>
      <c r="D4476">
        <v>4</v>
      </c>
      <c r="E4476" t="s">
        <v>2160</v>
      </c>
    </row>
    <row r="4477" spans="2:5">
      <c r="B4477" s="65" t="str">
        <f t="shared" si="69"/>
        <v>doc-x0008:5</v>
      </c>
      <c r="C4477" t="s">
        <v>10475</v>
      </c>
      <c r="D4477">
        <v>5</v>
      </c>
      <c r="E4477" t="s">
        <v>2023</v>
      </c>
    </row>
    <row r="4478" spans="2:5">
      <c r="B4478" s="65" t="str">
        <f t="shared" si="69"/>
        <v>doc-x0009:1</v>
      </c>
      <c r="C4478" t="s">
        <v>6225</v>
      </c>
      <c r="D4478">
        <v>1</v>
      </c>
      <c r="E4478" t="s">
        <v>2130</v>
      </c>
    </row>
    <row r="4479" spans="2:5">
      <c r="B4479" s="65" t="str">
        <f t="shared" si="69"/>
        <v>doc-x0009:2</v>
      </c>
      <c r="C4479" t="s">
        <v>6225</v>
      </c>
      <c r="D4479">
        <v>2</v>
      </c>
      <c r="E4479" t="s">
        <v>2023</v>
      </c>
    </row>
    <row r="4480" spans="2:5">
      <c r="B4480" s="65" t="str">
        <f t="shared" si="69"/>
        <v>doc-x0009:3</v>
      </c>
      <c r="C4480" t="s">
        <v>6225</v>
      </c>
      <c r="D4480">
        <v>3</v>
      </c>
      <c r="E4480" t="s">
        <v>296</v>
      </c>
    </row>
    <row r="4481" spans="2:5">
      <c r="B4481" s="65" t="str">
        <f t="shared" si="69"/>
        <v>doc-x0009:4</v>
      </c>
      <c r="C4481" t="s">
        <v>6225</v>
      </c>
      <c r="D4481">
        <v>4</v>
      </c>
      <c r="E4481" t="s">
        <v>2849</v>
      </c>
    </row>
    <row r="4482" spans="2:5">
      <c r="B4482" s="65" t="str">
        <f t="shared" si="69"/>
        <v>doc-x0009:5</v>
      </c>
      <c r="C4482" t="s">
        <v>6225</v>
      </c>
      <c r="D4482">
        <v>5</v>
      </c>
      <c r="E4482" t="s">
        <v>2121</v>
      </c>
    </row>
    <row r="4483" spans="2:5">
      <c r="B4483" s="65" t="str">
        <f t="shared" si="69"/>
        <v>doc-x0010:1</v>
      </c>
      <c r="C4483" t="s">
        <v>6232</v>
      </c>
      <c r="D4483">
        <v>1</v>
      </c>
      <c r="E4483" t="s">
        <v>2130</v>
      </c>
    </row>
    <row r="4484" spans="2:5">
      <c r="B4484" s="65" t="str">
        <f t="shared" ref="B4484:B4547" si="70">$C4484&amp;":"&amp;$D4484</f>
        <v>doc-x0010:2</v>
      </c>
      <c r="C4484" t="s">
        <v>6232</v>
      </c>
      <c r="D4484">
        <v>2</v>
      </c>
      <c r="E4484" t="s">
        <v>2023</v>
      </c>
    </row>
    <row r="4485" spans="2:5">
      <c r="B4485" s="65" t="str">
        <f t="shared" si="70"/>
        <v>doc-x0010:3</v>
      </c>
      <c r="C4485" t="s">
        <v>6232</v>
      </c>
      <c r="D4485">
        <v>3</v>
      </c>
      <c r="E4485" t="s">
        <v>2121</v>
      </c>
    </row>
    <row r="4486" spans="2:5">
      <c r="B4486" s="65" t="str">
        <f t="shared" si="70"/>
        <v>doc-x0010:4</v>
      </c>
      <c r="C4486" t="s">
        <v>6232</v>
      </c>
      <c r="D4486">
        <v>4</v>
      </c>
      <c r="E4486" t="s">
        <v>296</v>
      </c>
    </row>
    <row r="4487" spans="2:5">
      <c r="B4487" s="65" t="str">
        <f t="shared" si="70"/>
        <v>doc-x0010:5</v>
      </c>
      <c r="C4487" t="s">
        <v>6232</v>
      </c>
      <c r="D4487">
        <v>5</v>
      </c>
      <c r="E4487" t="s">
        <v>2849</v>
      </c>
    </row>
    <row r="4488" spans="2:5">
      <c r="B4488" s="65" t="str">
        <f t="shared" si="70"/>
        <v>doc-x0011:1</v>
      </c>
      <c r="C4488" t="s">
        <v>10476</v>
      </c>
      <c r="D4488">
        <v>1</v>
      </c>
      <c r="E4488" t="s">
        <v>2023</v>
      </c>
    </row>
    <row r="4489" spans="2:5">
      <c r="B4489" s="65" t="str">
        <f t="shared" si="70"/>
        <v>doc-x0011:2</v>
      </c>
      <c r="C4489" t="s">
        <v>10476</v>
      </c>
      <c r="D4489">
        <v>2</v>
      </c>
      <c r="E4489" t="s">
        <v>2130</v>
      </c>
    </row>
    <row r="4490" spans="2:5">
      <c r="B4490" s="65" t="str">
        <f t="shared" si="70"/>
        <v>doc-x0011:3</v>
      </c>
      <c r="C4490" t="s">
        <v>10476</v>
      </c>
      <c r="D4490">
        <v>3</v>
      </c>
      <c r="E4490" t="s">
        <v>2070</v>
      </c>
    </row>
    <row r="4491" spans="2:5">
      <c r="B4491" s="65" t="str">
        <f t="shared" si="70"/>
        <v>doc-x0011:4</v>
      </c>
      <c r="C4491" t="s">
        <v>10476</v>
      </c>
      <c r="D4491">
        <v>4</v>
      </c>
      <c r="E4491" t="s">
        <v>2121</v>
      </c>
    </row>
    <row r="4492" spans="2:5">
      <c r="B4492" s="65" t="str">
        <f t="shared" si="70"/>
        <v>doc-x0011:5</v>
      </c>
      <c r="C4492" t="s">
        <v>10476</v>
      </c>
      <c r="D4492">
        <v>5</v>
      </c>
      <c r="E4492" t="s">
        <v>296</v>
      </c>
    </row>
    <row r="4493" spans="2:5">
      <c r="B4493" s="65" t="str">
        <f t="shared" si="70"/>
        <v>doc-x0011:6</v>
      </c>
      <c r="C4493" t="s">
        <v>10476</v>
      </c>
      <c r="D4493">
        <v>6</v>
      </c>
      <c r="E4493" t="s">
        <v>2849</v>
      </c>
    </row>
    <row r="4494" spans="2:5">
      <c r="B4494" s="65" t="str">
        <f t="shared" si="70"/>
        <v>doc-x0012:1</v>
      </c>
      <c r="C4494" t="s">
        <v>10477</v>
      </c>
      <c r="D4494">
        <v>1</v>
      </c>
      <c r="E4494" t="s">
        <v>2157</v>
      </c>
    </row>
    <row r="4495" spans="2:5">
      <c r="B4495" s="65" t="str">
        <f t="shared" si="70"/>
        <v>doc-x0012:2</v>
      </c>
      <c r="C4495" t="s">
        <v>10477</v>
      </c>
      <c r="D4495">
        <v>2</v>
      </c>
      <c r="E4495" t="s">
        <v>2121</v>
      </c>
    </row>
    <row r="4496" spans="2:5">
      <c r="B4496" s="65" t="str">
        <f t="shared" si="70"/>
        <v>doc-x0012:3</v>
      </c>
      <c r="C4496" t="s">
        <v>10477</v>
      </c>
      <c r="D4496">
        <v>3</v>
      </c>
      <c r="E4496" t="s">
        <v>296</v>
      </c>
    </row>
    <row r="4497" spans="2:5">
      <c r="B4497" s="65" t="str">
        <f t="shared" si="70"/>
        <v>doc-x0013:1</v>
      </c>
      <c r="C4497" t="s">
        <v>10478</v>
      </c>
      <c r="D4497">
        <v>1</v>
      </c>
      <c r="E4497" t="s">
        <v>2846</v>
      </c>
    </row>
    <row r="4498" spans="2:5">
      <c r="B4498" s="65" t="str">
        <f t="shared" si="70"/>
        <v>doc-x0013:2</v>
      </c>
      <c r="C4498" t="s">
        <v>10478</v>
      </c>
      <c r="D4498">
        <v>2</v>
      </c>
      <c r="E4498" t="s">
        <v>2023</v>
      </c>
    </row>
    <row r="4499" spans="2:5">
      <c r="B4499" s="65" t="str">
        <f t="shared" si="70"/>
        <v>doc-x0013:3</v>
      </c>
      <c r="C4499" t="s">
        <v>10478</v>
      </c>
      <c r="D4499">
        <v>3</v>
      </c>
      <c r="E4499" t="s">
        <v>296</v>
      </c>
    </row>
    <row r="4500" spans="2:5">
      <c r="B4500" s="65" t="str">
        <f t="shared" si="70"/>
        <v>doc-x0013:4</v>
      </c>
      <c r="C4500" t="s">
        <v>10478</v>
      </c>
      <c r="D4500">
        <v>4</v>
      </c>
      <c r="E4500" t="s">
        <v>2849</v>
      </c>
    </row>
    <row r="4501" spans="2:5">
      <c r="B4501" s="65" t="str">
        <f t="shared" si="70"/>
        <v>doc-x0013:5</v>
      </c>
      <c r="C4501" t="s">
        <v>10478</v>
      </c>
      <c r="D4501">
        <v>5</v>
      </c>
      <c r="E4501" t="s">
        <v>2020</v>
      </c>
    </row>
    <row r="4502" spans="2:5">
      <c r="B4502" s="65" t="str">
        <f t="shared" si="70"/>
        <v>doc-x0013:6</v>
      </c>
      <c r="C4502" t="s">
        <v>10478</v>
      </c>
      <c r="D4502">
        <v>6</v>
      </c>
      <c r="E4502" t="s">
        <v>2973</v>
      </c>
    </row>
    <row r="4503" spans="2:5">
      <c r="B4503" s="65" t="str">
        <f t="shared" si="70"/>
        <v>doc-x0013:7</v>
      </c>
      <c r="C4503" t="s">
        <v>10478</v>
      </c>
      <c r="D4503">
        <v>7</v>
      </c>
      <c r="E4503" t="s">
        <v>1971</v>
      </c>
    </row>
    <row r="4504" spans="2:5">
      <c r="B4504" s="65" t="str">
        <f t="shared" si="70"/>
        <v>doc-x0014:1</v>
      </c>
      <c r="C4504" t="s">
        <v>10479</v>
      </c>
      <c r="D4504">
        <v>1</v>
      </c>
      <c r="E4504" t="s">
        <v>2339</v>
      </c>
    </row>
    <row r="4505" spans="2:5">
      <c r="B4505" s="65" t="str">
        <f t="shared" si="70"/>
        <v>doc-x0014:2</v>
      </c>
      <c r="C4505" t="s">
        <v>10479</v>
      </c>
      <c r="D4505">
        <v>2</v>
      </c>
      <c r="E4505" t="s">
        <v>2292</v>
      </c>
    </row>
    <row r="4506" spans="2:5">
      <c r="B4506" s="65" t="str">
        <f t="shared" si="70"/>
        <v>doc-x0014:3</v>
      </c>
      <c r="C4506" t="s">
        <v>10479</v>
      </c>
      <c r="D4506">
        <v>3</v>
      </c>
      <c r="E4506" t="s">
        <v>2148</v>
      </c>
    </row>
    <row r="4507" spans="2:5">
      <c r="B4507" s="65" t="str">
        <f t="shared" si="70"/>
        <v>doc-x0014:4</v>
      </c>
      <c r="C4507" t="s">
        <v>10479</v>
      </c>
      <c r="D4507">
        <v>4</v>
      </c>
      <c r="E4507" t="s">
        <v>281</v>
      </c>
    </row>
    <row r="4508" spans="2:5">
      <c r="B4508" s="65" t="str">
        <f t="shared" si="70"/>
        <v>doc-x0014:5</v>
      </c>
      <c r="C4508" t="s">
        <v>10479</v>
      </c>
      <c r="D4508">
        <v>5</v>
      </c>
      <c r="E4508" t="s">
        <v>2064</v>
      </c>
    </row>
    <row r="4509" spans="2:5">
      <c r="B4509" s="65" t="str">
        <f t="shared" si="70"/>
        <v>doc-x0014:6</v>
      </c>
      <c r="C4509" t="s">
        <v>10479</v>
      </c>
      <c r="D4509">
        <v>6</v>
      </c>
      <c r="E4509" t="s">
        <v>296</v>
      </c>
    </row>
    <row r="4510" spans="2:5">
      <c r="B4510" s="65" t="str">
        <f t="shared" si="70"/>
        <v>doc-x0015:1</v>
      </c>
      <c r="C4510" t="s">
        <v>10480</v>
      </c>
      <c r="D4510">
        <v>1</v>
      </c>
      <c r="E4510" t="s">
        <v>2157</v>
      </c>
    </row>
    <row r="4511" spans="2:5">
      <c r="B4511" s="65" t="str">
        <f t="shared" si="70"/>
        <v>doc-x0015:2</v>
      </c>
      <c r="C4511" t="s">
        <v>10480</v>
      </c>
      <c r="D4511">
        <v>2</v>
      </c>
      <c r="E4511" t="s">
        <v>2121</v>
      </c>
    </row>
    <row r="4512" spans="2:5">
      <c r="B4512" s="65" t="str">
        <f t="shared" si="70"/>
        <v>doc-x0015:3</v>
      </c>
      <c r="C4512" t="s">
        <v>10480</v>
      </c>
      <c r="D4512">
        <v>3</v>
      </c>
      <c r="E4512" t="s">
        <v>296</v>
      </c>
    </row>
    <row r="4513" spans="2:5">
      <c r="B4513" s="65" t="str">
        <f t="shared" si="70"/>
        <v>doc-x0016:1</v>
      </c>
      <c r="C4513" t="s">
        <v>10481</v>
      </c>
      <c r="D4513">
        <v>1</v>
      </c>
      <c r="E4513" t="s">
        <v>2130</v>
      </c>
    </row>
    <row r="4514" spans="2:5">
      <c r="B4514" s="65" t="str">
        <f t="shared" si="70"/>
        <v>doc-x0016:2</v>
      </c>
      <c r="C4514" t="s">
        <v>10481</v>
      </c>
      <c r="D4514">
        <v>2</v>
      </c>
      <c r="E4514" t="s">
        <v>2023</v>
      </c>
    </row>
    <row r="4515" spans="2:5">
      <c r="B4515" s="65" t="str">
        <f t="shared" si="70"/>
        <v>doc-x0016:3</v>
      </c>
      <c r="C4515" t="s">
        <v>10481</v>
      </c>
      <c r="D4515">
        <v>3</v>
      </c>
      <c r="E4515" t="s">
        <v>296</v>
      </c>
    </row>
    <row r="4516" spans="2:5">
      <c r="B4516" s="65" t="str">
        <f t="shared" si="70"/>
        <v>doc-x0016:4</v>
      </c>
      <c r="C4516" t="s">
        <v>10481</v>
      </c>
      <c r="D4516">
        <v>4</v>
      </c>
      <c r="E4516" t="s">
        <v>1911</v>
      </c>
    </row>
    <row r="4517" spans="2:5">
      <c r="B4517" s="65" t="str">
        <f t="shared" si="70"/>
        <v>doc-x0016:5</v>
      </c>
      <c r="C4517" t="s">
        <v>10481</v>
      </c>
      <c r="D4517">
        <v>5</v>
      </c>
      <c r="E4517" t="s">
        <v>2121</v>
      </c>
    </row>
    <row r="4518" spans="2:5">
      <c r="B4518" s="65" t="str">
        <f t="shared" si="70"/>
        <v>doc-x0017:1</v>
      </c>
      <c r="C4518" t="s">
        <v>10482</v>
      </c>
      <c r="D4518">
        <v>1</v>
      </c>
      <c r="E4518" t="s">
        <v>2023</v>
      </c>
    </row>
    <row r="4519" spans="2:5">
      <c r="B4519" s="65" t="str">
        <f t="shared" si="70"/>
        <v>doc-x0017:2</v>
      </c>
      <c r="C4519" t="s">
        <v>10482</v>
      </c>
      <c r="D4519">
        <v>2</v>
      </c>
      <c r="E4519" t="s">
        <v>296</v>
      </c>
    </row>
    <row r="4520" spans="2:5">
      <c r="B4520" s="65" t="str">
        <f t="shared" si="70"/>
        <v>doc-x0017:3</v>
      </c>
      <c r="C4520" t="s">
        <v>10482</v>
      </c>
      <c r="D4520">
        <v>3</v>
      </c>
      <c r="E4520" t="s">
        <v>1911</v>
      </c>
    </row>
    <row r="4521" spans="2:5">
      <c r="B4521" s="65" t="str">
        <f t="shared" si="70"/>
        <v>doc-x0018:1</v>
      </c>
      <c r="C4521" t="s">
        <v>10483</v>
      </c>
      <c r="D4521">
        <v>1</v>
      </c>
      <c r="E4521" t="s">
        <v>2176</v>
      </c>
    </row>
    <row r="4522" spans="2:5">
      <c r="B4522" s="65" t="str">
        <f t="shared" si="70"/>
        <v>doc-x0018:2</v>
      </c>
      <c r="C4522" t="s">
        <v>10483</v>
      </c>
      <c r="D4522">
        <v>2</v>
      </c>
      <c r="E4522" t="s">
        <v>1813</v>
      </c>
    </row>
    <row r="4523" spans="2:5">
      <c r="B4523" s="65" t="str">
        <f t="shared" si="70"/>
        <v>doc-x0018:3</v>
      </c>
      <c r="C4523" t="s">
        <v>10483</v>
      </c>
      <c r="D4523">
        <v>3</v>
      </c>
      <c r="E4523" t="s">
        <v>296</v>
      </c>
    </row>
    <row r="4524" spans="2:5">
      <c r="B4524" s="65" t="str">
        <f t="shared" si="70"/>
        <v>doc-x0018:4</v>
      </c>
      <c r="C4524" t="s">
        <v>10483</v>
      </c>
      <c r="D4524">
        <v>4</v>
      </c>
      <c r="E4524" t="s">
        <v>1911</v>
      </c>
    </row>
    <row r="4525" spans="2:5">
      <c r="B4525" s="65" t="str">
        <f t="shared" si="70"/>
        <v>doc-x0018:5</v>
      </c>
      <c r="C4525" t="s">
        <v>10483</v>
      </c>
      <c r="D4525">
        <v>5</v>
      </c>
      <c r="E4525" t="s">
        <v>2121</v>
      </c>
    </row>
    <row r="4526" spans="2:5">
      <c r="B4526" s="65" t="str">
        <f t="shared" si="70"/>
        <v>doc-x0019:1</v>
      </c>
      <c r="C4526" t="s">
        <v>10484</v>
      </c>
      <c r="D4526">
        <v>1</v>
      </c>
      <c r="E4526" t="s">
        <v>2023</v>
      </c>
    </row>
    <row r="4527" spans="2:5">
      <c r="B4527" s="65" t="str">
        <f t="shared" si="70"/>
        <v>doc-x0019:2</v>
      </c>
      <c r="C4527" t="s">
        <v>10484</v>
      </c>
      <c r="D4527">
        <v>2</v>
      </c>
      <c r="E4527" t="s">
        <v>1911</v>
      </c>
    </row>
    <row r="4528" spans="2:5">
      <c r="B4528" s="65" t="str">
        <f t="shared" si="70"/>
        <v>doc-x0019:3</v>
      </c>
      <c r="C4528" t="s">
        <v>10484</v>
      </c>
      <c r="D4528">
        <v>3</v>
      </c>
      <c r="E4528" t="s">
        <v>296</v>
      </c>
    </row>
    <row r="4529" spans="2:5">
      <c r="B4529" s="65" t="str">
        <f t="shared" si="70"/>
        <v>doc-x0020:1</v>
      </c>
      <c r="C4529" t="s">
        <v>10485</v>
      </c>
      <c r="D4529">
        <v>1</v>
      </c>
      <c r="E4529" t="s">
        <v>1856</v>
      </c>
    </row>
    <row r="4530" spans="2:5">
      <c r="B4530" s="65" t="str">
        <f t="shared" si="70"/>
        <v>doc-x0020:2</v>
      </c>
      <c r="C4530" t="s">
        <v>10485</v>
      </c>
      <c r="D4530">
        <v>2</v>
      </c>
      <c r="E4530" t="s">
        <v>1813</v>
      </c>
    </row>
    <row r="4531" spans="2:5">
      <c r="B4531" s="65" t="str">
        <f t="shared" si="70"/>
        <v>doc-x0020:3</v>
      </c>
      <c r="C4531" t="s">
        <v>10485</v>
      </c>
      <c r="D4531">
        <v>3</v>
      </c>
      <c r="E4531" t="s">
        <v>296</v>
      </c>
    </row>
    <row r="4532" spans="2:5">
      <c r="B4532" s="65" t="str">
        <f t="shared" si="70"/>
        <v>doc-x0021:1</v>
      </c>
      <c r="C4532" t="s">
        <v>10486</v>
      </c>
      <c r="D4532">
        <v>1</v>
      </c>
      <c r="E4532" t="s">
        <v>2831</v>
      </c>
    </row>
    <row r="4533" spans="2:5">
      <c r="B4533" s="65" t="str">
        <f t="shared" si="70"/>
        <v>doc-x0021:2</v>
      </c>
      <c r="C4533" t="s">
        <v>10486</v>
      </c>
      <c r="D4533">
        <v>2</v>
      </c>
      <c r="E4533" t="s">
        <v>2849</v>
      </c>
    </row>
    <row r="4534" spans="2:5">
      <c r="B4534" s="65" t="str">
        <f t="shared" si="70"/>
        <v>doc-x0021:3</v>
      </c>
      <c r="C4534" t="s">
        <v>10486</v>
      </c>
      <c r="D4534">
        <v>3</v>
      </c>
      <c r="E4534" t="s">
        <v>296</v>
      </c>
    </row>
    <row r="4535" spans="2:5">
      <c r="B4535" s="65" t="str">
        <f t="shared" si="70"/>
        <v>doc-x0022:1</v>
      </c>
      <c r="C4535" t="s">
        <v>6238</v>
      </c>
      <c r="D4535">
        <v>1</v>
      </c>
      <c r="E4535" t="s">
        <v>2731</v>
      </c>
    </row>
    <row r="4536" spans="2:5">
      <c r="B4536" s="65" t="str">
        <f t="shared" si="70"/>
        <v>doc-x0022:2</v>
      </c>
      <c r="C4536" t="s">
        <v>6238</v>
      </c>
      <c r="D4536">
        <v>2</v>
      </c>
      <c r="E4536" t="s">
        <v>1108</v>
      </c>
    </row>
    <row r="4537" spans="2:5">
      <c r="B4537" s="65" t="str">
        <f t="shared" si="70"/>
        <v>doc-x0022:3</v>
      </c>
      <c r="C4537" t="s">
        <v>6238</v>
      </c>
      <c r="D4537">
        <v>3</v>
      </c>
      <c r="E4537" t="s">
        <v>2915</v>
      </c>
    </row>
    <row r="4538" spans="2:5">
      <c r="B4538" s="65" t="str">
        <f t="shared" si="70"/>
        <v>doc-x0022:4</v>
      </c>
      <c r="C4538" t="s">
        <v>6238</v>
      </c>
      <c r="D4538">
        <v>4</v>
      </c>
      <c r="E4538" t="s">
        <v>2664</v>
      </c>
    </row>
    <row r="4539" spans="2:5">
      <c r="B4539" s="65" t="str">
        <f t="shared" si="70"/>
        <v>doc-x0022:5</v>
      </c>
      <c r="C4539" t="s">
        <v>6238</v>
      </c>
      <c r="D4539">
        <v>5</v>
      </c>
      <c r="E4539" t="s">
        <v>299</v>
      </c>
    </row>
    <row r="4540" spans="2:5">
      <c r="B4540" s="65" t="str">
        <f t="shared" si="70"/>
        <v>doc-x0023:1</v>
      </c>
      <c r="C4540" t="s">
        <v>6244</v>
      </c>
      <c r="D4540">
        <v>1</v>
      </c>
      <c r="E4540" t="s">
        <v>2913</v>
      </c>
    </row>
    <row r="4541" spans="2:5">
      <c r="B4541" s="65" t="str">
        <f t="shared" si="70"/>
        <v>doc-x0023:2</v>
      </c>
      <c r="C4541" t="s">
        <v>6244</v>
      </c>
      <c r="D4541">
        <v>2</v>
      </c>
      <c r="E4541" t="s">
        <v>2249</v>
      </c>
    </row>
    <row r="4542" spans="2:5">
      <c r="B4542" s="65" t="str">
        <f t="shared" si="70"/>
        <v>doc-x0023:3</v>
      </c>
      <c r="C4542" t="s">
        <v>6244</v>
      </c>
      <c r="D4542">
        <v>3</v>
      </c>
      <c r="E4542" t="s">
        <v>2247</v>
      </c>
    </row>
    <row r="4543" spans="2:5">
      <c r="B4543" s="65" t="str">
        <f t="shared" si="70"/>
        <v>doc-x0023:4</v>
      </c>
      <c r="C4543" t="s">
        <v>6244</v>
      </c>
      <c r="D4543">
        <v>4</v>
      </c>
      <c r="E4543" t="s">
        <v>1124</v>
      </c>
    </row>
    <row r="4544" spans="2:5">
      <c r="B4544" s="65" t="str">
        <f t="shared" si="70"/>
        <v>doc-x0024:1</v>
      </c>
      <c r="C4544" t="s">
        <v>6250</v>
      </c>
      <c r="D4544">
        <v>1</v>
      </c>
      <c r="E4544" t="s">
        <v>1437</v>
      </c>
    </row>
    <row r="4545" spans="2:5">
      <c r="B4545" s="65" t="str">
        <f t="shared" si="70"/>
        <v>doc-x0024:2</v>
      </c>
      <c r="C4545" t="s">
        <v>6250</v>
      </c>
      <c r="D4545">
        <v>2</v>
      </c>
      <c r="E4545" t="s">
        <v>1349</v>
      </c>
    </row>
    <row r="4546" spans="2:5">
      <c r="B4546" s="65" t="str">
        <f t="shared" si="70"/>
        <v>doc-x0024:3</v>
      </c>
      <c r="C4546" t="s">
        <v>6250</v>
      </c>
      <c r="D4546">
        <v>3</v>
      </c>
      <c r="E4546" t="s">
        <v>1395</v>
      </c>
    </row>
    <row r="4547" spans="2:5">
      <c r="B4547" s="65" t="str">
        <f t="shared" si="70"/>
        <v>doc-x0024:4</v>
      </c>
      <c r="C4547" t="s">
        <v>6250</v>
      </c>
      <c r="D4547">
        <v>4</v>
      </c>
      <c r="E4547" t="s">
        <v>1108</v>
      </c>
    </row>
    <row r="4548" spans="2:5">
      <c r="B4548" s="65" t="str">
        <f t="shared" ref="B4548:B4611" si="71">$C4548&amp;":"&amp;$D4548</f>
        <v>doc-x0024:5</v>
      </c>
      <c r="C4548" t="s">
        <v>6250</v>
      </c>
      <c r="D4548">
        <v>5</v>
      </c>
      <c r="E4548" t="s">
        <v>281</v>
      </c>
    </row>
    <row r="4549" spans="2:5">
      <c r="B4549" s="65" t="str">
        <f t="shared" si="71"/>
        <v>doc-x0025:1</v>
      </c>
      <c r="C4549" t="s">
        <v>10487</v>
      </c>
      <c r="D4549">
        <v>1</v>
      </c>
      <c r="E4549" t="s">
        <v>1833</v>
      </c>
    </row>
    <row r="4550" spans="2:5">
      <c r="B4550" s="65" t="str">
        <f t="shared" si="71"/>
        <v>doc-x0025:2</v>
      </c>
      <c r="C4550" t="s">
        <v>10487</v>
      </c>
      <c r="D4550">
        <v>2</v>
      </c>
      <c r="E4550" t="s">
        <v>1108</v>
      </c>
    </row>
    <row r="4551" spans="2:5">
      <c r="B4551" s="65" t="str">
        <f t="shared" si="71"/>
        <v>doc-x0025:3</v>
      </c>
      <c r="C4551" t="s">
        <v>10487</v>
      </c>
      <c r="D4551">
        <v>3</v>
      </c>
      <c r="E4551" t="s">
        <v>2664</v>
      </c>
    </row>
    <row r="4552" spans="2:5">
      <c r="B4552" s="65" t="str">
        <f t="shared" si="71"/>
        <v>doc-x0025:4</v>
      </c>
      <c r="C4552" t="s">
        <v>10487</v>
      </c>
      <c r="D4552">
        <v>4</v>
      </c>
      <c r="E4552" t="s">
        <v>2087</v>
      </c>
    </row>
    <row r="4553" spans="2:5">
      <c r="B4553" s="65" t="str">
        <f t="shared" si="71"/>
        <v>doc-x0025:5</v>
      </c>
      <c r="C4553" t="s">
        <v>10487</v>
      </c>
      <c r="D4553">
        <v>5</v>
      </c>
      <c r="E4553" t="s">
        <v>1856</v>
      </c>
    </row>
    <row r="4554" spans="2:5">
      <c r="B4554" s="65" t="str">
        <f t="shared" si="71"/>
        <v>doc-x0026:1</v>
      </c>
      <c r="C4554" t="s">
        <v>10488</v>
      </c>
      <c r="D4554">
        <v>1</v>
      </c>
      <c r="E4554" t="s">
        <v>2954</v>
      </c>
    </row>
    <row r="4555" spans="2:5">
      <c r="B4555" s="65" t="str">
        <f t="shared" si="71"/>
        <v>doc-x0026:2</v>
      </c>
      <c r="C4555" t="s">
        <v>10488</v>
      </c>
      <c r="D4555">
        <v>2</v>
      </c>
      <c r="E4555" t="s">
        <v>1108</v>
      </c>
    </row>
    <row r="4556" spans="2:5">
      <c r="B4556" s="65" t="str">
        <f t="shared" si="71"/>
        <v>doc-x0026:3</v>
      </c>
      <c r="C4556" t="s">
        <v>10488</v>
      </c>
      <c r="D4556">
        <v>3</v>
      </c>
      <c r="E4556" t="s">
        <v>2280</v>
      </c>
    </row>
    <row r="4557" spans="2:5">
      <c r="B4557" s="65" t="str">
        <f t="shared" si="71"/>
        <v>doc-x0026:4</v>
      </c>
      <c r="C4557" t="s">
        <v>10488</v>
      </c>
      <c r="D4557">
        <v>4</v>
      </c>
      <c r="E4557" t="s">
        <v>90</v>
      </c>
    </row>
    <row r="4558" spans="2:5">
      <c r="B4558" s="65" t="str">
        <f t="shared" si="71"/>
        <v>doc-x0027:1</v>
      </c>
      <c r="C4558" t="s">
        <v>10489</v>
      </c>
      <c r="D4558">
        <v>1</v>
      </c>
      <c r="E4558" t="s">
        <v>82</v>
      </c>
    </row>
    <row r="4559" spans="2:5">
      <c r="B4559" s="65" t="str">
        <f t="shared" si="71"/>
        <v>doc-x0027:2</v>
      </c>
      <c r="C4559" t="s">
        <v>10489</v>
      </c>
      <c r="D4559">
        <v>2</v>
      </c>
      <c r="E4559" t="s">
        <v>1078</v>
      </c>
    </row>
    <row r="4560" spans="2:5">
      <c r="B4560" s="65" t="str">
        <f t="shared" si="71"/>
        <v>doc-x0027:3</v>
      </c>
      <c r="C4560" t="s">
        <v>10489</v>
      </c>
      <c r="D4560">
        <v>3</v>
      </c>
      <c r="E4560" t="s">
        <v>2197</v>
      </c>
    </row>
    <row r="4561" spans="2:5">
      <c r="B4561" s="65" t="str">
        <f t="shared" si="71"/>
        <v>doc-x0027:4</v>
      </c>
      <c r="C4561" t="s">
        <v>10489</v>
      </c>
      <c r="D4561">
        <v>4</v>
      </c>
      <c r="E4561" t="s">
        <v>1561</v>
      </c>
    </row>
    <row r="4562" spans="2:5">
      <c r="B4562" s="65" t="str">
        <f t="shared" si="71"/>
        <v>doc-x0027:5</v>
      </c>
      <c r="C4562" t="s">
        <v>10489</v>
      </c>
      <c r="D4562">
        <v>5</v>
      </c>
      <c r="E4562" t="s">
        <v>79</v>
      </c>
    </row>
    <row r="4563" spans="2:5">
      <c r="B4563" s="65" t="str">
        <f t="shared" si="71"/>
        <v>doc-x0028:1</v>
      </c>
      <c r="C4563" t="s">
        <v>10490</v>
      </c>
      <c r="D4563">
        <v>1</v>
      </c>
      <c r="E4563" t="s">
        <v>2197</v>
      </c>
    </row>
    <row r="4564" spans="2:5">
      <c r="B4564" s="65" t="str">
        <f t="shared" si="71"/>
        <v>doc-x0028:2</v>
      </c>
      <c r="C4564" t="s">
        <v>10490</v>
      </c>
      <c r="D4564">
        <v>2</v>
      </c>
      <c r="E4564" t="s">
        <v>82</v>
      </c>
    </row>
    <row r="4565" spans="2:5">
      <c r="B4565" s="65" t="str">
        <f t="shared" si="71"/>
        <v>doc-x0028:3</v>
      </c>
      <c r="C4565" t="s">
        <v>10490</v>
      </c>
      <c r="D4565">
        <v>3</v>
      </c>
      <c r="E4565" t="s">
        <v>1197</v>
      </c>
    </row>
    <row r="4566" spans="2:5">
      <c r="B4566" s="65" t="str">
        <f t="shared" si="71"/>
        <v>doc-x0028:4</v>
      </c>
      <c r="C4566" t="s">
        <v>10490</v>
      </c>
      <c r="D4566">
        <v>4</v>
      </c>
      <c r="E4566" t="s">
        <v>1673</v>
      </c>
    </row>
    <row r="4567" spans="2:5">
      <c r="B4567" s="65" t="str">
        <f t="shared" si="71"/>
        <v>doc-x0028:5</v>
      </c>
      <c r="C4567" t="s">
        <v>10490</v>
      </c>
      <c r="D4567">
        <v>5</v>
      </c>
      <c r="E4567" t="s">
        <v>1561</v>
      </c>
    </row>
    <row r="4568" spans="2:5">
      <c r="B4568" s="65" t="str">
        <f t="shared" si="71"/>
        <v>doc-x0028:6</v>
      </c>
      <c r="C4568" t="s">
        <v>10490</v>
      </c>
      <c r="D4568">
        <v>6</v>
      </c>
      <c r="E4568" t="s">
        <v>1078</v>
      </c>
    </row>
    <row r="4569" spans="2:5">
      <c r="B4569" s="65" t="str">
        <f t="shared" si="71"/>
        <v>doc-x0029:1</v>
      </c>
      <c r="C4569" t="s">
        <v>6257</v>
      </c>
      <c r="D4569">
        <v>1</v>
      </c>
      <c r="E4569" t="s">
        <v>1078</v>
      </c>
    </row>
    <row r="4570" spans="2:5">
      <c r="B4570" s="65" t="str">
        <f t="shared" si="71"/>
        <v>doc-x0029:2</v>
      </c>
      <c r="C4570" t="s">
        <v>6257</v>
      </c>
      <c r="D4570">
        <v>2</v>
      </c>
      <c r="E4570" t="s">
        <v>1130</v>
      </c>
    </row>
    <row r="4571" spans="2:5">
      <c r="B4571" s="65" t="str">
        <f t="shared" si="71"/>
        <v>doc-x0029:3</v>
      </c>
      <c r="C4571" t="s">
        <v>6257</v>
      </c>
      <c r="D4571">
        <v>3</v>
      </c>
      <c r="E4571" t="s">
        <v>1203</v>
      </c>
    </row>
    <row r="4572" spans="2:5">
      <c r="B4572" s="65" t="str">
        <f t="shared" si="71"/>
        <v>doc-x0029:4</v>
      </c>
      <c r="C4572" t="s">
        <v>6257</v>
      </c>
      <c r="D4572">
        <v>4</v>
      </c>
      <c r="E4572" t="s">
        <v>79</v>
      </c>
    </row>
    <row r="4573" spans="2:5">
      <c r="B4573" s="65" t="str">
        <f t="shared" si="71"/>
        <v>doc-x0029:5</v>
      </c>
      <c r="C4573" t="s">
        <v>6257</v>
      </c>
      <c r="D4573">
        <v>5</v>
      </c>
      <c r="E4573" t="s">
        <v>1227</v>
      </c>
    </row>
    <row r="4574" spans="2:5">
      <c r="B4574" s="65" t="str">
        <f t="shared" si="71"/>
        <v>doc-x0029:6</v>
      </c>
      <c r="C4574" t="s">
        <v>6257</v>
      </c>
      <c r="D4574">
        <v>6</v>
      </c>
      <c r="E4574" t="s">
        <v>107</v>
      </c>
    </row>
    <row r="4575" spans="2:5">
      <c r="B4575" s="65" t="str">
        <f t="shared" si="71"/>
        <v>doc-x0029:7</v>
      </c>
      <c r="C4575" t="s">
        <v>6257</v>
      </c>
      <c r="D4575">
        <v>7</v>
      </c>
      <c r="E4575" t="s">
        <v>1221</v>
      </c>
    </row>
    <row r="4576" spans="2:5">
      <c r="B4576" s="65" t="str">
        <f t="shared" si="71"/>
        <v>doc-x0030:1</v>
      </c>
      <c r="C4576" t="s">
        <v>10491</v>
      </c>
      <c r="D4576">
        <v>1</v>
      </c>
      <c r="E4576" t="s">
        <v>3061</v>
      </c>
    </row>
    <row r="4577" spans="2:5">
      <c r="B4577" s="65" t="str">
        <f t="shared" si="71"/>
        <v>doc-x0030:2</v>
      </c>
      <c r="C4577" t="s">
        <v>10491</v>
      </c>
      <c r="D4577">
        <v>2</v>
      </c>
      <c r="E4577" t="s">
        <v>3063</v>
      </c>
    </row>
    <row r="4578" spans="2:5">
      <c r="B4578" s="65" t="str">
        <f t="shared" si="71"/>
        <v>doc-x0030:3</v>
      </c>
      <c r="C4578" t="s">
        <v>10491</v>
      </c>
      <c r="D4578">
        <v>3</v>
      </c>
      <c r="E4578" t="s">
        <v>79</v>
      </c>
    </row>
    <row r="4579" spans="2:5">
      <c r="B4579" s="65" t="str">
        <f t="shared" si="71"/>
        <v>doc-x0030:4</v>
      </c>
      <c r="C4579" t="s">
        <v>10491</v>
      </c>
      <c r="D4579">
        <v>4</v>
      </c>
      <c r="E4579" t="s">
        <v>1114</v>
      </c>
    </row>
    <row r="4580" spans="2:5">
      <c r="B4580" s="65" t="str">
        <f t="shared" si="71"/>
        <v>doc-x0030:5</v>
      </c>
      <c r="C4580" t="s">
        <v>10491</v>
      </c>
      <c r="D4580">
        <v>5</v>
      </c>
      <c r="E4580" t="s">
        <v>1078</v>
      </c>
    </row>
    <row r="4581" spans="2:5">
      <c r="B4581" s="65" t="str">
        <f t="shared" si="71"/>
        <v>doc-x0031:1</v>
      </c>
      <c r="C4581" t="s">
        <v>10492</v>
      </c>
      <c r="D4581">
        <v>1</v>
      </c>
      <c r="E4581" t="s">
        <v>1078</v>
      </c>
    </row>
    <row r="4582" spans="2:5">
      <c r="B4582" s="65" t="str">
        <f t="shared" si="71"/>
        <v>doc-x0031:2</v>
      </c>
      <c r="C4582" t="s">
        <v>10492</v>
      </c>
      <c r="D4582">
        <v>2</v>
      </c>
      <c r="E4582" t="s">
        <v>82</v>
      </c>
    </row>
    <row r="4583" spans="2:5">
      <c r="B4583" s="65" t="str">
        <f t="shared" si="71"/>
        <v>doc-x0031:3</v>
      </c>
      <c r="C4583" t="s">
        <v>10492</v>
      </c>
      <c r="D4583">
        <v>3</v>
      </c>
      <c r="E4583" t="s">
        <v>1130</v>
      </c>
    </row>
    <row r="4584" spans="2:5">
      <c r="B4584" s="65" t="str">
        <f t="shared" si="71"/>
        <v>doc-x0032:1</v>
      </c>
      <c r="C4584" t="s">
        <v>6262</v>
      </c>
      <c r="D4584">
        <v>1</v>
      </c>
      <c r="E4584" t="s">
        <v>1395</v>
      </c>
    </row>
    <row r="4585" spans="2:5">
      <c r="B4585" s="65" t="str">
        <f t="shared" si="71"/>
        <v>doc-x0032:2</v>
      </c>
      <c r="C4585" t="s">
        <v>6262</v>
      </c>
      <c r="D4585">
        <v>2</v>
      </c>
      <c r="E4585" t="s">
        <v>2310</v>
      </c>
    </row>
    <row r="4586" spans="2:5">
      <c r="B4586" s="65" t="str">
        <f t="shared" si="71"/>
        <v>doc-x0032:3</v>
      </c>
      <c r="C4586" t="s">
        <v>6262</v>
      </c>
      <c r="D4586">
        <v>3</v>
      </c>
      <c r="E4586" t="s">
        <v>87</v>
      </c>
    </row>
    <row r="4587" spans="2:5">
      <c r="B4587" s="65" t="str">
        <f t="shared" si="71"/>
        <v>doc-x0032:4</v>
      </c>
      <c r="C4587" t="s">
        <v>6262</v>
      </c>
      <c r="D4587">
        <v>4</v>
      </c>
      <c r="E4587" t="s">
        <v>1349</v>
      </c>
    </row>
    <row r="4588" spans="2:5">
      <c r="B4588" s="65" t="str">
        <f t="shared" si="71"/>
        <v>doc-x0032:5</v>
      </c>
      <c r="C4588" t="s">
        <v>6262</v>
      </c>
      <c r="D4588">
        <v>5</v>
      </c>
      <c r="E4588" t="s">
        <v>2963</v>
      </c>
    </row>
    <row r="4589" spans="2:5">
      <c r="B4589" s="65" t="str">
        <f t="shared" si="71"/>
        <v>doc-x0032:6</v>
      </c>
      <c r="C4589" t="s">
        <v>6262</v>
      </c>
      <c r="D4589">
        <v>6</v>
      </c>
      <c r="E4589" t="s">
        <v>281</v>
      </c>
    </row>
    <row r="4590" spans="2:5">
      <c r="B4590" s="65" t="str">
        <f t="shared" si="71"/>
        <v>doc-x0032:7</v>
      </c>
      <c r="C4590" t="s">
        <v>6262</v>
      </c>
      <c r="D4590">
        <v>7</v>
      </c>
      <c r="E4590" t="s">
        <v>73</v>
      </c>
    </row>
    <row r="4591" spans="2:5">
      <c r="B4591" s="65" t="str">
        <f t="shared" si="71"/>
        <v>doc-x0033:1</v>
      </c>
      <c r="C4591" t="s">
        <v>5806</v>
      </c>
      <c r="D4591">
        <v>1</v>
      </c>
      <c r="E4591" t="s">
        <v>2179</v>
      </c>
    </row>
    <row r="4592" spans="2:5">
      <c r="B4592" s="65" t="str">
        <f t="shared" si="71"/>
        <v>doc-x0033:2</v>
      </c>
      <c r="C4592" t="s">
        <v>5806</v>
      </c>
      <c r="D4592">
        <v>2</v>
      </c>
      <c r="E4592" t="s">
        <v>2364</v>
      </c>
    </row>
    <row r="4593" spans="2:5">
      <c r="B4593" s="65" t="str">
        <f t="shared" si="71"/>
        <v>doc-x0033:3</v>
      </c>
      <c r="C4593" t="s">
        <v>5806</v>
      </c>
      <c r="D4593">
        <v>3</v>
      </c>
      <c r="E4593" t="s">
        <v>2121</v>
      </c>
    </row>
    <row r="4594" spans="2:5">
      <c r="B4594" s="65" t="str">
        <f t="shared" si="71"/>
        <v>doc-x0034:1</v>
      </c>
      <c r="C4594" t="s">
        <v>10493</v>
      </c>
      <c r="D4594">
        <v>1</v>
      </c>
      <c r="E4594" t="s">
        <v>2339</v>
      </c>
    </row>
    <row r="4595" spans="2:5">
      <c r="B4595" s="65" t="str">
        <f t="shared" si="71"/>
        <v>doc-x0034:2</v>
      </c>
      <c r="C4595" t="s">
        <v>10493</v>
      </c>
      <c r="D4595">
        <v>2</v>
      </c>
      <c r="E4595" t="s">
        <v>2292</v>
      </c>
    </row>
    <row r="4596" spans="2:5">
      <c r="B4596" s="65" t="str">
        <f t="shared" si="71"/>
        <v>doc-x0034:3</v>
      </c>
      <c r="C4596" t="s">
        <v>10493</v>
      </c>
      <c r="D4596">
        <v>3</v>
      </c>
      <c r="E4596" t="s">
        <v>2148</v>
      </c>
    </row>
    <row r="4597" spans="2:5">
      <c r="B4597" s="65" t="str">
        <f t="shared" si="71"/>
        <v>doc-x0034:4</v>
      </c>
      <c r="C4597" t="s">
        <v>10493</v>
      </c>
      <c r="D4597">
        <v>4</v>
      </c>
      <c r="E4597" t="s">
        <v>281</v>
      </c>
    </row>
    <row r="4598" spans="2:5">
      <c r="B4598" s="65" t="str">
        <f t="shared" si="71"/>
        <v>doc-x0034:5</v>
      </c>
      <c r="C4598" t="s">
        <v>10493</v>
      </c>
      <c r="D4598">
        <v>5</v>
      </c>
      <c r="E4598" t="s">
        <v>2064</v>
      </c>
    </row>
    <row r="4599" spans="2:5">
      <c r="B4599" s="65" t="str">
        <f t="shared" si="71"/>
        <v>doc-x0034:6</v>
      </c>
      <c r="C4599" t="s">
        <v>10493</v>
      </c>
      <c r="D4599">
        <v>6</v>
      </c>
      <c r="E4599" t="s">
        <v>296</v>
      </c>
    </row>
    <row r="4600" spans="2:5">
      <c r="B4600" s="65" t="str">
        <f t="shared" si="71"/>
        <v>doc-x0035:1</v>
      </c>
      <c r="C4600" t="s">
        <v>10494</v>
      </c>
      <c r="D4600">
        <v>1</v>
      </c>
      <c r="E4600" t="s">
        <v>1179</v>
      </c>
    </row>
    <row r="4601" spans="2:5">
      <c r="B4601" s="65" t="str">
        <f t="shared" si="71"/>
        <v>doc-x0035:2</v>
      </c>
      <c r="C4601" t="s">
        <v>10494</v>
      </c>
      <c r="D4601">
        <v>2</v>
      </c>
      <c r="E4601" t="s">
        <v>2849</v>
      </c>
    </row>
    <row r="4602" spans="2:5">
      <c r="B4602" s="65" t="str">
        <f t="shared" si="71"/>
        <v>doc-x0035:3</v>
      </c>
      <c r="C4602" t="s">
        <v>10494</v>
      </c>
      <c r="D4602">
        <v>3</v>
      </c>
      <c r="E4602" t="s">
        <v>2843</v>
      </c>
    </row>
    <row r="4603" spans="2:5">
      <c r="B4603" s="65" t="str">
        <f t="shared" si="71"/>
        <v>doc-x0035:4</v>
      </c>
      <c r="C4603" t="s">
        <v>10494</v>
      </c>
      <c r="D4603">
        <v>4</v>
      </c>
      <c r="E4603" t="s">
        <v>296</v>
      </c>
    </row>
    <row r="4604" spans="2:5">
      <c r="B4604" s="65" t="str">
        <f t="shared" si="71"/>
        <v>doc-x0035:5</v>
      </c>
      <c r="C4604" t="s">
        <v>10494</v>
      </c>
      <c r="D4604">
        <v>5</v>
      </c>
      <c r="E4604" t="s">
        <v>1171</v>
      </c>
    </row>
    <row r="4605" spans="2:5">
      <c r="B4605" s="65" t="str">
        <f t="shared" si="71"/>
        <v>doc-x0037:1</v>
      </c>
      <c r="C4605" t="s">
        <v>10495</v>
      </c>
      <c r="D4605">
        <v>1</v>
      </c>
      <c r="E4605" t="s">
        <v>1335</v>
      </c>
    </row>
    <row r="4606" spans="2:5">
      <c r="B4606" s="65" t="str">
        <f t="shared" si="71"/>
        <v>doc-x0037:2</v>
      </c>
      <c r="C4606" t="s">
        <v>10495</v>
      </c>
      <c r="D4606">
        <v>2</v>
      </c>
      <c r="E4606" t="s">
        <v>1337</v>
      </c>
    </row>
    <row r="4607" spans="2:5">
      <c r="B4607" s="65" t="str">
        <f t="shared" si="71"/>
        <v>doc-x0037:3</v>
      </c>
      <c r="C4607" t="s">
        <v>10495</v>
      </c>
      <c r="D4607">
        <v>3</v>
      </c>
      <c r="E4607" t="s">
        <v>1332</v>
      </c>
    </row>
    <row r="4608" spans="2:5">
      <c r="B4608" s="65" t="str">
        <f t="shared" si="71"/>
        <v>doc-x0037:4</v>
      </c>
      <c r="C4608" t="s">
        <v>10495</v>
      </c>
      <c r="D4608">
        <v>4</v>
      </c>
      <c r="E4608" t="s">
        <v>1340</v>
      </c>
    </row>
    <row r="4609" spans="2:5">
      <c r="B4609" s="65" t="str">
        <f t="shared" si="71"/>
        <v>doc-x0037:5</v>
      </c>
      <c r="C4609" t="s">
        <v>10495</v>
      </c>
      <c r="D4609">
        <v>5</v>
      </c>
      <c r="E4609" t="s">
        <v>107</v>
      </c>
    </row>
    <row r="4610" spans="2:5">
      <c r="B4610" s="65" t="str">
        <f t="shared" si="71"/>
        <v>doc-x0037:6</v>
      </c>
      <c r="C4610" t="s">
        <v>10495</v>
      </c>
      <c r="D4610">
        <v>6</v>
      </c>
      <c r="E4610" t="s">
        <v>90</v>
      </c>
    </row>
    <row r="4611" spans="2:5">
      <c r="B4611" s="65" t="str">
        <f t="shared" si="71"/>
        <v>doc-x0037:7</v>
      </c>
      <c r="C4611" t="s">
        <v>10495</v>
      </c>
      <c r="D4611">
        <v>7</v>
      </c>
      <c r="E4611" t="s">
        <v>1727</v>
      </c>
    </row>
    <row r="4612" spans="2:5">
      <c r="B4612" s="65" t="str">
        <f t="shared" ref="B4612:B4675" si="72">$C4612&amp;":"&amp;$D4612</f>
        <v>doc-x0037:8</v>
      </c>
      <c r="C4612" t="s">
        <v>10495</v>
      </c>
      <c r="D4612">
        <v>8</v>
      </c>
      <c r="E4612" t="s">
        <v>79</v>
      </c>
    </row>
    <row r="4613" spans="2:5">
      <c r="B4613" s="65" t="str">
        <f t="shared" si="72"/>
        <v>doc-x0038:1</v>
      </c>
      <c r="C4613" t="s">
        <v>10496</v>
      </c>
      <c r="D4613">
        <v>1</v>
      </c>
      <c r="E4613" t="s">
        <v>107</v>
      </c>
    </row>
    <row r="4614" spans="2:5">
      <c r="B4614" s="65" t="str">
        <f t="shared" si="72"/>
        <v>doc-x0038:2</v>
      </c>
      <c r="C4614" t="s">
        <v>10496</v>
      </c>
      <c r="D4614">
        <v>2</v>
      </c>
      <c r="E4614" t="s">
        <v>90</v>
      </c>
    </row>
    <row r="4615" spans="2:5">
      <c r="B4615" s="65" t="str">
        <f t="shared" si="72"/>
        <v>doc-x0038:3</v>
      </c>
      <c r="C4615" t="s">
        <v>10496</v>
      </c>
      <c r="D4615">
        <v>3</v>
      </c>
      <c r="E4615" t="s">
        <v>1246</v>
      </c>
    </row>
    <row r="4616" spans="2:5">
      <c r="B4616" s="65" t="str">
        <f t="shared" si="72"/>
        <v>doc-x0038:4</v>
      </c>
      <c r="C4616" t="s">
        <v>10496</v>
      </c>
      <c r="D4616">
        <v>4</v>
      </c>
      <c r="E4616" t="s">
        <v>1332</v>
      </c>
    </row>
    <row r="4617" spans="2:5">
      <c r="B4617" s="65" t="str">
        <f t="shared" si="72"/>
        <v>doc-x0039:1</v>
      </c>
      <c r="C4617" t="s">
        <v>10497</v>
      </c>
      <c r="D4617">
        <v>1</v>
      </c>
      <c r="E4617" t="s">
        <v>76</v>
      </c>
    </row>
    <row r="4618" spans="2:5">
      <c r="B4618" s="65" t="str">
        <f t="shared" si="72"/>
        <v>doc-x0039:2</v>
      </c>
      <c r="C4618" t="s">
        <v>10497</v>
      </c>
      <c r="D4618">
        <v>2</v>
      </c>
      <c r="E4618" t="s">
        <v>90</v>
      </c>
    </row>
    <row r="4619" spans="2:5">
      <c r="B4619" s="65" t="str">
        <f t="shared" si="72"/>
        <v>doc-x0039:3</v>
      </c>
      <c r="C4619" t="s">
        <v>10497</v>
      </c>
      <c r="D4619">
        <v>3</v>
      </c>
      <c r="E4619" t="s">
        <v>73</v>
      </c>
    </row>
    <row r="4620" spans="2:5">
      <c r="B4620" s="65" t="str">
        <f t="shared" si="72"/>
        <v>doc-x0039:4</v>
      </c>
      <c r="C4620" t="s">
        <v>10497</v>
      </c>
      <c r="D4620">
        <v>4</v>
      </c>
      <c r="E4620" t="s">
        <v>2954</v>
      </c>
    </row>
    <row r="4621" spans="2:5">
      <c r="B4621" s="65" t="str">
        <f t="shared" si="72"/>
        <v>doc-x0039:5</v>
      </c>
      <c r="C4621" t="s">
        <v>10497</v>
      </c>
      <c r="D4621">
        <v>5</v>
      </c>
      <c r="E4621" t="s">
        <v>2003</v>
      </c>
    </row>
    <row r="4622" spans="2:5">
      <c r="B4622" s="65" t="str">
        <f t="shared" si="72"/>
        <v>doc-x0039:6</v>
      </c>
      <c r="C4622" t="s">
        <v>10497</v>
      </c>
      <c r="D4622">
        <v>6</v>
      </c>
      <c r="E4622" t="s">
        <v>107</v>
      </c>
    </row>
    <row r="4623" spans="2:5">
      <c r="B4623" s="65" t="str">
        <f t="shared" si="72"/>
        <v>doc-x0040:1</v>
      </c>
      <c r="C4623" t="s">
        <v>10498</v>
      </c>
      <c r="D4623">
        <v>1</v>
      </c>
      <c r="E4623" t="s">
        <v>79</v>
      </c>
    </row>
    <row r="4624" spans="2:5">
      <c r="B4624" s="65" t="str">
        <f t="shared" si="72"/>
        <v>doc-x0040:2</v>
      </c>
      <c r="C4624" t="s">
        <v>10498</v>
      </c>
      <c r="D4624">
        <v>2</v>
      </c>
      <c r="E4624" t="s">
        <v>90</v>
      </c>
    </row>
    <row r="4625" spans="2:5">
      <c r="B4625" s="65" t="str">
        <f t="shared" si="72"/>
        <v>doc-x0040:3</v>
      </c>
      <c r="C4625" t="s">
        <v>10498</v>
      </c>
      <c r="D4625">
        <v>3</v>
      </c>
      <c r="E4625" t="s">
        <v>107</v>
      </c>
    </row>
    <row r="4626" spans="2:5">
      <c r="B4626" s="65" t="str">
        <f t="shared" si="72"/>
        <v>doc-x0040:4</v>
      </c>
      <c r="C4626" t="s">
        <v>10498</v>
      </c>
      <c r="D4626">
        <v>4</v>
      </c>
      <c r="E4626" t="s">
        <v>73</v>
      </c>
    </row>
    <row r="4627" spans="2:5">
      <c r="B4627" s="65" t="str">
        <f t="shared" si="72"/>
        <v>doc-x0041:1</v>
      </c>
      <c r="C4627" t="s">
        <v>6272</v>
      </c>
      <c r="D4627">
        <v>1</v>
      </c>
      <c r="E4627" t="s">
        <v>2266</v>
      </c>
    </row>
    <row r="4628" spans="2:5">
      <c r="B4628" s="65" t="str">
        <f t="shared" si="72"/>
        <v>doc-x0041:2</v>
      </c>
      <c r="C4628" t="s">
        <v>6272</v>
      </c>
      <c r="D4628">
        <v>2</v>
      </c>
      <c r="E4628" t="s">
        <v>1833</v>
      </c>
    </row>
    <row r="4629" spans="2:5">
      <c r="B4629" s="65" t="str">
        <f t="shared" si="72"/>
        <v>doc-x0041:3</v>
      </c>
      <c r="C4629" t="s">
        <v>6272</v>
      </c>
      <c r="D4629">
        <v>3</v>
      </c>
      <c r="E4629" t="s">
        <v>1108</v>
      </c>
    </row>
    <row r="4630" spans="2:5">
      <c r="B4630" s="65" t="str">
        <f t="shared" si="72"/>
        <v>doc-x0041:4</v>
      </c>
      <c r="C4630" t="s">
        <v>6272</v>
      </c>
      <c r="D4630">
        <v>4</v>
      </c>
      <c r="E4630" t="s">
        <v>107</v>
      </c>
    </row>
    <row r="4631" spans="2:5">
      <c r="B4631" s="65" t="str">
        <f t="shared" si="72"/>
        <v>doc-x0042:1</v>
      </c>
      <c r="C4631" t="s">
        <v>10499</v>
      </c>
      <c r="D4631">
        <v>1</v>
      </c>
      <c r="E4631" t="s">
        <v>1070</v>
      </c>
    </row>
    <row r="4632" spans="2:5">
      <c r="B4632" s="65" t="str">
        <f t="shared" si="72"/>
        <v>doc-x0042:2</v>
      </c>
      <c r="C4632" t="s">
        <v>10499</v>
      </c>
      <c r="D4632">
        <v>2</v>
      </c>
      <c r="E4632" t="s">
        <v>107</v>
      </c>
    </row>
    <row r="4633" spans="2:5">
      <c r="B4633" s="65" t="str">
        <f t="shared" si="72"/>
        <v>doc-x0042:3</v>
      </c>
      <c r="C4633" t="s">
        <v>10499</v>
      </c>
      <c r="D4633">
        <v>3</v>
      </c>
      <c r="E4633" t="s">
        <v>1581</v>
      </c>
    </row>
    <row r="4634" spans="2:5">
      <c r="B4634" s="65" t="str">
        <f t="shared" si="72"/>
        <v>doc-x0042:4</v>
      </c>
      <c r="C4634" t="s">
        <v>10499</v>
      </c>
      <c r="D4634">
        <v>4</v>
      </c>
      <c r="E4634" t="s">
        <v>92</v>
      </c>
    </row>
    <row r="4635" spans="2:5">
      <c r="B4635" s="65" t="str">
        <f t="shared" si="72"/>
        <v>doc-x0042:5</v>
      </c>
      <c r="C4635" t="s">
        <v>10499</v>
      </c>
      <c r="D4635">
        <v>5</v>
      </c>
      <c r="E4635" t="s">
        <v>1744</v>
      </c>
    </row>
    <row r="4636" spans="2:5">
      <c r="B4636" s="65" t="str">
        <f t="shared" si="72"/>
        <v>doc-x0042:6</v>
      </c>
      <c r="C4636" t="s">
        <v>10499</v>
      </c>
      <c r="D4636">
        <v>6</v>
      </c>
      <c r="E4636" t="s">
        <v>1724</v>
      </c>
    </row>
    <row r="4637" spans="2:5">
      <c r="B4637" s="65" t="str">
        <f t="shared" si="72"/>
        <v>doc-x0043:1</v>
      </c>
      <c r="C4637" t="s">
        <v>10500</v>
      </c>
      <c r="D4637">
        <v>1</v>
      </c>
      <c r="E4637" t="s">
        <v>1550</v>
      </c>
    </row>
    <row r="4638" spans="2:5">
      <c r="B4638" s="65" t="str">
        <f t="shared" si="72"/>
        <v>doc-x0043:2</v>
      </c>
      <c r="C4638" t="s">
        <v>10500</v>
      </c>
      <c r="D4638">
        <v>2</v>
      </c>
      <c r="E4638" t="s">
        <v>1111</v>
      </c>
    </row>
    <row r="4639" spans="2:5">
      <c r="B4639" s="65" t="str">
        <f t="shared" si="72"/>
        <v>doc-x0043:3</v>
      </c>
      <c r="C4639" t="s">
        <v>10500</v>
      </c>
      <c r="D4639">
        <v>3</v>
      </c>
      <c r="E4639" t="s">
        <v>107</v>
      </c>
    </row>
    <row r="4640" spans="2:5">
      <c r="B4640" s="65" t="str">
        <f t="shared" si="72"/>
        <v>doc-x0044:1</v>
      </c>
      <c r="C4640" t="s">
        <v>10501</v>
      </c>
      <c r="D4640">
        <v>1</v>
      </c>
      <c r="E4640" t="s">
        <v>1221</v>
      </c>
    </row>
    <row r="4641" spans="2:5">
      <c r="B4641" s="65" t="str">
        <f t="shared" si="72"/>
        <v>doc-x0044:2</v>
      </c>
      <c r="C4641" t="s">
        <v>10501</v>
      </c>
      <c r="D4641">
        <v>2</v>
      </c>
      <c r="E4641" t="s">
        <v>1227</v>
      </c>
    </row>
    <row r="4642" spans="2:5">
      <c r="B4642" s="65" t="str">
        <f t="shared" si="72"/>
        <v>doc-x0044:3</v>
      </c>
      <c r="C4642" t="s">
        <v>10501</v>
      </c>
      <c r="D4642">
        <v>3</v>
      </c>
      <c r="E4642" t="s">
        <v>1203</v>
      </c>
    </row>
    <row r="4643" spans="2:5">
      <c r="B4643" s="65" t="str">
        <f t="shared" si="72"/>
        <v>doc-x0044:4</v>
      </c>
      <c r="C4643" t="s">
        <v>10501</v>
      </c>
      <c r="D4643">
        <v>4</v>
      </c>
      <c r="E4643" t="s">
        <v>82</v>
      </c>
    </row>
    <row r="4644" spans="2:5">
      <c r="B4644" s="65" t="str">
        <f t="shared" si="72"/>
        <v>doc-x0044:5</v>
      </c>
      <c r="C4644" t="s">
        <v>10501</v>
      </c>
      <c r="D4644">
        <v>5</v>
      </c>
      <c r="E4644" t="s">
        <v>79</v>
      </c>
    </row>
    <row r="4645" spans="2:5">
      <c r="B4645" s="65" t="str">
        <f t="shared" si="72"/>
        <v>doc-x0044:6</v>
      </c>
      <c r="C4645" t="s">
        <v>10501</v>
      </c>
      <c r="D4645">
        <v>6</v>
      </c>
      <c r="E4645" t="s">
        <v>1078</v>
      </c>
    </row>
    <row r="4646" spans="2:5">
      <c r="B4646" s="65" t="str">
        <f t="shared" si="72"/>
        <v>doc-x0044:7</v>
      </c>
      <c r="C4646" t="s">
        <v>10501</v>
      </c>
      <c r="D4646">
        <v>7</v>
      </c>
      <c r="E4646" t="s">
        <v>107</v>
      </c>
    </row>
    <row r="4647" spans="2:5">
      <c r="B4647" s="65" t="str">
        <f t="shared" si="72"/>
        <v>doc-x0045:1</v>
      </c>
      <c r="C4647" t="s">
        <v>10502</v>
      </c>
      <c r="D4647">
        <v>1</v>
      </c>
      <c r="E4647" t="s">
        <v>90</v>
      </c>
    </row>
    <row r="4648" spans="2:5">
      <c r="B4648" s="65" t="str">
        <f t="shared" si="72"/>
        <v>doc-x0045:2</v>
      </c>
      <c r="C4648" t="s">
        <v>10502</v>
      </c>
      <c r="D4648">
        <v>2</v>
      </c>
      <c r="E4648" t="s">
        <v>107</v>
      </c>
    </row>
    <row r="4649" spans="2:5">
      <c r="B4649" s="65" t="str">
        <f t="shared" si="72"/>
        <v>doc-x0045:3</v>
      </c>
      <c r="C4649" t="s">
        <v>10502</v>
      </c>
      <c r="D4649">
        <v>3</v>
      </c>
      <c r="E4649" t="s">
        <v>1119</v>
      </c>
    </row>
    <row r="4650" spans="2:5">
      <c r="B4650" s="65" t="str">
        <f t="shared" si="72"/>
        <v>doc-x0045:4</v>
      </c>
      <c r="C4650" t="s">
        <v>10502</v>
      </c>
      <c r="D4650">
        <v>4</v>
      </c>
      <c r="E4650" t="s">
        <v>1916</v>
      </c>
    </row>
    <row r="4651" spans="2:5">
      <c r="B4651" s="65" t="str">
        <f t="shared" si="72"/>
        <v>doc-x0045:5</v>
      </c>
      <c r="C4651" t="s">
        <v>10502</v>
      </c>
      <c r="D4651">
        <v>5</v>
      </c>
      <c r="E4651" t="s">
        <v>2967</v>
      </c>
    </row>
    <row r="4652" spans="2:5">
      <c r="B4652" s="65" t="str">
        <f t="shared" si="72"/>
        <v>doc-x0045:6</v>
      </c>
      <c r="C4652" t="s">
        <v>10502</v>
      </c>
      <c r="D4652">
        <v>6</v>
      </c>
      <c r="E4652" t="s">
        <v>299</v>
      </c>
    </row>
    <row r="4653" spans="2:5">
      <c r="B4653" s="65" t="str">
        <f t="shared" si="72"/>
        <v>doc-x0046:1</v>
      </c>
      <c r="C4653" t="s">
        <v>10503</v>
      </c>
      <c r="D4653">
        <v>1</v>
      </c>
      <c r="E4653" t="s">
        <v>107</v>
      </c>
    </row>
    <row r="4654" spans="2:5">
      <c r="B4654" s="65" t="str">
        <f t="shared" si="72"/>
        <v>doc-x0046:2</v>
      </c>
      <c r="C4654" t="s">
        <v>10503</v>
      </c>
      <c r="D4654">
        <v>2</v>
      </c>
      <c r="E4654" t="s">
        <v>1575</v>
      </c>
    </row>
    <row r="4655" spans="2:5">
      <c r="B4655" s="65" t="str">
        <f t="shared" si="72"/>
        <v>doc-x0046:3</v>
      </c>
      <c r="C4655" t="s">
        <v>10503</v>
      </c>
      <c r="D4655">
        <v>3</v>
      </c>
      <c r="E4655" t="s">
        <v>1550</v>
      </c>
    </row>
    <row r="4656" spans="2:5">
      <c r="B4656" s="65" t="str">
        <f t="shared" si="72"/>
        <v>doc-x0046:4</v>
      </c>
      <c r="C4656" t="s">
        <v>10503</v>
      </c>
      <c r="D4656">
        <v>4</v>
      </c>
      <c r="E4656" t="s">
        <v>1747</v>
      </c>
    </row>
    <row r="4657" spans="2:5">
      <c r="B4657" s="65" t="str">
        <f t="shared" si="72"/>
        <v>doc-x0046:5</v>
      </c>
      <c r="C4657" t="s">
        <v>10503</v>
      </c>
      <c r="D4657">
        <v>5</v>
      </c>
      <c r="E4657" t="s">
        <v>302</v>
      </c>
    </row>
    <row r="4658" spans="2:5">
      <c r="B4658" s="65" t="str">
        <f t="shared" si="72"/>
        <v>doc-x0047:1</v>
      </c>
      <c r="C4658" t="s">
        <v>10504</v>
      </c>
      <c r="D4658">
        <v>1</v>
      </c>
      <c r="E4658" t="s">
        <v>1070</v>
      </c>
    </row>
    <row r="4659" spans="2:5">
      <c r="B4659" s="65" t="str">
        <f t="shared" si="72"/>
        <v>doc-x0047:2</v>
      </c>
      <c r="C4659" t="s">
        <v>10504</v>
      </c>
      <c r="D4659">
        <v>2</v>
      </c>
      <c r="E4659" t="s">
        <v>107</v>
      </c>
    </row>
    <row r="4660" spans="2:5">
      <c r="B4660" s="65" t="str">
        <f t="shared" si="72"/>
        <v>doc-x0047:3</v>
      </c>
      <c r="C4660" t="s">
        <v>10504</v>
      </c>
      <c r="D4660">
        <v>3</v>
      </c>
      <c r="E4660" t="s">
        <v>1581</v>
      </c>
    </row>
    <row r="4661" spans="2:5">
      <c r="B4661" s="65" t="str">
        <f t="shared" si="72"/>
        <v>doc-x0047:4</v>
      </c>
      <c r="C4661" t="s">
        <v>10504</v>
      </c>
      <c r="D4661">
        <v>4</v>
      </c>
      <c r="E4661" t="s">
        <v>92</v>
      </c>
    </row>
    <row r="4662" spans="2:5">
      <c r="B4662" s="65" t="str">
        <f t="shared" si="72"/>
        <v>doc-x0047:5</v>
      </c>
      <c r="C4662" t="s">
        <v>10504</v>
      </c>
      <c r="D4662">
        <v>5</v>
      </c>
      <c r="E4662" t="s">
        <v>1744</v>
      </c>
    </row>
    <row r="4663" spans="2:5">
      <c r="B4663" s="65" t="str">
        <f t="shared" si="72"/>
        <v>doc-x0047:6</v>
      </c>
      <c r="C4663" t="s">
        <v>10504</v>
      </c>
      <c r="D4663">
        <v>6</v>
      </c>
      <c r="E4663" t="s">
        <v>1724</v>
      </c>
    </row>
    <row r="4664" spans="2:5">
      <c r="B4664" s="65" t="str">
        <f t="shared" si="72"/>
        <v>doc-x0048:1</v>
      </c>
      <c r="C4664" t="s">
        <v>10505</v>
      </c>
      <c r="D4664">
        <v>1</v>
      </c>
      <c r="E4664" t="s">
        <v>107</v>
      </c>
    </row>
    <row r="4665" spans="2:5">
      <c r="B4665" s="65" t="str">
        <f t="shared" si="72"/>
        <v>doc-x0048:2</v>
      </c>
      <c r="C4665" t="s">
        <v>10505</v>
      </c>
      <c r="D4665">
        <v>2</v>
      </c>
      <c r="E4665" t="s">
        <v>1084</v>
      </c>
    </row>
    <row r="4666" spans="2:5">
      <c r="B4666" s="65" t="str">
        <f t="shared" si="72"/>
        <v>doc-x0049:1</v>
      </c>
      <c r="C4666" t="s">
        <v>10506</v>
      </c>
      <c r="D4666">
        <v>1</v>
      </c>
      <c r="E4666" t="s">
        <v>2571</v>
      </c>
    </row>
    <row r="4667" spans="2:5">
      <c r="B4667" s="65" t="str">
        <f t="shared" si="72"/>
        <v>doc-x0049:2</v>
      </c>
      <c r="C4667" t="s">
        <v>10506</v>
      </c>
      <c r="D4667">
        <v>2</v>
      </c>
      <c r="E4667" t="s">
        <v>3134</v>
      </c>
    </row>
    <row r="4668" spans="2:5">
      <c r="B4668" s="65" t="str">
        <f t="shared" si="72"/>
        <v>doc-x0049:3</v>
      </c>
      <c r="C4668" t="s">
        <v>10506</v>
      </c>
      <c r="D4668">
        <v>3</v>
      </c>
      <c r="E4668" t="s">
        <v>3139</v>
      </c>
    </row>
    <row r="4669" spans="2:5">
      <c r="B4669" s="65" t="str">
        <f t="shared" si="72"/>
        <v>doc-x0049:4</v>
      </c>
      <c r="C4669" t="s">
        <v>10506</v>
      </c>
      <c r="D4669">
        <v>4</v>
      </c>
      <c r="E4669" t="s">
        <v>107</v>
      </c>
    </row>
    <row r="4670" spans="2:5">
      <c r="B4670" s="65" t="str">
        <f t="shared" si="72"/>
        <v>doc-x0049:5</v>
      </c>
      <c r="C4670" t="s">
        <v>10506</v>
      </c>
      <c r="D4670">
        <v>5</v>
      </c>
      <c r="E4670" t="s">
        <v>1248</v>
      </c>
    </row>
    <row r="4671" spans="2:5">
      <c r="B4671" s="65" t="str">
        <f t="shared" si="72"/>
        <v>doc-x0049:6</v>
      </c>
      <c r="C4671" t="s">
        <v>10506</v>
      </c>
      <c r="D4671">
        <v>6</v>
      </c>
      <c r="E4671" t="s">
        <v>1747</v>
      </c>
    </row>
    <row r="4672" spans="2:5">
      <c r="B4672" s="65" t="str">
        <f t="shared" si="72"/>
        <v>doc-x0050:1</v>
      </c>
      <c r="C4672" t="s">
        <v>10507</v>
      </c>
      <c r="D4672">
        <v>1</v>
      </c>
      <c r="E4672" t="s">
        <v>2266</v>
      </c>
    </row>
    <row r="4673" spans="2:5">
      <c r="B4673" s="65" t="str">
        <f t="shared" si="72"/>
        <v>doc-x0050:2</v>
      </c>
      <c r="C4673" t="s">
        <v>10507</v>
      </c>
      <c r="D4673">
        <v>2</v>
      </c>
      <c r="E4673" t="s">
        <v>1833</v>
      </c>
    </row>
    <row r="4674" spans="2:5">
      <c r="B4674" s="65" t="str">
        <f t="shared" si="72"/>
        <v>doc-x0050:3</v>
      </c>
      <c r="C4674" t="s">
        <v>10507</v>
      </c>
      <c r="D4674">
        <v>3</v>
      </c>
      <c r="E4674" t="s">
        <v>1108</v>
      </c>
    </row>
    <row r="4675" spans="2:5">
      <c r="B4675" s="65" t="str">
        <f t="shared" si="72"/>
        <v>doc-x0050:4</v>
      </c>
      <c r="C4675" t="s">
        <v>10507</v>
      </c>
      <c r="D4675">
        <v>4</v>
      </c>
      <c r="E4675" t="s">
        <v>107</v>
      </c>
    </row>
    <row r="4676" spans="2:5">
      <c r="B4676" s="65" t="str">
        <f t="shared" ref="B4676:B4739" si="73">$C4676&amp;":"&amp;$D4676</f>
        <v>doc-x0051:1</v>
      </c>
      <c r="C4676" t="s">
        <v>10508</v>
      </c>
      <c r="D4676">
        <v>1</v>
      </c>
      <c r="E4676" t="s">
        <v>107</v>
      </c>
    </row>
    <row r="4677" spans="2:5">
      <c r="B4677" s="65" t="str">
        <f t="shared" si="73"/>
        <v>doc-x0051:2</v>
      </c>
      <c r="C4677" t="s">
        <v>10508</v>
      </c>
      <c r="D4677">
        <v>2</v>
      </c>
      <c r="E4677" t="s">
        <v>1550</v>
      </c>
    </row>
    <row r="4678" spans="2:5">
      <c r="B4678" s="65" t="str">
        <f t="shared" si="73"/>
        <v>doc-x0051:3</v>
      </c>
      <c r="C4678" t="s">
        <v>10508</v>
      </c>
      <c r="D4678">
        <v>3</v>
      </c>
      <c r="E4678" t="s">
        <v>2003</v>
      </c>
    </row>
    <row r="4679" spans="2:5">
      <c r="B4679" s="65" t="str">
        <f t="shared" si="73"/>
        <v>doc-x0051:4</v>
      </c>
      <c r="C4679" t="s">
        <v>10508</v>
      </c>
      <c r="D4679">
        <v>4</v>
      </c>
      <c r="E4679" t="s">
        <v>1747</v>
      </c>
    </row>
    <row r="4680" spans="2:5">
      <c r="B4680" s="65" t="str">
        <f t="shared" si="73"/>
        <v>doc-x0052:1</v>
      </c>
      <c r="C4680" t="s">
        <v>10509</v>
      </c>
      <c r="D4680">
        <v>1</v>
      </c>
      <c r="E4680" t="s">
        <v>90</v>
      </c>
    </row>
    <row r="4681" spans="2:5">
      <c r="B4681" s="65" t="str">
        <f t="shared" si="73"/>
        <v>doc-x0052:2</v>
      </c>
      <c r="C4681" t="s">
        <v>10509</v>
      </c>
      <c r="D4681">
        <v>2</v>
      </c>
      <c r="E4681" t="s">
        <v>107</v>
      </c>
    </row>
    <row r="4682" spans="2:5">
      <c r="B4682" s="65" t="str">
        <f t="shared" si="73"/>
        <v>doc-x0052:3</v>
      </c>
      <c r="C4682" t="s">
        <v>10509</v>
      </c>
      <c r="D4682">
        <v>3</v>
      </c>
      <c r="E4682" t="s">
        <v>1127</v>
      </c>
    </row>
    <row r="4683" spans="2:5">
      <c r="B4683" s="65" t="str">
        <f t="shared" si="73"/>
        <v>doc-x0052:4</v>
      </c>
      <c r="C4683" t="s">
        <v>10509</v>
      </c>
      <c r="D4683">
        <v>4</v>
      </c>
      <c r="E4683" t="s">
        <v>2967</v>
      </c>
    </row>
    <row r="4684" spans="2:5">
      <c r="B4684" s="65" t="str">
        <f t="shared" si="73"/>
        <v>doc-x0052:5</v>
      </c>
      <c r="C4684" t="s">
        <v>10509</v>
      </c>
      <c r="D4684">
        <v>5</v>
      </c>
      <c r="E4684" t="s">
        <v>299</v>
      </c>
    </row>
    <row r="4685" spans="2:5">
      <c r="B4685" s="65" t="str">
        <f t="shared" si="73"/>
        <v>doc-x0054:1</v>
      </c>
      <c r="C4685" t="s">
        <v>10510</v>
      </c>
      <c r="D4685">
        <v>1</v>
      </c>
      <c r="E4685" t="s">
        <v>1856</v>
      </c>
    </row>
    <row r="4686" spans="2:5">
      <c r="B4686" s="65" t="str">
        <f t="shared" si="73"/>
        <v>doc-x0054:2</v>
      </c>
      <c r="C4686" t="s">
        <v>10510</v>
      </c>
      <c r="D4686">
        <v>2</v>
      </c>
      <c r="E4686" t="s">
        <v>1084</v>
      </c>
    </row>
    <row r="4687" spans="2:5">
      <c r="B4687" s="65" t="str">
        <f t="shared" si="73"/>
        <v>doc-x0054:3</v>
      </c>
      <c r="C4687" t="s">
        <v>10510</v>
      </c>
      <c r="D4687">
        <v>3</v>
      </c>
      <c r="E4687" t="s">
        <v>107</v>
      </c>
    </row>
    <row r="4688" spans="2:5">
      <c r="B4688" s="65" t="str">
        <f t="shared" si="73"/>
        <v>doc-x0055:1</v>
      </c>
      <c r="C4688" t="s">
        <v>10511</v>
      </c>
      <c r="D4688">
        <v>1</v>
      </c>
      <c r="E4688" t="s">
        <v>1550</v>
      </c>
    </row>
    <row r="4689" spans="2:5">
      <c r="B4689" s="65" t="str">
        <f t="shared" si="73"/>
        <v>doc-x0055:2</v>
      </c>
      <c r="C4689" t="s">
        <v>10511</v>
      </c>
      <c r="D4689">
        <v>2</v>
      </c>
      <c r="E4689" t="s">
        <v>107</v>
      </c>
    </row>
    <row r="4690" spans="2:5">
      <c r="B4690" s="65" t="str">
        <f t="shared" si="73"/>
        <v>doc-x0056:1</v>
      </c>
      <c r="C4690" t="s">
        <v>10512</v>
      </c>
      <c r="D4690">
        <v>1</v>
      </c>
      <c r="E4690" t="s">
        <v>107</v>
      </c>
    </row>
    <row r="4691" spans="2:5">
      <c r="B4691" s="65" t="str">
        <f t="shared" si="73"/>
        <v>doc-x0056:2</v>
      </c>
      <c r="C4691" t="s">
        <v>10512</v>
      </c>
      <c r="D4691">
        <v>2</v>
      </c>
      <c r="E4691" t="s">
        <v>1550</v>
      </c>
    </row>
    <row r="4692" spans="2:5">
      <c r="B4692" s="65" t="str">
        <f t="shared" si="73"/>
        <v>doc-x0057:1</v>
      </c>
      <c r="C4692" t="s">
        <v>10513</v>
      </c>
      <c r="D4692">
        <v>1</v>
      </c>
      <c r="E4692" t="s">
        <v>1321</v>
      </c>
    </row>
    <row r="4693" spans="2:5">
      <c r="B4693" s="65" t="str">
        <f t="shared" si="73"/>
        <v>doc-x0057:2</v>
      </c>
      <c r="C4693" t="s">
        <v>10513</v>
      </c>
      <c r="D4693">
        <v>2</v>
      </c>
      <c r="E4693" t="s">
        <v>1263</v>
      </c>
    </row>
    <row r="4694" spans="2:5">
      <c r="B4694" s="65" t="str">
        <f t="shared" si="73"/>
        <v>doc-x0057:3</v>
      </c>
      <c r="C4694" t="s">
        <v>10513</v>
      </c>
      <c r="D4694">
        <v>3</v>
      </c>
      <c r="E4694" t="s">
        <v>254</v>
      </c>
    </row>
    <row r="4695" spans="2:5">
      <c r="B4695" s="65" t="str">
        <f t="shared" si="73"/>
        <v>doc-x0057:4</v>
      </c>
      <c r="C4695" t="s">
        <v>10513</v>
      </c>
      <c r="D4695">
        <v>4</v>
      </c>
      <c r="E4695" t="s">
        <v>1272</v>
      </c>
    </row>
    <row r="4696" spans="2:5">
      <c r="B4696" s="65" t="str">
        <f t="shared" si="73"/>
        <v>doc-x0057:5</v>
      </c>
      <c r="C4696" t="s">
        <v>10513</v>
      </c>
      <c r="D4696">
        <v>5</v>
      </c>
      <c r="E4696" t="s">
        <v>3231</v>
      </c>
    </row>
    <row r="4697" spans="2:5">
      <c r="B4697" s="65" t="str">
        <f t="shared" si="73"/>
        <v>doc-x0057:6</v>
      </c>
      <c r="C4697" t="s">
        <v>10513</v>
      </c>
      <c r="D4697">
        <v>6</v>
      </c>
      <c r="E4697" t="s">
        <v>3061</v>
      </c>
    </row>
    <row r="4698" spans="2:5">
      <c r="B4698" s="65" t="str">
        <f t="shared" si="73"/>
        <v>doc-x0058:1</v>
      </c>
      <c r="C4698" t="s">
        <v>10514</v>
      </c>
      <c r="D4698">
        <v>1</v>
      </c>
      <c r="E4698" t="s">
        <v>3061</v>
      </c>
    </row>
    <row r="4699" spans="2:5">
      <c r="B4699" s="65" t="str">
        <f t="shared" si="73"/>
        <v>doc-x0058:2</v>
      </c>
      <c r="C4699" t="s">
        <v>10514</v>
      </c>
      <c r="D4699">
        <v>2</v>
      </c>
      <c r="E4699" t="s">
        <v>254</v>
      </c>
    </row>
    <row r="4700" spans="2:5">
      <c r="B4700" s="65" t="str">
        <f t="shared" si="73"/>
        <v>doc-x0059:1</v>
      </c>
      <c r="C4700" t="s">
        <v>10515</v>
      </c>
      <c r="D4700">
        <v>1</v>
      </c>
      <c r="E4700" t="s">
        <v>3061</v>
      </c>
    </row>
    <row r="4701" spans="2:5">
      <c r="B4701" s="65" t="str">
        <f t="shared" si="73"/>
        <v>doc-x0059:2</v>
      </c>
      <c r="C4701" t="s">
        <v>10515</v>
      </c>
      <c r="D4701">
        <v>2</v>
      </c>
      <c r="E4701" t="s">
        <v>254</v>
      </c>
    </row>
    <row r="4702" spans="2:5">
      <c r="B4702" s="65" t="str">
        <f t="shared" si="73"/>
        <v>doc-x0060:1</v>
      </c>
      <c r="C4702" t="s">
        <v>10516</v>
      </c>
      <c r="D4702">
        <v>1</v>
      </c>
      <c r="E4702" t="s">
        <v>3061</v>
      </c>
    </row>
    <row r="4703" spans="2:5">
      <c r="B4703" s="65" t="str">
        <f t="shared" si="73"/>
        <v>doc-x0061:1</v>
      </c>
      <c r="C4703" t="s">
        <v>10517</v>
      </c>
      <c r="D4703">
        <v>1</v>
      </c>
      <c r="E4703" t="s">
        <v>2455</v>
      </c>
    </row>
    <row r="4704" spans="2:5">
      <c r="B4704" s="65" t="str">
        <f t="shared" si="73"/>
        <v>doc-x0061:2</v>
      </c>
      <c r="C4704" t="s">
        <v>10517</v>
      </c>
      <c r="D4704">
        <v>2</v>
      </c>
      <c r="E4704" t="s">
        <v>82</v>
      </c>
    </row>
    <row r="4705" spans="2:5">
      <c r="B4705" s="65" t="str">
        <f t="shared" si="73"/>
        <v>doc-x0061:3</v>
      </c>
      <c r="C4705" t="s">
        <v>10517</v>
      </c>
      <c r="D4705">
        <v>3</v>
      </c>
      <c r="E4705" t="s">
        <v>79</v>
      </c>
    </row>
    <row r="4706" spans="2:5">
      <c r="B4706" s="65" t="str">
        <f t="shared" si="73"/>
        <v>doc-x0061:4</v>
      </c>
      <c r="C4706" t="s">
        <v>10517</v>
      </c>
      <c r="D4706">
        <v>4</v>
      </c>
      <c r="E4706" t="s">
        <v>3061</v>
      </c>
    </row>
    <row r="4707" spans="2:5">
      <c r="B4707" s="65" t="str">
        <f t="shared" si="73"/>
        <v>doc-x0062:1</v>
      </c>
      <c r="C4707" t="s">
        <v>10518</v>
      </c>
      <c r="D4707">
        <v>1</v>
      </c>
      <c r="E4707" t="s">
        <v>2455</v>
      </c>
    </row>
    <row r="4708" spans="2:5">
      <c r="B4708" s="65" t="str">
        <f t="shared" si="73"/>
        <v>doc-x0062:2</v>
      </c>
      <c r="C4708" t="s">
        <v>10518</v>
      </c>
      <c r="D4708">
        <v>2</v>
      </c>
      <c r="E4708" t="s">
        <v>2452</v>
      </c>
    </row>
    <row r="4709" spans="2:5">
      <c r="B4709" s="65" t="str">
        <f t="shared" si="73"/>
        <v>doc-x0062:3</v>
      </c>
      <c r="C4709" t="s">
        <v>10518</v>
      </c>
      <c r="D4709">
        <v>3</v>
      </c>
      <c r="E4709" t="s">
        <v>2430</v>
      </c>
    </row>
    <row r="4710" spans="2:5">
      <c r="B4710" s="65" t="str">
        <f t="shared" si="73"/>
        <v>doc-x0062:4</v>
      </c>
      <c r="C4710" t="s">
        <v>10518</v>
      </c>
      <c r="D4710">
        <v>4</v>
      </c>
      <c r="E4710" t="s">
        <v>3061</v>
      </c>
    </row>
    <row r="4711" spans="2:5">
      <c r="B4711" s="65" t="str">
        <f t="shared" si="73"/>
        <v>doc-x0063:1</v>
      </c>
      <c r="C4711" t="s">
        <v>10519</v>
      </c>
      <c r="D4711">
        <v>1</v>
      </c>
      <c r="E4711" t="s">
        <v>3066</v>
      </c>
    </row>
    <row r="4712" spans="2:5">
      <c r="B4712" s="65" t="str">
        <f t="shared" si="73"/>
        <v>doc-x0063:2</v>
      </c>
      <c r="C4712" t="s">
        <v>10519</v>
      </c>
      <c r="D4712">
        <v>2</v>
      </c>
      <c r="E4712" t="s">
        <v>3061</v>
      </c>
    </row>
    <row r="4713" spans="2:5">
      <c r="B4713" s="65" t="str">
        <f t="shared" si="73"/>
        <v>doc-x0063:3</v>
      </c>
      <c r="C4713" t="s">
        <v>10519</v>
      </c>
      <c r="D4713">
        <v>3</v>
      </c>
      <c r="E4713" t="s">
        <v>79</v>
      </c>
    </row>
    <row r="4714" spans="2:5">
      <c r="B4714" s="65" t="str">
        <f t="shared" si="73"/>
        <v>doc-x0063:4</v>
      </c>
      <c r="C4714" t="s">
        <v>10519</v>
      </c>
      <c r="D4714">
        <v>4</v>
      </c>
      <c r="E4714" t="s">
        <v>3058</v>
      </c>
    </row>
    <row r="4715" spans="2:5">
      <c r="B4715" s="65" t="str">
        <f t="shared" si="73"/>
        <v>doc-x0063:5</v>
      </c>
      <c r="C4715" t="s">
        <v>10519</v>
      </c>
      <c r="D4715">
        <v>5</v>
      </c>
      <c r="E4715" t="s">
        <v>254</v>
      </c>
    </row>
    <row r="4716" spans="2:5">
      <c r="B4716" s="65" t="str">
        <f t="shared" si="73"/>
        <v>doc-x0064:1</v>
      </c>
      <c r="C4716" t="s">
        <v>10520</v>
      </c>
      <c r="D4716">
        <v>1</v>
      </c>
      <c r="E4716" t="s">
        <v>1065</v>
      </c>
    </row>
    <row r="4717" spans="2:5">
      <c r="B4717" s="65" t="str">
        <f t="shared" si="73"/>
        <v>doc-x0064:2</v>
      </c>
      <c r="C4717" t="s">
        <v>10520</v>
      </c>
      <c r="D4717">
        <v>2</v>
      </c>
      <c r="E4717" t="s">
        <v>1059</v>
      </c>
    </row>
    <row r="4718" spans="2:5">
      <c r="B4718" s="65" t="str">
        <f t="shared" si="73"/>
        <v>doc-x0064:3</v>
      </c>
      <c r="C4718" t="s">
        <v>10520</v>
      </c>
      <c r="D4718">
        <v>3</v>
      </c>
      <c r="E4718" t="s">
        <v>3061</v>
      </c>
    </row>
    <row r="4719" spans="2:5">
      <c r="B4719" s="65" t="str">
        <f t="shared" si="73"/>
        <v>doc-x0065:1</v>
      </c>
      <c r="C4719" t="s">
        <v>10521</v>
      </c>
      <c r="D4719">
        <v>1</v>
      </c>
      <c r="E4719" t="s">
        <v>1056</v>
      </c>
    </row>
    <row r="4720" spans="2:5">
      <c r="B4720" s="65" t="str">
        <f t="shared" si="73"/>
        <v>doc-x0065:2</v>
      </c>
      <c r="C4720" t="s">
        <v>10521</v>
      </c>
      <c r="D4720">
        <v>2</v>
      </c>
      <c r="E4720" t="s">
        <v>1065</v>
      </c>
    </row>
    <row r="4721" spans="2:5">
      <c r="B4721" s="65" t="str">
        <f t="shared" si="73"/>
        <v>doc-x0065:3</v>
      </c>
      <c r="C4721" t="s">
        <v>10521</v>
      </c>
      <c r="D4721">
        <v>3</v>
      </c>
      <c r="E4721" t="s">
        <v>3061</v>
      </c>
    </row>
    <row r="4722" spans="2:5">
      <c r="B4722" s="65" t="str">
        <f t="shared" si="73"/>
        <v>doc-x0065:4</v>
      </c>
      <c r="C4722" t="s">
        <v>10521</v>
      </c>
      <c r="D4722">
        <v>4</v>
      </c>
      <c r="E4722" t="s">
        <v>1062</v>
      </c>
    </row>
    <row r="4723" spans="2:5">
      <c r="B4723" s="65" t="str">
        <f t="shared" si="73"/>
        <v>doc-x0066:1</v>
      </c>
      <c r="C4723" t="s">
        <v>10522</v>
      </c>
      <c r="D4723">
        <v>1</v>
      </c>
      <c r="E4723" t="s">
        <v>3061</v>
      </c>
    </row>
    <row r="4724" spans="2:5">
      <c r="B4724" s="65" t="str">
        <f t="shared" si="73"/>
        <v>doc-x0067:1</v>
      </c>
      <c r="C4724" t="s">
        <v>10523</v>
      </c>
      <c r="D4724">
        <v>1</v>
      </c>
      <c r="E4724" t="s">
        <v>3061</v>
      </c>
    </row>
    <row r="4725" spans="2:5">
      <c r="B4725" s="65" t="str">
        <f t="shared" si="73"/>
        <v>doc-x0068:1</v>
      </c>
      <c r="C4725" t="s">
        <v>10524</v>
      </c>
      <c r="D4725">
        <v>1</v>
      </c>
      <c r="E4725" t="s">
        <v>3061</v>
      </c>
    </row>
    <row r="4726" spans="2:5">
      <c r="B4726" s="65" t="str">
        <f t="shared" si="73"/>
        <v>doc-x0068:2</v>
      </c>
      <c r="C4726" t="s">
        <v>10524</v>
      </c>
      <c r="D4726">
        <v>2</v>
      </c>
      <c r="E4726" t="s">
        <v>79</v>
      </c>
    </row>
    <row r="4727" spans="2:5">
      <c r="B4727" s="65" t="str">
        <f t="shared" si="73"/>
        <v>doc-x0068:3</v>
      </c>
      <c r="C4727" t="s">
        <v>10524</v>
      </c>
      <c r="D4727">
        <v>3</v>
      </c>
      <c r="E4727" t="s">
        <v>2455</v>
      </c>
    </row>
    <row r="4728" spans="2:5">
      <c r="B4728" s="65" t="str">
        <f t="shared" si="73"/>
        <v>doc-x0068:4</v>
      </c>
      <c r="C4728" t="s">
        <v>10524</v>
      </c>
      <c r="D4728">
        <v>4</v>
      </c>
      <c r="E4728" t="s">
        <v>82</v>
      </c>
    </row>
    <row r="4729" spans="2:5">
      <c r="B4729" s="65" t="str">
        <f t="shared" si="73"/>
        <v>doc-x0068:5</v>
      </c>
      <c r="C4729" t="s">
        <v>10524</v>
      </c>
      <c r="D4729">
        <v>5</v>
      </c>
      <c r="E4729" t="s">
        <v>3066</v>
      </c>
    </row>
    <row r="4730" spans="2:5">
      <c r="B4730" s="65" t="str">
        <f t="shared" si="73"/>
        <v>doc-x0068:6</v>
      </c>
      <c r="C4730" t="s">
        <v>10524</v>
      </c>
      <c r="D4730">
        <v>6</v>
      </c>
      <c r="E4730" t="s">
        <v>3058</v>
      </c>
    </row>
    <row r="4731" spans="2:5">
      <c r="B4731" s="65" t="str">
        <f t="shared" si="73"/>
        <v>doc-x0069:1</v>
      </c>
      <c r="C4731" t="s">
        <v>10525</v>
      </c>
      <c r="D4731">
        <v>1</v>
      </c>
      <c r="E4731" t="s">
        <v>3061</v>
      </c>
    </row>
    <row r="4732" spans="2:5">
      <c r="B4732" s="65" t="str">
        <f t="shared" si="73"/>
        <v>doc-x0069:2</v>
      </c>
      <c r="C4732" t="s">
        <v>10525</v>
      </c>
      <c r="D4732">
        <v>2</v>
      </c>
      <c r="E4732" t="s">
        <v>3066</v>
      </c>
    </row>
    <row r="4733" spans="2:5">
      <c r="B4733" s="65" t="str">
        <f t="shared" si="73"/>
        <v>doc-x0069:3</v>
      </c>
      <c r="C4733" t="s">
        <v>10525</v>
      </c>
      <c r="D4733">
        <v>3</v>
      </c>
      <c r="E4733" t="s">
        <v>79</v>
      </c>
    </row>
    <row r="4734" spans="2:5">
      <c r="B4734" s="65" t="str">
        <f t="shared" si="73"/>
        <v>doc-x0069:4</v>
      </c>
      <c r="C4734" t="s">
        <v>10525</v>
      </c>
      <c r="D4734">
        <v>4</v>
      </c>
      <c r="E4734" t="s">
        <v>254</v>
      </c>
    </row>
    <row r="4735" spans="2:5">
      <c r="B4735" s="65" t="str">
        <f t="shared" si="73"/>
        <v>doc-x0069:5</v>
      </c>
      <c r="C4735" t="s">
        <v>10525</v>
      </c>
      <c r="D4735">
        <v>5</v>
      </c>
      <c r="E4735" t="s">
        <v>3058</v>
      </c>
    </row>
    <row r="4736" spans="2:5">
      <c r="B4736" s="65" t="str">
        <f t="shared" si="73"/>
        <v>doc-x0070:1</v>
      </c>
      <c r="C4736" t="s">
        <v>10526</v>
      </c>
      <c r="D4736">
        <v>1</v>
      </c>
      <c r="E4736" t="s">
        <v>3061</v>
      </c>
    </row>
    <row r="4737" spans="2:5">
      <c r="B4737" s="65" t="str">
        <f t="shared" si="73"/>
        <v>doc-x0070:2</v>
      </c>
      <c r="C4737" t="s">
        <v>10526</v>
      </c>
      <c r="D4737">
        <v>2</v>
      </c>
      <c r="E4737" t="s">
        <v>1065</v>
      </c>
    </row>
    <row r="4738" spans="2:5">
      <c r="B4738" s="65" t="str">
        <f t="shared" si="73"/>
        <v>doc-x0070:3</v>
      </c>
      <c r="C4738" t="s">
        <v>10526</v>
      </c>
      <c r="D4738">
        <v>3</v>
      </c>
      <c r="E4738" t="s">
        <v>79</v>
      </c>
    </row>
    <row r="4739" spans="2:5">
      <c r="B4739" s="65" t="str">
        <f t="shared" si="73"/>
        <v>doc-x0070:4</v>
      </c>
      <c r="C4739" t="s">
        <v>10526</v>
      </c>
      <c r="D4739">
        <v>4</v>
      </c>
      <c r="E4739" t="s">
        <v>3066</v>
      </c>
    </row>
    <row r="4740" spans="2:5">
      <c r="B4740" s="65" t="str">
        <f t="shared" ref="B4740:B4803" si="74">$C4740&amp;":"&amp;$D4740</f>
        <v>doc-x0070:5</v>
      </c>
      <c r="C4740" t="s">
        <v>10526</v>
      </c>
      <c r="D4740">
        <v>5</v>
      </c>
      <c r="E4740" t="s">
        <v>254</v>
      </c>
    </row>
    <row r="4741" spans="2:5">
      <c r="B4741" s="65" t="str">
        <f t="shared" si="74"/>
        <v>doc-x0070:6</v>
      </c>
      <c r="C4741" t="s">
        <v>10526</v>
      </c>
      <c r="D4741">
        <v>6</v>
      </c>
      <c r="E4741" t="s">
        <v>3058</v>
      </c>
    </row>
    <row r="4742" spans="2:5">
      <c r="B4742" s="65" t="str">
        <f t="shared" si="74"/>
        <v>doc-x0071:1</v>
      </c>
      <c r="C4742" t="s">
        <v>10527</v>
      </c>
      <c r="D4742">
        <v>1</v>
      </c>
      <c r="E4742" t="s">
        <v>3061</v>
      </c>
    </row>
    <row r="4743" spans="2:5">
      <c r="B4743" s="65" t="str">
        <f t="shared" si="74"/>
        <v>doc-x0071:2</v>
      </c>
      <c r="C4743" t="s">
        <v>10527</v>
      </c>
      <c r="D4743">
        <v>2</v>
      </c>
      <c r="E4743" t="s">
        <v>1065</v>
      </c>
    </row>
    <row r="4744" spans="2:5">
      <c r="B4744" s="65" t="str">
        <f t="shared" si="74"/>
        <v>doc-x0071:3</v>
      </c>
      <c r="C4744" t="s">
        <v>10527</v>
      </c>
      <c r="D4744">
        <v>3</v>
      </c>
      <c r="E4744" t="s">
        <v>254</v>
      </c>
    </row>
    <row r="4745" spans="2:5">
      <c r="B4745" s="65" t="str">
        <f t="shared" si="74"/>
        <v>doc-x0071:4</v>
      </c>
      <c r="C4745" t="s">
        <v>10527</v>
      </c>
      <c r="D4745">
        <v>4</v>
      </c>
      <c r="E4745" t="s">
        <v>3058</v>
      </c>
    </row>
    <row r="4746" spans="2:5">
      <c r="B4746" s="65" t="str">
        <f t="shared" si="74"/>
        <v>doc-x0072:1</v>
      </c>
      <c r="C4746" t="s">
        <v>10528</v>
      </c>
      <c r="D4746">
        <v>1</v>
      </c>
      <c r="E4746" t="s">
        <v>1747</v>
      </c>
    </row>
    <row r="4747" spans="2:5">
      <c r="B4747" s="65" t="str">
        <f t="shared" si="74"/>
        <v>doc-x0072:2</v>
      </c>
      <c r="C4747" t="s">
        <v>10528</v>
      </c>
      <c r="D4747">
        <v>2</v>
      </c>
      <c r="E4747" t="s">
        <v>302</v>
      </c>
    </row>
    <row r="4748" spans="2:5">
      <c r="B4748" s="65" t="str">
        <f t="shared" si="74"/>
        <v>doc-x0072:3</v>
      </c>
      <c r="C4748" t="s">
        <v>10528</v>
      </c>
      <c r="D4748">
        <v>3</v>
      </c>
      <c r="E4748" t="s">
        <v>1770</v>
      </c>
    </row>
    <row r="4749" spans="2:5">
      <c r="B4749" s="65" t="str">
        <f t="shared" si="74"/>
        <v>doc-x0073:1</v>
      </c>
      <c r="C4749" t="s">
        <v>10529</v>
      </c>
      <c r="D4749">
        <v>1</v>
      </c>
      <c r="E4749" t="s">
        <v>2170</v>
      </c>
    </row>
    <row r="4750" spans="2:5">
      <c r="B4750" s="65" t="str">
        <f t="shared" si="74"/>
        <v>doc-x0073:2</v>
      </c>
      <c r="C4750" t="s">
        <v>10529</v>
      </c>
      <c r="D4750">
        <v>2</v>
      </c>
      <c r="E4750" t="s">
        <v>1747</v>
      </c>
    </row>
    <row r="4751" spans="2:5">
      <c r="B4751" s="65" t="str">
        <f t="shared" si="74"/>
        <v>doc-x0073:3</v>
      </c>
      <c r="C4751" t="s">
        <v>10529</v>
      </c>
      <c r="D4751">
        <v>3</v>
      </c>
      <c r="E4751" t="s">
        <v>1854</v>
      </c>
    </row>
    <row r="4752" spans="2:5">
      <c r="B4752" s="65" t="str">
        <f t="shared" si="74"/>
        <v>doc-x0073:4</v>
      </c>
      <c r="C4752" t="s">
        <v>10529</v>
      </c>
      <c r="D4752">
        <v>4</v>
      </c>
      <c r="E4752" t="s">
        <v>1968</v>
      </c>
    </row>
    <row r="4753" spans="2:5">
      <c r="B4753" s="65" t="str">
        <f t="shared" si="74"/>
        <v>doc-x0073:5</v>
      </c>
      <c r="C4753" t="s">
        <v>10529</v>
      </c>
      <c r="D4753">
        <v>5</v>
      </c>
      <c r="E4753" t="s">
        <v>2137</v>
      </c>
    </row>
    <row r="4754" spans="2:5">
      <c r="B4754" s="65" t="str">
        <f t="shared" si="74"/>
        <v>doc-x0074:1</v>
      </c>
      <c r="C4754" t="s">
        <v>10530</v>
      </c>
      <c r="D4754">
        <v>1</v>
      </c>
      <c r="E4754" t="s">
        <v>1747</v>
      </c>
    </row>
    <row r="4755" spans="2:5">
      <c r="B4755" s="65" t="str">
        <f t="shared" si="74"/>
        <v>doc-x0074:2</v>
      </c>
      <c r="C4755" t="s">
        <v>10530</v>
      </c>
      <c r="D4755">
        <v>2</v>
      </c>
      <c r="E4755" t="s">
        <v>302</v>
      </c>
    </row>
    <row r="4756" spans="2:5">
      <c r="B4756" s="65" t="str">
        <f t="shared" si="74"/>
        <v>doc-x0075:1</v>
      </c>
      <c r="C4756" t="s">
        <v>6276</v>
      </c>
      <c r="D4756">
        <v>1</v>
      </c>
      <c r="E4756" t="s">
        <v>2336</v>
      </c>
    </row>
    <row r="4757" spans="2:5">
      <c r="B4757" s="65" t="str">
        <f t="shared" si="74"/>
        <v>doc-x0075:2</v>
      </c>
      <c r="C4757" t="s">
        <v>6276</v>
      </c>
      <c r="D4757">
        <v>2</v>
      </c>
      <c r="E4757" t="s">
        <v>1804</v>
      </c>
    </row>
    <row r="4758" spans="2:5">
      <c r="B4758" s="65" t="str">
        <f t="shared" si="74"/>
        <v>doc-x0075:3</v>
      </c>
      <c r="C4758" t="s">
        <v>6276</v>
      </c>
      <c r="D4758">
        <v>3</v>
      </c>
      <c r="E4758" t="s">
        <v>1747</v>
      </c>
    </row>
    <row r="4759" spans="2:5">
      <c r="B4759" s="65" t="str">
        <f t="shared" si="74"/>
        <v>doc-x0075:4</v>
      </c>
      <c r="C4759" t="s">
        <v>6276</v>
      </c>
      <c r="D4759">
        <v>4</v>
      </c>
      <c r="E4759" t="s">
        <v>281</v>
      </c>
    </row>
    <row r="4760" spans="2:5">
      <c r="B4760" s="65" t="str">
        <f t="shared" si="74"/>
        <v>doc-x0076:1</v>
      </c>
      <c r="C4760" t="s">
        <v>10531</v>
      </c>
      <c r="D4760">
        <v>1</v>
      </c>
      <c r="E4760" t="s">
        <v>1747</v>
      </c>
    </row>
    <row r="4761" spans="2:5">
      <c r="B4761" s="65" t="str">
        <f t="shared" si="74"/>
        <v>doc-x0076:2</v>
      </c>
      <c r="C4761" t="s">
        <v>10531</v>
      </c>
      <c r="D4761">
        <v>2</v>
      </c>
      <c r="E4761" t="s">
        <v>302</v>
      </c>
    </row>
    <row r="4762" spans="2:5">
      <c r="B4762" s="65" t="str">
        <f t="shared" si="74"/>
        <v>doc-x0076:3</v>
      </c>
      <c r="C4762" t="s">
        <v>10531</v>
      </c>
      <c r="D4762">
        <v>3</v>
      </c>
      <c r="E4762" t="s">
        <v>1550</v>
      </c>
    </row>
    <row r="4763" spans="2:5">
      <c r="B4763" s="65" t="str">
        <f t="shared" si="74"/>
        <v>doc-x0077:1</v>
      </c>
      <c r="C4763" t="s">
        <v>10532</v>
      </c>
      <c r="D4763">
        <v>1</v>
      </c>
      <c r="E4763" t="s">
        <v>1070</v>
      </c>
    </row>
    <row r="4764" spans="2:5">
      <c r="B4764" s="65" t="str">
        <f t="shared" si="74"/>
        <v>doc-x0077:2</v>
      </c>
      <c r="C4764" t="s">
        <v>10532</v>
      </c>
      <c r="D4764">
        <v>2</v>
      </c>
      <c r="E4764" t="s">
        <v>1747</v>
      </c>
    </row>
    <row r="4765" spans="2:5">
      <c r="B4765" s="65" t="str">
        <f t="shared" si="74"/>
        <v>doc-x0078:1</v>
      </c>
      <c r="C4765" t="s">
        <v>10533</v>
      </c>
      <c r="D4765">
        <v>1</v>
      </c>
      <c r="E4765" t="s">
        <v>1070</v>
      </c>
    </row>
    <row r="4766" spans="2:5">
      <c r="B4766" s="65" t="str">
        <f t="shared" si="74"/>
        <v>doc-x0078:2</v>
      </c>
      <c r="C4766" t="s">
        <v>10533</v>
      </c>
      <c r="D4766">
        <v>2</v>
      </c>
      <c r="E4766" t="s">
        <v>1747</v>
      </c>
    </row>
    <row r="4767" spans="2:5">
      <c r="B4767" s="65" t="str">
        <f t="shared" si="74"/>
        <v>doc-x0079:1</v>
      </c>
      <c r="C4767" t="s">
        <v>10534</v>
      </c>
      <c r="D4767">
        <v>1</v>
      </c>
      <c r="E4767" t="s">
        <v>92</v>
      </c>
    </row>
    <row r="4768" spans="2:5">
      <c r="B4768" s="65" t="str">
        <f t="shared" si="74"/>
        <v>doc-x0079:2</v>
      </c>
      <c r="C4768" t="s">
        <v>10534</v>
      </c>
      <c r="D4768">
        <v>2</v>
      </c>
      <c r="E4768" t="s">
        <v>1747</v>
      </c>
    </row>
    <row r="4769" spans="2:5">
      <c r="B4769" s="65" t="str">
        <f t="shared" si="74"/>
        <v>doc-x0079:3</v>
      </c>
      <c r="C4769" t="s">
        <v>10534</v>
      </c>
      <c r="D4769">
        <v>3</v>
      </c>
      <c r="E4769" t="s">
        <v>1755</v>
      </c>
    </row>
    <row r="4770" spans="2:5">
      <c r="B4770" s="65" t="str">
        <f t="shared" si="74"/>
        <v>doc-x0080:1</v>
      </c>
      <c r="C4770" t="s">
        <v>10535</v>
      </c>
      <c r="D4770">
        <v>1</v>
      </c>
      <c r="E4770" t="s">
        <v>1102</v>
      </c>
    </row>
    <row r="4771" spans="2:5">
      <c r="B4771" s="65" t="str">
        <f t="shared" si="74"/>
        <v>doc-x0080:2</v>
      </c>
      <c r="C4771" t="s">
        <v>10535</v>
      </c>
      <c r="D4771">
        <v>2</v>
      </c>
      <c r="E4771" t="s">
        <v>1929</v>
      </c>
    </row>
    <row r="4772" spans="2:5">
      <c r="B4772" s="65" t="str">
        <f t="shared" si="74"/>
        <v>doc-x0080:3</v>
      </c>
      <c r="C4772" t="s">
        <v>10535</v>
      </c>
      <c r="D4772">
        <v>3</v>
      </c>
      <c r="E4772" t="s">
        <v>1747</v>
      </c>
    </row>
    <row r="4773" spans="2:5">
      <c r="B4773" s="65" t="str">
        <f t="shared" si="74"/>
        <v>doc-x0082:1</v>
      </c>
      <c r="C4773" t="s">
        <v>10536</v>
      </c>
      <c r="D4773">
        <v>1</v>
      </c>
      <c r="E4773" t="s">
        <v>1830</v>
      </c>
    </row>
    <row r="4774" spans="2:5">
      <c r="B4774" s="65" t="str">
        <f t="shared" si="74"/>
        <v>doc-x0083:1</v>
      </c>
      <c r="C4774" t="s">
        <v>10537</v>
      </c>
      <c r="D4774">
        <v>1</v>
      </c>
      <c r="E4774" t="s">
        <v>3193</v>
      </c>
    </row>
    <row r="4775" spans="2:5">
      <c r="B4775" s="65" t="str">
        <f t="shared" si="74"/>
        <v>doc-x0083:2</v>
      </c>
      <c r="C4775" t="s">
        <v>10537</v>
      </c>
      <c r="D4775">
        <v>2</v>
      </c>
      <c r="E4775" t="s">
        <v>1417</v>
      </c>
    </row>
    <row r="4776" spans="2:5">
      <c r="B4776" s="65" t="str">
        <f t="shared" si="74"/>
        <v>doc-x0084:1</v>
      </c>
      <c r="C4776" t="s">
        <v>10538</v>
      </c>
      <c r="D4776">
        <v>1</v>
      </c>
      <c r="E4776" t="s">
        <v>1830</v>
      </c>
    </row>
    <row r="4777" spans="2:5">
      <c r="B4777" s="65" t="str">
        <f t="shared" si="74"/>
        <v>doc-x0085:1</v>
      </c>
      <c r="C4777" t="s">
        <v>10539</v>
      </c>
      <c r="D4777">
        <v>1</v>
      </c>
      <c r="E4777" t="s">
        <v>3087</v>
      </c>
    </row>
    <row r="4778" spans="2:5">
      <c r="B4778" s="65" t="str">
        <f t="shared" si="74"/>
        <v>doc-x0085:2</v>
      </c>
      <c r="C4778" t="s">
        <v>10539</v>
      </c>
      <c r="D4778">
        <v>2</v>
      </c>
      <c r="E4778" t="s">
        <v>1962</v>
      </c>
    </row>
    <row r="4779" spans="2:5">
      <c r="B4779" s="65" t="str">
        <f t="shared" si="74"/>
        <v>doc-x0085:3</v>
      </c>
      <c r="C4779" t="s">
        <v>10539</v>
      </c>
      <c r="D4779">
        <v>3</v>
      </c>
      <c r="E4779" t="s">
        <v>3075</v>
      </c>
    </row>
    <row r="4780" spans="2:5">
      <c r="B4780" s="65" t="str">
        <f t="shared" si="74"/>
        <v>doc-x0085:4</v>
      </c>
      <c r="C4780" t="s">
        <v>10539</v>
      </c>
      <c r="D4780">
        <v>4</v>
      </c>
      <c r="E4780" t="s">
        <v>1959</v>
      </c>
    </row>
    <row r="4781" spans="2:5">
      <c r="B4781" s="65" t="str">
        <f t="shared" si="74"/>
        <v>doc-x0086:1</v>
      </c>
      <c r="C4781" t="s">
        <v>10540</v>
      </c>
      <c r="D4781">
        <v>1</v>
      </c>
      <c r="E4781" t="s">
        <v>1065</v>
      </c>
    </row>
    <row r="4782" spans="2:5">
      <c r="B4782" s="65" t="str">
        <f t="shared" si="74"/>
        <v>doc-x0086:2</v>
      </c>
      <c r="C4782" t="s">
        <v>10540</v>
      </c>
      <c r="D4782">
        <v>2</v>
      </c>
      <c r="E4782" t="s">
        <v>1056</v>
      </c>
    </row>
    <row r="4783" spans="2:5">
      <c r="B4783" s="65" t="str">
        <f t="shared" si="74"/>
        <v>doc-x0086:3</v>
      </c>
      <c r="C4783" t="s">
        <v>10540</v>
      </c>
      <c r="D4783">
        <v>3</v>
      </c>
      <c r="E4783" t="s">
        <v>1059</v>
      </c>
    </row>
    <row r="4784" spans="2:5">
      <c r="B4784" s="65" t="str">
        <f t="shared" si="74"/>
        <v>doc-x0087:1</v>
      </c>
      <c r="C4784" t="s">
        <v>10541</v>
      </c>
      <c r="D4784">
        <v>1</v>
      </c>
      <c r="E4784" t="s">
        <v>2722</v>
      </c>
    </row>
    <row r="4785" spans="2:5">
      <c r="B4785" s="65" t="str">
        <f t="shared" si="74"/>
        <v>doc-x0087:2</v>
      </c>
      <c r="C4785" t="s">
        <v>10541</v>
      </c>
      <c r="D4785">
        <v>2</v>
      </c>
      <c r="E4785" t="s">
        <v>2749</v>
      </c>
    </row>
    <row r="4786" spans="2:5">
      <c r="B4786" s="65" t="str">
        <f t="shared" si="74"/>
        <v>doc-x0087:3</v>
      </c>
      <c r="C4786" t="s">
        <v>10541</v>
      </c>
      <c r="D4786">
        <v>3</v>
      </c>
      <c r="E4786" t="s">
        <v>2746</v>
      </c>
    </row>
    <row r="4787" spans="2:5">
      <c r="B4787" s="65" t="str">
        <f t="shared" si="74"/>
        <v>doc-x0087:4</v>
      </c>
      <c r="C4787" t="s">
        <v>10541</v>
      </c>
      <c r="D4787">
        <v>4</v>
      </c>
      <c r="E4787" t="s">
        <v>2664</v>
      </c>
    </row>
    <row r="4788" spans="2:5">
      <c r="B4788" s="65" t="str">
        <f t="shared" si="74"/>
        <v>doc-x0087:5</v>
      </c>
      <c r="C4788" t="s">
        <v>10541</v>
      </c>
      <c r="D4788">
        <v>5</v>
      </c>
      <c r="E4788" t="s">
        <v>3205</v>
      </c>
    </row>
    <row r="4789" spans="2:5">
      <c r="B4789" s="65" t="str">
        <f t="shared" si="74"/>
        <v>doc-x0088:1</v>
      </c>
      <c r="C4789" t="s">
        <v>10542</v>
      </c>
      <c r="D4789">
        <v>1</v>
      </c>
      <c r="E4789" t="s">
        <v>79</v>
      </c>
    </row>
    <row r="4790" spans="2:5">
      <c r="B4790" s="65" t="str">
        <f t="shared" si="74"/>
        <v>doc-x0088:2</v>
      </c>
      <c r="C4790" t="s">
        <v>10542</v>
      </c>
      <c r="D4790">
        <v>2</v>
      </c>
      <c r="E4790" t="s">
        <v>3068</v>
      </c>
    </row>
    <row r="4791" spans="2:5">
      <c r="B4791" s="65" t="str">
        <f t="shared" si="74"/>
        <v>doc-x0088:3</v>
      </c>
      <c r="C4791" t="s">
        <v>10542</v>
      </c>
      <c r="D4791">
        <v>3</v>
      </c>
      <c r="E4791" t="s">
        <v>3061</v>
      </c>
    </row>
    <row r="4792" spans="2:5">
      <c r="B4792" s="65" t="str">
        <f t="shared" si="74"/>
        <v>doc-x0088:4</v>
      </c>
      <c r="C4792" t="s">
        <v>10542</v>
      </c>
      <c r="D4792">
        <v>4</v>
      </c>
      <c r="E4792" t="s">
        <v>3058</v>
      </c>
    </row>
    <row r="4793" spans="2:5">
      <c r="B4793" s="65" t="str">
        <f t="shared" si="74"/>
        <v>doc-x0088:5</v>
      </c>
      <c r="C4793" t="s">
        <v>10542</v>
      </c>
      <c r="D4793">
        <v>5</v>
      </c>
      <c r="E4793" t="s">
        <v>2455</v>
      </c>
    </row>
    <row r="4794" spans="2:5">
      <c r="B4794" s="65" t="str">
        <f t="shared" si="74"/>
        <v>doc-x0089:1</v>
      </c>
      <c r="C4794" t="s">
        <v>10543</v>
      </c>
      <c r="D4794">
        <v>1</v>
      </c>
      <c r="E4794" t="s">
        <v>1321</v>
      </c>
    </row>
    <row r="4795" spans="2:5">
      <c r="B4795" s="65" t="str">
        <f t="shared" si="74"/>
        <v>doc-x0089:2</v>
      </c>
      <c r="C4795" t="s">
        <v>10543</v>
      </c>
      <c r="D4795">
        <v>2</v>
      </c>
      <c r="E4795" t="s">
        <v>1417</v>
      </c>
    </row>
    <row r="4796" spans="2:5">
      <c r="B4796" s="65" t="str">
        <f t="shared" si="74"/>
        <v>doc-x0090:1</v>
      </c>
      <c r="C4796" t="s">
        <v>10544</v>
      </c>
      <c r="D4796">
        <v>1</v>
      </c>
      <c r="E4796" t="s">
        <v>1904</v>
      </c>
    </row>
    <row r="4797" spans="2:5">
      <c r="B4797" s="65" t="str">
        <f t="shared" si="74"/>
        <v>doc-x0090:2</v>
      </c>
      <c r="C4797" t="s">
        <v>10544</v>
      </c>
      <c r="D4797">
        <v>2</v>
      </c>
      <c r="E4797" t="s">
        <v>1065</v>
      </c>
    </row>
    <row r="4798" spans="2:5">
      <c r="B4798" s="65" t="str">
        <f t="shared" si="74"/>
        <v>doc-x0090:3</v>
      </c>
      <c r="C4798" t="s">
        <v>10544</v>
      </c>
      <c r="D4798">
        <v>3</v>
      </c>
      <c r="E4798" t="s">
        <v>299</v>
      </c>
    </row>
    <row r="4799" spans="2:5">
      <c r="B4799" s="65" t="str">
        <f t="shared" si="74"/>
        <v>doc-x0090:4</v>
      </c>
      <c r="C4799" t="s">
        <v>10544</v>
      </c>
      <c r="D4799">
        <v>4</v>
      </c>
      <c r="E4799" t="s">
        <v>1838</v>
      </c>
    </row>
    <row r="4800" spans="2:5">
      <c r="B4800" s="65" t="str">
        <f t="shared" si="74"/>
        <v>doc-x0090:5</v>
      </c>
      <c r="C4800" t="s">
        <v>10544</v>
      </c>
      <c r="D4800">
        <v>5</v>
      </c>
      <c r="E4800" t="s">
        <v>1817</v>
      </c>
    </row>
    <row r="4801" spans="2:5">
      <c r="B4801" s="65" t="str">
        <f t="shared" si="74"/>
        <v>doc-x0090:6</v>
      </c>
      <c r="C4801" t="s">
        <v>10544</v>
      </c>
      <c r="D4801">
        <v>6</v>
      </c>
      <c r="E4801" t="s">
        <v>1059</v>
      </c>
    </row>
    <row r="4802" spans="2:5">
      <c r="B4802" s="65" t="str">
        <f t="shared" si="74"/>
        <v>doc-x0090:7</v>
      </c>
      <c r="C4802" t="s">
        <v>10544</v>
      </c>
      <c r="D4802">
        <v>7</v>
      </c>
      <c r="E4802" t="s">
        <v>254</v>
      </c>
    </row>
    <row r="4803" spans="2:5">
      <c r="B4803" s="65" t="str">
        <f t="shared" si="74"/>
        <v>doc-x0091:1</v>
      </c>
      <c r="C4803" t="s">
        <v>10545</v>
      </c>
      <c r="D4803">
        <v>1</v>
      </c>
      <c r="E4803" t="s">
        <v>1833</v>
      </c>
    </row>
    <row r="4804" spans="2:5">
      <c r="B4804" s="65" t="str">
        <f t="shared" ref="B4804:B4867" si="75">$C4804&amp;":"&amp;$D4804</f>
        <v>doc-x0091:2</v>
      </c>
      <c r="C4804" t="s">
        <v>10545</v>
      </c>
      <c r="D4804">
        <v>2</v>
      </c>
      <c r="E4804" t="s">
        <v>1902</v>
      </c>
    </row>
    <row r="4805" spans="2:5">
      <c r="B4805" s="65" t="str">
        <f t="shared" si="75"/>
        <v>doc-x0091:3</v>
      </c>
      <c r="C4805" t="s">
        <v>10545</v>
      </c>
      <c r="D4805">
        <v>3</v>
      </c>
      <c r="E4805" t="s">
        <v>2121</v>
      </c>
    </row>
    <row r="4806" spans="2:5">
      <c r="B4806" s="65" t="str">
        <f t="shared" si="75"/>
        <v>doc-x0091:4</v>
      </c>
      <c r="C4806" t="s">
        <v>10545</v>
      </c>
      <c r="D4806">
        <v>4</v>
      </c>
      <c r="E4806" t="s">
        <v>1575</v>
      </c>
    </row>
    <row r="4807" spans="2:5">
      <c r="B4807" s="65" t="str">
        <f t="shared" si="75"/>
        <v>doc-x0092:1</v>
      </c>
      <c r="C4807" t="s">
        <v>10546</v>
      </c>
      <c r="D4807">
        <v>1</v>
      </c>
      <c r="E4807" t="s">
        <v>1941</v>
      </c>
    </row>
    <row r="4808" spans="2:5">
      <c r="B4808" s="65" t="str">
        <f t="shared" si="75"/>
        <v>doc-x0092:2</v>
      </c>
      <c r="C4808" t="s">
        <v>10546</v>
      </c>
      <c r="D4808">
        <v>2</v>
      </c>
      <c r="E4808" t="s">
        <v>1844</v>
      </c>
    </row>
    <row r="4809" spans="2:5">
      <c r="B4809" s="65" t="str">
        <f t="shared" si="75"/>
        <v>doc-x0092:3</v>
      </c>
      <c r="C4809" t="s">
        <v>10546</v>
      </c>
      <c r="D4809">
        <v>3</v>
      </c>
      <c r="E4809" t="s">
        <v>2411</v>
      </c>
    </row>
    <row r="4810" spans="2:5">
      <c r="B4810" s="65" t="str">
        <f t="shared" si="75"/>
        <v>doc-x0093:1</v>
      </c>
      <c r="C4810" t="s">
        <v>10547</v>
      </c>
      <c r="D4810">
        <v>1</v>
      </c>
      <c r="E4810" t="s">
        <v>1321</v>
      </c>
    </row>
    <row r="4811" spans="2:5">
      <c r="B4811" s="65" t="str">
        <f t="shared" si="75"/>
        <v>doc-x0093:2</v>
      </c>
      <c r="C4811" t="s">
        <v>10547</v>
      </c>
      <c r="D4811">
        <v>2</v>
      </c>
      <c r="E4811" t="s">
        <v>299</v>
      </c>
    </row>
    <row r="4812" spans="2:5">
      <c r="B4812" s="65" t="str">
        <f t="shared" si="75"/>
        <v>doc-x0093:3</v>
      </c>
      <c r="C4812" t="s">
        <v>10547</v>
      </c>
      <c r="D4812">
        <v>3</v>
      </c>
      <c r="E4812" t="s">
        <v>1417</v>
      </c>
    </row>
    <row r="4813" spans="2:5">
      <c r="B4813" s="65" t="str">
        <f t="shared" si="75"/>
        <v>doc-x0094:1</v>
      </c>
      <c r="C4813" t="s">
        <v>10548</v>
      </c>
      <c r="D4813">
        <v>1</v>
      </c>
      <c r="E4813" t="s">
        <v>2075</v>
      </c>
    </row>
    <row r="4814" spans="2:5">
      <c r="B4814" s="65" t="str">
        <f t="shared" si="75"/>
        <v>doc-x0094:2</v>
      </c>
      <c r="C4814" t="s">
        <v>10548</v>
      </c>
      <c r="D4814">
        <v>2</v>
      </c>
      <c r="E4814" t="s">
        <v>2121</v>
      </c>
    </row>
    <row r="4815" spans="2:5">
      <c r="B4815" s="65" t="str">
        <f t="shared" si="75"/>
        <v>doc-x0094:3</v>
      </c>
      <c r="C4815" t="s">
        <v>10548</v>
      </c>
      <c r="D4815">
        <v>3</v>
      </c>
      <c r="E4815" t="s">
        <v>1833</v>
      </c>
    </row>
    <row r="4816" spans="2:5">
      <c r="B4816" s="65" t="str">
        <f t="shared" si="75"/>
        <v>doc-x0094:4</v>
      </c>
      <c r="C4816" t="s">
        <v>10548</v>
      </c>
      <c r="D4816">
        <v>4</v>
      </c>
      <c r="E4816" t="s">
        <v>1902</v>
      </c>
    </row>
    <row r="4817" spans="2:5">
      <c r="B4817" s="65" t="str">
        <f t="shared" si="75"/>
        <v>doc-x0095:1</v>
      </c>
      <c r="C4817" t="s">
        <v>10549</v>
      </c>
      <c r="D4817">
        <v>1</v>
      </c>
      <c r="E4817" t="s">
        <v>1844</v>
      </c>
    </row>
    <row r="4818" spans="2:5">
      <c r="B4818" s="65" t="str">
        <f t="shared" si="75"/>
        <v>doc-x0096:1</v>
      </c>
      <c r="C4818" t="s">
        <v>10550</v>
      </c>
      <c r="D4818">
        <v>1</v>
      </c>
      <c r="E4818" t="s">
        <v>1944</v>
      </c>
    </row>
    <row r="4819" spans="2:5">
      <c r="B4819" s="65" t="str">
        <f t="shared" si="75"/>
        <v>doc-x0096:2</v>
      </c>
      <c r="C4819" t="s">
        <v>10550</v>
      </c>
      <c r="D4819">
        <v>2</v>
      </c>
      <c r="E4819" t="s">
        <v>1844</v>
      </c>
    </row>
    <row r="4820" spans="2:5">
      <c r="B4820" s="65" t="str">
        <f t="shared" si="75"/>
        <v>doc-x0096:3</v>
      </c>
      <c r="C4820" t="s">
        <v>10550</v>
      </c>
      <c r="D4820">
        <v>3</v>
      </c>
      <c r="E4820" t="s">
        <v>1941</v>
      </c>
    </row>
    <row r="4821" spans="2:5">
      <c r="B4821" s="65" t="str">
        <f t="shared" si="75"/>
        <v>doc-x0097:1</v>
      </c>
      <c r="C4821" t="s">
        <v>10551</v>
      </c>
      <c r="D4821">
        <v>1</v>
      </c>
      <c r="E4821" t="s">
        <v>3085</v>
      </c>
    </row>
    <row r="4822" spans="2:5">
      <c r="B4822" s="65" t="str">
        <f t="shared" si="75"/>
        <v>doc-x0097:2</v>
      </c>
      <c r="C4822" t="s">
        <v>10551</v>
      </c>
      <c r="D4822">
        <v>2</v>
      </c>
      <c r="E4822" t="s">
        <v>3075</v>
      </c>
    </row>
    <row r="4823" spans="2:5">
      <c r="B4823" s="65" t="str">
        <f t="shared" si="75"/>
        <v>doc-x0097:3</v>
      </c>
      <c r="C4823" t="s">
        <v>10551</v>
      </c>
      <c r="D4823">
        <v>3</v>
      </c>
      <c r="E4823" t="s">
        <v>3072</v>
      </c>
    </row>
    <row r="4824" spans="2:5">
      <c r="B4824" s="65" t="str">
        <f t="shared" si="75"/>
        <v>doc-x0098:1</v>
      </c>
      <c r="C4824" t="s">
        <v>10552</v>
      </c>
      <c r="D4824">
        <v>1</v>
      </c>
      <c r="E4824" t="s">
        <v>2718</v>
      </c>
    </row>
    <row r="4825" spans="2:5">
      <c r="B4825" s="65" t="str">
        <f t="shared" si="75"/>
        <v>doc-x0098:2</v>
      </c>
      <c r="C4825" t="s">
        <v>10552</v>
      </c>
      <c r="D4825">
        <v>2</v>
      </c>
      <c r="E4825" t="s">
        <v>2701</v>
      </c>
    </row>
    <row r="4826" spans="2:5">
      <c r="B4826" s="65" t="str">
        <f t="shared" si="75"/>
        <v>doc-x0098:3</v>
      </c>
      <c r="C4826" t="s">
        <v>10552</v>
      </c>
      <c r="D4826">
        <v>3</v>
      </c>
      <c r="E4826" t="s">
        <v>2637</v>
      </c>
    </row>
    <row r="4827" spans="2:5">
      <c r="B4827" s="65" t="str">
        <f t="shared" si="75"/>
        <v>doc-x0098:4</v>
      </c>
      <c r="C4827" t="s">
        <v>10552</v>
      </c>
      <c r="D4827">
        <v>4</v>
      </c>
      <c r="E4827" t="s">
        <v>2715</v>
      </c>
    </row>
    <row r="4828" spans="2:5">
      <c r="B4828" s="65" t="str">
        <f t="shared" si="75"/>
        <v>doc-x0098:5</v>
      </c>
      <c r="C4828" t="s">
        <v>10552</v>
      </c>
      <c r="D4828">
        <v>5</v>
      </c>
      <c r="E4828" t="s">
        <v>2619</v>
      </c>
    </row>
    <row r="4829" spans="2:5">
      <c r="B4829" s="65" t="str">
        <f t="shared" si="75"/>
        <v>doc-x0098:6</v>
      </c>
      <c r="C4829" t="s">
        <v>10552</v>
      </c>
      <c r="D4829">
        <v>6</v>
      </c>
      <c r="E4829" t="s">
        <v>2235</v>
      </c>
    </row>
    <row r="4830" spans="2:5">
      <c r="B4830" s="65" t="str">
        <f t="shared" si="75"/>
        <v>doc-x0098:7</v>
      </c>
      <c r="C4830" t="s">
        <v>10552</v>
      </c>
      <c r="D4830">
        <v>7</v>
      </c>
      <c r="E4830" t="s">
        <v>2639</v>
      </c>
    </row>
    <row r="4831" spans="2:5">
      <c r="B4831" s="65" t="str">
        <f t="shared" si="75"/>
        <v>doc-x0099:1</v>
      </c>
      <c r="C4831" t="s">
        <v>10553</v>
      </c>
      <c r="D4831">
        <v>1</v>
      </c>
      <c r="E4831" t="s">
        <v>1825</v>
      </c>
    </row>
    <row r="4832" spans="2:5">
      <c r="B4832" s="65" t="str">
        <f t="shared" si="75"/>
        <v>doc-x0099:2</v>
      </c>
      <c r="C4832" t="s">
        <v>10553</v>
      </c>
      <c r="D4832">
        <v>2</v>
      </c>
      <c r="E4832" t="s">
        <v>1856</v>
      </c>
    </row>
    <row r="4833" spans="2:5">
      <c r="B4833" s="65" t="str">
        <f t="shared" si="75"/>
        <v>doc-x0100:1</v>
      </c>
      <c r="C4833" t="s">
        <v>10554</v>
      </c>
      <c r="D4833">
        <v>1</v>
      </c>
      <c r="E4833" t="s">
        <v>2176</v>
      </c>
    </row>
    <row r="4834" spans="2:5">
      <c r="B4834" s="65" t="str">
        <f t="shared" si="75"/>
        <v>doc-x0100:2</v>
      </c>
      <c r="C4834" t="s">
        <v>10554</v>
      </c>
      <c r="D4834">
        <v>2</v>
      </c>
      <c r="E4834" t="s">
        <v>2179</v>
      </c>
    </row>
    <row r="4835" spans="2:5">
      <c r="B4835" s="65" t="str">
        <f t="shared" si="75"/>
        <v>doc-x0100:3</v>
      </c>
      <c r="C4835" t="s">
        <v>10554</v>
      </c>
      <c r="D4835">
        <v>3</v>
      </c>
      <c r="E4835" t="s">
        <v>2121</v>
      </c>
    </row>
    <row r="4836" spans="2:5">
      <c r="B4836" s="65" t="str">
        <f t="shared" si="75"/>
        <v>doc-x0101:1</v>
      </c>
      <c r="C4836" t="s">
        <v>10555</v>
      </c>
      <c r="D4836">
        <v>1</v>
      </c>
      <c r="E4836" t="s">
        <v>2310</v>
      </c>
    </row>
    <row r="4837" spans="2:5">
      <c r="B4837" s="65" t="str">
        <f t="shared" si="75"/>
        <v>doc-x0101:2</v>
      </c>
      <c r="C4837" t="s">
        <v>10555</v>
      </c>
      <c r="D4837">
        <v>2</v>
      </c>
      <c r="E4837" t="s">
        <v>2336</v>
      </c>
    </row>
    <row r="4838" spans="2:5">
      <c r="B4838" s="65" t="str">
        <f t="shared" si="75"/>
        <v>doc-x0101:3</v>
      </c>
      <c r="C4838" t="s">
        <v>10555</v>
      </c>
      <c r="D4838">
        <v>3</v>
      </c>
      <c r="E4838" t="s">
        <v>1395</v>
      </c>
    </row>
    <row r="4839" spans="2:5">
      <c r="B4839" s="65" t="str">
        <f t="shared" si="75"/>
        <v>doc-x0101:4</v>
      </c>
      <c r="C4839" t="s">
        <v>10555</v>
      </c>
      <c r="D4839">
        <v>4</v>
      </c>
      <c r="E4839" t="s">
        <v>1856</v>
      </c>
    </row>
    <row r="4840" spans="2:5">
      <c r="B4840" s="65" t="str">
        <f t="shared" si="75"/>
        <v>doc-x0101:5</v>
      </c>
      <c r="C4840" t="s">
        <v>10555</v>
      </c>
      <c r="D4840">
        <v>5</v>
      </c>
      <c r="E4840" t="s">
        <v>1349</v>
      </c>
    </row>
    <row r="4841" spans="2:5">
      <c r="B4841" s="65" t="str">
        <f t="shared" si="75"/>
        <v>doc-x0101:6</v>
      </c>
      <c r="C4841" t="s">
        <v>10555</v>
      </c>
      <c r="D4841">
        <v>6</v>
      </c>
      <c r="E4841" t="s">
        <v>1425</v>
      </c>
    </row>
    <row r="4842" spans="2:5">
      <c r="B4842" s="65" t="str">
        <f t="shared" si="75"/>
        <v>doc-x0101:7</v>
      </c>
      <c r="C4842" t="s">
        <v>10555</v>
      </c>
      <c r="D4842">
        <v>7</v>
      </c>
      <c r="E4842" t="s">
        <v>281</v>
      </c>
    </row>
    <row r="4843" spans="2:5">
      <c r="B4843" s="65" t="str">
        <f t="shared" si="75"/>
        <v>doc-x0102:1</v>
      </c>
      <c r="C4843" t="s">
        <v>10556</v>
      </c>
      <c r="D4843">
        <v>1</v>
      </c>
      <c r="E4843" t="s">
        <v>3061</v>
      </c>
    </row>
    <row r="4844" spans="2:5">
      <c r="B4844" s="65" t="str">
        <f t="shared" si="75"/>
        <v>doc-x0102:2</v>
      </c>
      <c r="C4844" t="s">
        <v>10556</v>
      </c>
      <c r="D4844">
        <v>2</v>
      </c>
      <c r="E4844" t="s">
        <v>3043</v>
      </c>
    </row>
    <row r="4845" spans="2:5">
      <c r="B4845" s="65" t="str">
        <f t="shared" si="75"/>
        <v>doc-x0102:3</v>
      </c>
      <c r="C4845" t="s">
        <v>10556</v>
      </c>
      <c r="D4845">
        <v>3</v>
      </c>
      <c r="E4845" t="s">
        <v>79</v>
      </c>
    </row>
    <row r="4846" spans="2:5">
      <c r="B4846" s="65" t="str">
        <f t="shared" si="75"/>
        <v>doc-x0102:4</v>
      </c>
      <c r="C4846" t="s">
        <v>10556</v>
      </c>
      <c r="D4846">
        <v>4</v>
      </c>
      <c r="E4846" t="s">
        <v>3068</v>
      </c>
    </row>
    <row r="4847" spans="2:5">
      <c r="B4847" s="65" t="str">
        <f t="shared" si="75"/>
        <v>doc-x0102:5</v>
      </c>
      <c r="C4847" t="s">
        <v>10556</v>
      </c>
      <c r="D4847">
        <v>5</v>
      </c>
      <c r="E4847" t="s">
        <v>2455</v>
      </c>
    </row>
    <row r="4848" spans="2:5">
      <c r="B4848" s="65" t="str">
        <f t="shared" si="75"/>
        <v>doc-x0102:6</v>
      </c>
      <c r="C4848" t="s">
        <v>10556</v>
      </c>
      <c r="D4848">
        <v>6</v>
      </c>
      <c r="E4848" t="s">
        <v>3058</v>
      </c>
    </row>
    <row r="4849" spans="2:5">
      <c r="B4849" s="65" t="str">
        <f t="shared" si="75"/>
        <v>doc-x0103:1</v>
      </c>
      <c r="C4849" t="s">
        <v>10557</v>
      </c>
      <c r="D4849">
        <v>1</v>
      </c>
      <c r="E4849" t="s">
        <v>2127</v>
      </c>
    </row>
    <row r="4850" spans="2:5">
      <c r="B4850" s="65" t="str">
        <f t="shared" si="75"/>
        <v>doc-x0103:2</v>
      </c>
      <c r="C4850" t="s">
        <v>10557</v>
      </c>
      <c r="D4850">
        <v>2</v>
      </c>
      <c r="E4850" t="s">
        <v>2095</v>
      </c>
    </row>
    <row r="4851" spans="2:5">
      <c r="B4851" s="65" t="str">
        <f t="shared" si="75"/>
        <v>doc-x0104:1</v>
      </c>
      <c r="C4851" t="s">
        <v>10558</v>
      </c>
      <c r="D4851">
        <v>1</v>
      </c>
      <c r="E4851" t="s">
        <v>2954</v>
      </c>
    </row>
    <row r="4852" spans="2:5">
      <c r="B4852" s="65" t="str">
        <f t="shared" si="75"/>
        <v>doc-x0104:2</v>
      </c>
      <c r="C4852" t="s">
        <v>10558</v>
      </c>
      <c r="D4852">
        <v>2</v>
      </c>
      <c r="E4852" t="s">
        <v>2930</v>
      </c>
    </row>
    <row r="4853" spans="2:5">
      <c r="B4853" s="65" t="str">
        <f t="shared" si="75"/>
        <v>doc-x0104:3</v>
      </c>
      <c r="C4853" t="s">
        <v>10558</v>
      </c>
      <c r="D4853">
        <v>3</v>
      </c>
      <c r="E4853" t="s">
        <v>299</v>
      </c>
    </row>
    <row r="4854" spans="2:5">
      <c r="B4854" s="65" t="str">
        <f t="shared" si="75"/>
        <v>doc-x0104:4</v>
      </c>
      <c r="C4854" t="s">
        <v>10558</v>
      </c>
      <c r="D4854">
        <v>4</v>
      </c>
      <c r="E4854" t="s">
        <v>2952</v>
      </c>
    </row>
    <row r="4855" spans="2:5">
      <c r="B4855" s="65" t="str">
        <f t="shared" si="75"/>
        <v>doc-x0104:5</v>
      </c>
      <c r="C4855" t="s">
        <v>10558</v>
      </c>
      <c r="D4855">
        <v>5</v>
      </c>
      <c r="E4855" t="s">
        <v>2926</v>
      </c>
    </row>
    <row r="4856" spans="2:5">
      <c r="B4856" s="65" t="str">
        <f t="shared" si="75"/>
        <v>doc-x0104:6</v>
      </c>
      <c r="C4856" t="s">
        <v>10558</v>
      </c>
      <c r="D4856">
        <v>6</v>
      </c>
      <c r="E4856" t="s">
        <v>254</v>
      </c>
    </row>
    <row r="4857" spans="2:5">
      <c r="B4857" s="65" t="str">
        <f t="shared" si="75"/>
        <v>doc-x0104:7</v>
      </c>
      <c r="C4857" t="s">
        <v>10558</v>
      </c>
      <c r="D4857">
        <v>7</v>
      </c>
      <c r="E4857" t="s">
        <v>1283</v>
      </c>
    </row>
    <row r="4858" spans="2:5">
      <c r="B4858" s="65" t="str">
        <f t="shared" si="75"/>
        <v>doc-x0105:1</v>
      </c>
      <c r="C4858" t="s">
        <v>10559</v>
      </c>
      <c r="D4858">
        <v>1</v>
      </c>
      <c r="E4858" t="s">
        <v>3061</v>
      </c>
    </row>
    <row r="4859" spans="2:5">
      <c r="B4859" s="65" t="str">
        <f t="shared" si="75"/>
        <v>doc-x0105:2</v>
      </c>
      <c r="C4859" t="s">
        <v>10559</v>
      </c>
      <c r="D4859">
        <v>2</v>
      </c>
      <c r="E4859" t="s">
        <v>3063</v>
      </c>
    </row>
    <row r="4860" spans="2:5">
      <c r="B4860" s="65" t="str">
        <f t="shared" si="75"/>
        <v>doc-x0106:1</v>
      </c>
      <c r="C4860" t="s">
        <v>10560</v>
      </c>
      <c r="D4860">
        <v>1</v>
      </c>
      <c r="E4860" t="s">
        <v>2391</v>
      </c>
    </row>
    <row r="4861" spans="2:5">
      <c r="B4861" s="65" t="str">
        <f t="shared" si="75"/>
        <v>doc-x0106:2</v>
      </c>
      <c r="C4861" t="s">
        <v>10560</v>
      </c>
      <c r="D4861">
        <v>2</v>
      </c>
      <c r="E4861" t="s">
        <v>2378</v>
      </c>
    </row>
    <row r="4862" spans="2:5">
      <c r="B4862" s="65" t="str">
        <f t="shared" si="75"/>
        <v>doc-x0107:1</v>
      </c>
      <c r="C4862" t="s">
        <v>10561</v>
      </c>
      <c r="D4862">
        <v>1</v>
      </c>
      <c r="E4862" t="s">
        <v>2419</v>
      </c>
    </row>
    <row r="4863" spans="2:5">
      <c r="B4863" s="65" t="str">
        <f t="shared" si="75"/>
        <v>doc-x0107:2</v>
      </c>
      <c r="C4863" t="s">
        <v>10561</v>
      </c>
      <c r="D4863">
        <v>2</v>
      </c>
      <c r="E4863" t="s">
        <v>2455</v>
      </c>
    </row>
    <row r="4864" spans="2:5">
      <c r="B4864" s="65" t="str">
        <f t="shared" si="75"/>
        <v>doc-x0107:3</v>
      </c>
      <c r="C4864" t="s">
        <v>10561</v>
      </c>
      <c r="D4864">
        <v>3</v>
      </c>
      <c r="E4864" t="s">
        <v>2227</v>
      </c>
    </row>
    <row r="4865" spans="2:5">
      <c r="B4865" s="65" t="str">
        <f t="shared" si="75"/>
        <v>doc-x0107:4</v>
      </c>
      <c r="C4865" t="s">
        <v>10561</v>
      </c>
      <c r="D4865">
        <v>4</v>
      </c>
      <c r="E4865" t="s">
        <v>2225</v>
      </c>
    </row>
    <row r="4866" spans="2:5">
      <c r="B4866" s="65" t="str">
        <f t="shared" si="75"/>
        <v>doc-x0107:5</v>
      </c>
      <c r="C4866" t="s">
        <v>10561</v>
      </c>
      <c r="D4866">
        <v>5</v>
      </c>
      <c r="E4866" t="s">
        <v>2469</v>
      </c>
    </row>
    <row r="4867" spans="2:5">
      <c r="B4867" s="65" t="str">
        <f t="shared" si="75"/>
        <v>doc-x0107:6</v>
      </c>
      <c r="C4867" t="s">
        <v>10561</v>
      </c>
      <c r="D4867">
        <v>6</v>
      </c>
      <c r="E4867" t="s">
        <v>247</v>
      </c>
    </row>
    <row r="4868" spans="2:5">
      <c r="B4868" s="65" t="str">
        <f t="shared" ref="B4868:B4931" si="76">$C4868&amp;":"&amp;$D4868</f>
        <v>doc-x0108:1</v>
      </c>
      <c r="C4868" t="s">
        <v>10562</v>
      </c>
      <c r="D4868">
        <v>1</v>
      </c>
      <c r="E4868" t="s">
        <v>1856</v>
      </c>
    </row>
    <row r="4869" spans="2:5">
      <c r="B4869" s="65" t="str">
        <f t="shared" si="76"/>
        <v>doc-x0108:2</v>
      </c>
      <c r="C4869" t="s">
        <v>10562</v>
      </c>
      <c r="D4869">
        <v>2</v>
      </c>
      <c r="E4869" t="s">
        <v>1825</v>
      </c>
    </row>
    <row r="4870" spans="2:5">
      <c r="B4870" s="65" t="str">
        <f t="shared" si="76"/>
        <v>doc-x0108:3</v>
      </c>
      <c r="C4870" t="s">
        <v>10562</v>
      </c>
      <c r="D4870">
        <v>3</v>
      </c>
      <c r="E4870" t="s">
        <v>1425</v>
      </c>
    </row>
    <row r="4871" spans="2:5">
      <c r="B4871" s="65" t="str">
        <f t="shared" si="76"/>
        <v>doc-x0108:4</v>
      </c>
      <c r="C4871" t="s">
        <v>10562</v>
      </c>
      <c r="D4871">
        <v>4</v>
      </c>
      <c r="E4871" t="s">
        <v>1349</v>
      </c>
    </row>
    <row r="4872" spans="2:5">
      <c r="B4872" s="65" t="str">
        <f t="shared" si="76"/>
        <v>doc-x0108:5</v>
      </c>
      <c r="C4872" t="s">
        <v>10562</v>
      </c>
      <c r="D4872">
        <v>5</v>
      </c>
      <c r="E4872" t="s">
        <v>1420</v>
      </c>
    </row>
    <row r="4873" spans="2:5">
      <c r="B4873" s="65" t="str">
        <f t="shared" si="76"/>
        <v>doc-x0108:6</v>
      </c>
      <c r="C4873" t="s">
        <v>10562</v>
      </c>
      <c r="D4873">
        <v>6</v>
      </c>
      <c r="E4873" t="s">
        <v>3056</v>
      </c>
    </row>
    <row r="4874" spans="2:5">
      <c r="B4874" s="65" t="str">
        <f t="shared" si="76"/>
        <v>doc-x0109:1</v>
      </c>
      <c r="C4874" t="s">
        <v>10563</v>
      </c>
      <c r="D4874">
        <v>1</v>
      </c>
      <c r="E4874" t="s">
        <v>1536</v>
      </c>
    </row>
    <row r="4875" spans="2:5">
      <c r="B4875" s="65" t="str">
        <f t="shared" si="76"/>
        <v>doc-x0109:2</v>
      </c>
      <c r="C4875" t="s">
        <v>10563</v>
      </c>
      <c r="D4875">
        <v>2</v>
      </c>
      <c r="E4875" t="s">
        <v>1530</v>
      </c>
    </row>
    <row r="4876" spans="2:5">
      <c r="B4876" s="65" t="str">
        <f t="shared" si="76"/>
        <v>doc-x0110:1</v>
      </c>
      <c r="C4876" t="s">
        <v>10564</v>
      </c>
      <c r="D4876">
        <v>1</v>
      </c>
      <c r="E4876" t="s">
        <v>1349</v>
      </c>
    </row>
    <row r="4877" spans="2:5">
      <c r="B4877" s="65" t="str">
        <f t="shared" si="76"/>
        <v>doc-x0110:2</v>
      </c>
      <c r="C4877" t="s">
        <v>10564</v>
      </c>
      <c r="D4877">
        <v>2</v>
      </c>
      <c r="E4877" t="s">
        <v>1425</v>
      </c>
    </row>
    <row r="4878" spans="2:5">
      <c r="B4878" s="65" t="str">
        <f t="shared" si="76"/>
        <v>doc-x0110:3</v>
      </c>
      <c r="C4878" t="s">
        <v>10564</v>
      </c>
      <c r="D4878">
        <v>3</v>
      </c>
      <c r="E4878" t="s">
        <v>1395</v>
      </c>
    </row>
    <row r="4879" spans="2:5">
      <c r="B4879" s="65" t="str">
        <f t="shared" si="76"/>
        <v>doc-x0110:4</v>
      </c>
      <c r="C4879" t="s">
        <v>10564</v>
      </c>
      <c r="D4879">
        <v>4</v>
      </c>
      <c r="E4879" t="s">
        <v>281</v>
      </c>
    </row>
    <row r="4880" spans="2:5">
      <c r="B4880" s="65" t="str">
        <f t="shared" si="76"/>
        <v>doc-x0110:5</v>
      </c>
      <c r="C4880" t="s">
        <v>10564</v>
      </c>
      <c r="D4880">
        <v>5</v>
      </c>
      <c r="E4880" t="s">
        <v>1404</v>
      </c>
    </row>
    <row r="4881" spans="2:5">
      <c r="B4881" s="65" t="str">
        <f t="shared" si="76"/>
        <v>doc-x0110:6</v>
      </c>
      <c r="C4881" t="s">
        <v>10564</v>
      </c>
      <c r="D4881">
        <v>6</v>
      </c>
      <c r="E4881" t="s">
        <v>2310</v>
      </c>
    </row>
    <row r="4882" spans="2:5">
      <c r="B4882" s="65" t="str">
        <f t="shared" si="76"/>
        <v>doc-x0112:1</v>
      </c>
      <c r="C4882" t="s">
        <v>6318</v>
      </c>
      <c r="D4882">
        <v>1</v>
      </c>
      <c r="E4882" t="s">
        <v>1159</v>
      </c>
    </row>
    <row r="4883" spans="2:5">
      <c r="B4883" s="65" t="str">
        <f t="shared" si="76"/>
        <v>doc-x0112:2</v>
      </c>
      <c r="C4883" t="s">
        <v>6318</v>
      </c>
      <c r="D4883">
        <v>2</v>
      </c>
      <c r="E4883" t="s">
        <v>2799</v>
      </c>
    </row>
    <row r="4884" spans="2:5">
      <c r="B4884" s="65" t="str">
        <f t="shared" si="76"/>
        <v>doc-x0112:3</v>
      </c>
      <c r="C4884" t="s">
        <v>6318</v>
      </c>
      <c r="D4884">
        <v>3</v>
      </c>
      <c r="E4884" t="s">
        <v>2812</v>
      </c>
    </row>
    <row r="4885" spans="2:5">
      <c r="B4885" s="65" t="str">
        <f t="shared" si="76"/>
        <v>doc-x0112:4</v>
      </c>
      <c r="C4885" t="s">
        <v>6318</v>
      </c>
      <c r="D4885">
        <v>4</v>
      </c>
      <c r="E4885" t="s">
        <v>2773</v>
      </c>
    </row>
    <row r="4886" spans="2:5">
      <c r="B4886" s="65" t="str">
        <f t="shared" si="76"/>
        <v>doc-x0114:1</v>
      </c>
      <c r="C4886" t="s">
        <v>10565</v>
      </c>
      <c r="D4886">
        <v>1</v>
      </c>
      <c r="E4886" t="s">
        <v>2862</v>
      </c>
    </row>
    <row r="4887" spans="2:5">
      <c r="B4887" s="65" t="str">
        <f t="shared" si="76"/>
        <v>doc-x0114:2</v>
      </c>
      <c r="C4887" t="s">
        <v>10565</v>
      </c>
      <c r="D4887">
        <v>2</v>
      </c>
      <c r="E4887" t="s">
        <v>2847</v>
      </c>
    </row>
    <row r="4888" spans="2:5">
      <c r="B4888" s="65" t="str">
        <f t="shared" si="76"/>
        <v>doc-x0114:3</v>
      </c>
      <c r="C4888" t="s">
        <v>10565</v>
      </c>
      <c r="D4888">
        <v>3</v>
      </c>
      <c r="E4888" t="s">
        <v>2849</v>
      </c>
    </row>
    <row r="4889" spans="2:5">
      <c r="B4889" s="65" t="str">
        <f t="shared" si="76"/>
        <v>doc-x0115:1</v>
      </c>
      <c r="C4889" t="s">
        <v>10566</v>
      </c>
      <c r="D4889">
        <v>1</v>
      </c>
      <c r="E4889" t="s">
        <v>1395</v>
      </c>
    </row>
    <row r="4890" spans="2:5">
      <c r="B4890" s="65" t="str">
        <f t="shared" si="76"/>
        <v>doc-x0115:2</v>
      </c>
      <c r="C4890" t="s">
        <v>10566</v>
      </c>
      <c r="D4890">
        <v>2</v>
      </c>
      <c r="E4890" t="s">
        <v>1349</v>
      </c>
    </row>
    <row r="4891" spans="2:5">
      <c r="B4891" s="65" t="str">
        <f t="shared" si="76"/>
        <v>doc-x0115:3</v>
      </c>
      <c r="C4891" t="s">
        <v>10566</v>
      </c>
      <c r="D4891">
        <v>3</v>
      </c>
      <c r="E4891" t="s">
        <v>2664</v>
      </c>
    </row>
    <row r="4892" spans="2:5">
      <c r="B4892" s="65" t="str">
        <f t="shared" si="76"/>
        <v>doc-x0116:1</v>
      </c>
      <c r="C4892" t="s">
        <v>10567</v>
      </c>
      <c r="D4892">
        <v>1</v>
      </c>
      <c r="E4892" t="s">
        <v>1388</v>
      </c>
    </row>
    <row r="4893" spans="2:5">
      <c r="B4893" s="65" t="str">
        <f t="shared" si="76"/>
        <v>doc-x0116:2</v>
      </c>
      <c r="C4893" t="s">
        <v>10567</v>
      </c>
      <c r="D4893">
        <v>2</v>
      </c>
      <c r="E4893" t="s">
        <v>2367</v>
      </c>
    </row>
    <row r="4894" spans="2:5">
      <c r="B4894" s="65" t="str">
        <f t="shared" si="76"/>
        <v>doc-x0116:3</v>
      </c>
      <c r="C4894" t="s">
        <v>10567</v>
      </c>
      <c r="D4894">
        <v>3</v>
      </c>
      <c r="E4894" t="s">
        <v>1363</v>
      </c>
    </row>
    <row r="4895" spans="2:5">
      <c r="B4895" s="65" t="str">
        <f t="shared" si="76"/>
        <v>doc-x0118:1</v>
      </c>
      <c r="C4895" t="s">
        <v>10568</v>
      </c>
      <c r="D4895">
        <v>1</v>
      </c>
      <c r="E4895" t="s">
        <v>1321</v>
      </c>
    </row>
    <row r="4896" spans="2:5">
      <c r="B4896" s="65" t="str">
        <f t="shared" si="76"/>
        <v>doc-x0118:2</v>
      </c>
      <c r="C4896" t="s">
        <v>10568</v>
      </c>
      <c r="D4896">
        <v>2</v>
      </c>
      <c r="E4896" t="s">
        <v>299</v>
      </c>
    </row>
    <row r="4897" spans="2:5">
      <c r="B4897" s="65" t="str">
        <f t="shared" si="76"/>
        <v>doc-x0118:3</v>
      </c>
      <c r="C4897" t="s">
        <v>10568</v>
      </c>
      <c r="D4897">
        <v>3</v>
      </c>
      <c r="E4897" t="s">
        <v>1417</v>
      </c>
    </row>
    <row r="4898" spans="2:5">
      <c r="B4898" s="65" t="str">
        <f t="shared" si="76"/>
        <v>doc-x0120:1</v>
      </c>
      <c r="C4898" t="s">
        <v>10569</v>
      </c>
      <c r="D4898">
        <v>1</v>
      </c>
      <c r="E4898" t="s">
        <v>3118</v>
      </c>
    </row>
    <row r="4899" spans="2:5">
      <c r="B4899" s="65" t="str">
        <f t="shared" si="76"/>
        <v>doc-x0120:2</v>
      </c>
      <c r="C4899" t="s">
        <v>10569</v>
      </c>
      <c r="D4899">
        <v>2</v>
      </c>
      <c r="E4899" t="s">
        <v>3203</v>
      </c>
    </row>
    <row r="4900" spans="2:5">
      <c r="B4900" s="65" t="str">
        <f t="shared" si="76"/>
        <v>doc-x0120:3</v>
      </c>
      <c r="C4900" t="s">
        <v>10569</v>
      </c>
      <c r="D4900">
        <v>3</v>
      </c>
      <c r="E4900" t="s">
        <v>2622</v>
      </c>
    </row>
    <row r="4901" spans="2:5">
      <c r="B4901" s="65" t="str">
        <f t="shared" si="76"/>
        <v>doc-x0120:4</v>
      </c>
      <c r="C4901" t="s">
        <v>10569</v>
      </c>
      <c r="D4901">
        <v>4</v>
      </c>
      <c r="E4901" t="s">
        <v>2667</v>
      </c>
    </row>
    <row r="4902" spans="2:5">
      <c r="B4902" s="65" t="str">
        <f t="shared" si="76"/>
        <v>doc-x0121:1</v>
      </c>
      <c r="C4902" t="s">
        <v>10570</v>
      </c>
      <c r="D4902">
        <v>1</v>
      </c>
      <c r="E4902" t="s">
        <v>1065</v>
      </c>
    </row>
    <row r="4903" spans="2:5">
      <c r="B4903" s="65" t="str">
        <f t="shared" si="76"/>
        <v>doc-x0121:2</v>
      </c>
      <c r="C4903" t="s">
        <v>10570</v>
      </c>
      <c r="D4903">
        <v>2</v>
      </c>
      <c r="E4903" t="s">
        <v>1561</v>
      </c>
    </row>
    <row r="4904" spans="2:5">
      <c r="B4904" s="65" t="str">
        <f t="shared" si="76"/>
        <v>doc-x0122:1</v>
      </c>
      <c r="C4904" t="s">
        <v>10571</v>
      </c>
      <c r="D4904">
        <v>1</v>
      </c>
      <c r="E4904" t="s">
        <v>1065</v>
      </c>
    </row>
    <row r="4905" spans="2:5">
      <c r="B4905" s="65" t="str">
        <f t="shared" si="76"/>
        <v>doc-x0122:2</v>
      </c>
      <c r="C4905" t="s">
        <v>10571</v>
      </c>
      <c r="D4905">
        <v>2</v>
      </c>
      <c r="E4905" t="s">
        <v>1062</v>
      </c>
    </row>
    <row r="4906" spans="2:5">
      <c r="B4906" s="65" t="str">
        <f t="shared" si="76"/>
        <v>doc-x0123:1</v>
      </c>
      <c r="C4906" t="s">
        <v>10572</v>
      </c>
      <c r="D4906">
        <v>1</v>
      </c>
      <c r="E4906" t="s">
        <v>1310</v>
      </c>
    </row>
    <row r="4907" spans="2:5">
      <c r="B4907" s="65" t="str">
        <f t="shared" si="76"/>
        <v>doc-x0123:2</v>
      </c>
      <c r="C4907" t="s">
        <v>10572</v>
      </c>
      <c r="D4907">
        <v>2</v>
      </c>
      <c r="E4907" t="s">
        <v>1318</v>
      </c>
    </row>
    <row r="4908" spans="2:5">
      <c r="B4908" s="65" t="str">
        <f t="shared" si="76"/>
        <v>doc-x0123:3</v>
      </c>
      <c r="C4908" t="s">
        <v>10572</v>
      </c>
      <c r="D4908">
        <v>3</v>
      </c>
      <c r="E4908" t="s">
        <v>1251</v>
      </c>
    </row>
    <row r="4909" spans="2:5">
      <c r="B4909" s="65" t="str">
        <f t="shared" si="76"/>
        <v>doc-x0124:1</v>
      </c>
      <c r="C4909" t="s">
        <v>10573</v>
      </c>
      <c r="D4909">
        <v>1</v>
      </c>
      <c r="E4909" t="s">
        <v>2722</v>
      </c>
    </row>
    <row r="4910" spans="2:5">
      <c r="B4910" s="65" t="str">
        <f t="shared" si="76"/>
        <v>doc-x0124:2</v>
      </c>
      <c r="C4910" t="s">
        <v>10573</v>
      </c>
      <c r="D4910">
        <v>2</v>
      </c>
      <c r="E4910" t="s">
        <v>2694</v>
      </c>
    </row>
    <row r="4911" spans="2:5">
      <c r="B4911" s="65" t="str">
        <f t="shared" si="76"/>
        <v>doc-x0124:3</v>
      </c>
      <c r="C4911" t="s">
        <v>10573</v>
      </c>
      <c r="D4911">
        <v>3</v>
      </c>
      <c r="E4911" t="s">
        <v>2664</v>
      </c>
    </row>
    <row r="4912" spans="2:5">
      <c r="B4912" s="65" t="str">
        <f t="shared" si="76"/>
        <v>doc-x0124:4</v>
      </c>
      <c r="C4912" t="s">
        <v>10573</v>
      </c>
      <c r="D4912">
        <v>4</v>
      </c>
      <c r="E4912" t="s">
        <v>3205</v>
      </c>
    </row>
    <row r="4913" spans="2:5">
      <c r="B4913" s="65" t="str">
        <f t="shared" si="76"/>
        <v>doc-x0125:1</v>
      </c>
      <c r="C4913" t="s">
        <v>10574</v>
      </c>
      <c r="D4913">
        <v>1</v>
      </c>
      <c r="E4913" t="s">
        <v>3087</v>
      </c>
    </row>
    <row r="4914" spans="2:5">
      <c r="B4914" s="65" t="str">
        <f t="shared" si="76"/>
        <v>doc-x0125:2</v>
      </c>
      <c r="C4914" t="s">
        <v>10574</v>
      </c>
      <c r="D4914">
        <v>2</v>
      </c>
      <c r="E4914" t="s">
        <v>1962</v>
      </c>
    </row>
    <row r="4915" spans="2:5">
      <c r="B4915" s="65" t="str">
        <f t="shared" si="76"/>
        <v>doc-x0125:3</v>
      </c>
      <c r="C4915" t="s">
        <v>10574</v>
      </c>
      <c r="D4915">
        <v>3</v>
      </c>
      <c r="E4915" t="s">
        <v>1959</v>
      </c>
    </row>
    <row r="4916" spans="2:5">
      <c r="B4916" s="65" t="str">
        <f t="shared" si="76"/>
        <v>doc-x0125:4</v>
      </c>
      <c r="C4916" t="s">
        <v>10574</v>
      </c>
      <c r="D4916">
        <v>4</v>
      </c>
      <c r="E4916" t="s">
        <v>3075</v>
      </c>
    </row>
    <row r="4917" spans="2:5">
      <c r="B4917" s="65" t="str">
        <f t="shared" si="76"/>
        <v>doc-x0127:1</v>
      </c>
      <c r="C4917" t="s">
        <v>10575</v>
      </c>
      <c r="D4917">
        <v>1</v>
      </c>
      <c r="E4917" t="s">
        <v>2792</v>
      </c>
    </row>
    <row r="4918" spans="2:5">
      <c r="B4918" s="65" t="str">
        <f t="shared" si="76"/>
        <v>doc-x0127:2</v>
      </c>
      <c r="C4918" t="s">
        <v>10575</v>
      </c>
      <c r="D4918">
        <v>2</v>
      </c>
      <c r="E4918" t="s">
        <v>1318</v>
      </c>
    </row>
    <row r="4919" spans="2:5">
      <c r="B4919" s="65" t="str">
        <f t="shared" si="76"/>
        <v>doc-x0128:1</v>
      </c>
      <c r="C4919" t="s">
        <v>10576</v>
      </c>
      <c r="D4919">
        <v>1</v>
      </c>
      <c r="E4919" t="s">
        <v>1947</v>
      </c>
    </row>
    <row r="4920" spans="2:5">
      <c r="B4920" s="65" t="str">
        <f t="shared" si="76"/>
        <v>doc-x0128:2</v>
      </c>
      <c r="C4920" t="s">
        <v>10576</v>
      </c>
      <c r="D4920">
        <v>2</v>
      </c>
      <c r="E4920" t="s">
        <v>1892</v>
      </c>
    </row>
    <row r="4921" spans="2:5">
      <c r="B4921" s="65" t="str">
        <f t="shared" si="76"/>
        <v>doc-x0129:1</v>
      </c>
      <c r="C4921" t="s">
        <v>10577</v>
      </c>
      <c r="D4921">
        <v>1</v>
      </c>
      <c r="E4921" t="s">
        <v>2749</v>
      </c>
    </row>
    <row r="4922" spans="2:5">
      <c r="B4922" s="65" t="str">
        <f t="shared" si="76"/>
        <v>doc-x0129:2</v>
      </c>
      <c r="C4922" t="s">
        <v>10577</v>
      </c>
      <c r="D4922">
        <v>2</v>
      </c>
      <c r="E4922" t="s">
        <v>2742</v>
      </c>
    </row>
    <row r="4923" spans="2:5">
      <c r="B4923" s="65" t="str">
        <f t="shared" si="76"/>
        <v>doc-x0129:3</v>
      </c>
      <c r="C4923" t="s">
        <v>10577</v>
      </c>
      <c r="D4923">
        <v>3</v>
      </c>
      <c r="E4923" t="s">
        <v>2698</v>
      </c>
    </row>
    <row r="4924" spans="2:5">
      <c r="B4924" s="65" t="str">
        <f t="shared" si="76"/>
        <v>doc-x0129:4</v>
      </c>
      <c r="C4924" t="s">
        <v>10577</v>
      </c>
      <c r="D4924">
        <v>4</v>
      </c>
      <c r="E4924" t="s">
        <v>2646</v>
      </c>
    </row>
    <row r="4925" spans="2:5">
      <c r="B4925" s="65" t="str">
        <f t="shared" si="76"/>
        <v>doc-x0129:5</v>
      </c>
      <c r="C4925" t="s">
        <v>10577</v>
      </c>
      <c r="D4925">
        <v>5</v>
      </c>
      <c r="E4925" t="s">
        <v>2664</v>
      </c>
    </row>
    <row r="4926" spans="2:5">
      <c r="B4926" s="65" t="str">
        <f t="shared" si="76"/>
        <v>doc-x0130:1</v>
      </c>
      <c r="C4926" t="s">
        <v>10578</v>
      </c>
      <c r="D4926">
        <v>1</v>
      </c>
      <c r="E4926" t="s">
        <v>1415</v>
      </c>
    </row>
    <row r="4927" spans="2:5">
      <c r="B4927" s="65" t="str">
        <f t="shared" si="76"/>
        <v>doc-x0130:2</v>
      </c>
      <c r="C4927" t="s">
        <v>10578</v>
      </c>
      <c r="D4927">
        <v>2</v>
      </c>
      <c r="E4927" t="s">
        <v>1369</v>
      </c>
    </row>
    <row r="4928" spans="2:5">
      <c r="B4928" s="65" t="str">
        <f t="shared" si="76"/>
        <v>doc-x0131:1</v>
      </c>
      <c r="C4928" t="s">
        <v>10579</v>
      </c>
      <c r="D4928">
        <v>1</v>
      </c>
      <c r="E4928" t="s">
        <v>2654</v>
      </c>
    </row>
    <row r="4929" spans="2:5">
      <c r="B4929" s="65" t="str">
        <f t="shared" si="76"/>
        <v>doc-x0131:2</v>
      </c>
      <c r="C4929" t="s">
        <v>10579</v>
      </c>
      <c r="D4929">
        <v>2</v>
      </c>
      <c r="E4929" t="s">
        <v>3180</v>
      </c>
    </row>
    <row r="4930" spans="2:5">
      <c r="B4930" s="65" t="str">
        <f t="shared" si="76"/>
        <v>doc-x0131:3</v>
      </c>
      <c r="C4930" t="s">
        <v>10579</v>
      </c>
      <c r="D4930">
        <v>3</v>
      </c>
      <c r="E4930" t="s">
        <v>2729</v>
      </c>
    </row>
    <row r="4931" spans="2:5">
      <c r="B4931" s="65" t="str">
        <f t="shared" si="76"/>
        <v>doc-x0131:4</v>
      </c>
      <c r="C4931" t="s">
        <v>10579</v>
      </c>
      <c r="D4931">
        <v>4</v>
      </c>
      <c r="E4931" t="s">
        <v>2667</v>
      </c>
    </row>
    <row r="4932" spans="2:5">
      <c r="B4932" s="65" t="str">
        <f t="shared" ref="B4932:B4995" si="77">$C4932&amp;":"&amp;$D4932</f>
        <v>doc-x0132:1</v>
      </c>
      <c r="C4932" t="s">
        <v>10580</v>
      </c>
      <c r="D4932">
        <v>1</v>
      </c>
      <c r="E4932" t="s">
        <v>2801</v>
      </c>
    </row>
    <row r="4933" spans="2:5">
      <c r="B4933" s="65" t="str">
        <f t="shared" si="77"/>
        <v>doc-x0132:2</v>
      </c>
      <c r="C4933" t="s">
        <v>10580</v>
      </c>
      <c r="D4933">
        <v>2</v>
      </c>
      <c r="E4933" t="s">
        <v>2771</v>
      </c>
    </row>
    <row r="4934" spans="2:5">
      <c r="B4934" s="65" t="str">
        <f t="shared" si="77"/>
        <v>doc-x0133:1</v>
      </c>
      <c r="C4934" t="s">
        <v>10581</v>
      </c>
      <c r="D4934">
        <v>1</v>
      </c>
      <c r="E4934" t="s">
        <v>2176</v>
      </c>
    </row>
    <row r="4935" spans="2:5">
      <c r="B4935" s="65" t="str">
        <f t="shared" si="77"/>
        <v>doc-x0133:2</v>
      </c>
      <c r="C4935" t="s">
        <v>10581</v>
      </c>
      <c r="D4935">
        <v>2</v>
      </c>
      <c r="E4935" t="s">
        <v>2179</v>
      </c>
    </row>
    <row r="4936" spans="2:5">
      <c r="B4936" s="65" t="str">
        <f t="shared" si="77"/>
        <v>doc-x0133:3</v>
      </c>
      <c r="C4936" t="s">
        <v>10581</v>
      </c>
      <c r="D4936">
        <v>3</v>
      </c>
      <c r="E4936" t="s">
        <v>2121</v>
      </c>
    </row>
    <row r="4937" spans="2:5">
      <c r="B4937" s="65" t="str">
        <f t="shared" si="77"/>
        <v>doc-x0134:1</v>
      </c>
      <c r="C4937" t="s">
        <v>10582</v>
      </c>
      <c r="D4937">
        <v>1</v>
      </c>
      <c r="E4937" t="s">
        <v>1310</v>
      </c>
    </row>
    <row r="4938" spans="2:5">
      <c r="B4938" s="65" t="str">
        <f t="shared" si="77"/>
        <v>doc-x0134:2</v>
      </c>
      <c r="C4938" t="s">
        <v>10582</v>
      </c>
      <c r="D4938">
        <v>2</v>
      </c>
      <c r="E4938" t="s">
        <v>1318</v>
      </c>
    </row>
    <row r="4939" spans="2:5">
      <c r="B4939" s="65" t="str">
        <f t="shared" si="77"/>
        <v>doc-x0135:1</v>
      </c>
      <c r="C4939" t="s">
        <v>10583</v>
      </c>
      <c r="D4939">
        <v>1</v>
      </c>
      <c r="E4939" t="s">
        <v>2435</v>
      </c>
    </row>
    <row r="4940" spans="2:5">
      <c r="B4940" s="65" t="str">
        <f t="shared" si="77"/>
        <v>doc-x0135:2</v>
      </c>
      <c r="C4940" t="s">
        <v>10583</v>
      </c>
      <c r="D4940">
        <v>2</v>
      </c>
      <c r="E4940" t="s">
        <v>2422</v>
      </c>
    </row>
    <row r="4941" spans="2:5">
      <c r="B4941" s="65" t="str">
        <f t="shared" si="77"/>
        <v>doc-x0136:1</v>
      </c>
      <c r="C4941" t="s">
        <v>10584</v>
      </c>
      <c r="D4941">
        <v>1</v>
      </c>
      <c r="E4941" t="s">
        <v>1830</v>
      </c>
    </row>
    <row r="4942" spans="2:5">
      <c r="B4942" s="65" t="str">
        <f t="shared" si="77"/>
        <v>doc-x0136:2</v>
      </c>
      <c r="C4942" t="s">
        <v>10584</v>
      </c>
      <c r="D4942">
        <v>2</v>
      </c>
      <c r="E4942" t="s">
        <v>3175</v>
      </c>
    </row>
    <row r="4943" spans="2:5">
      <c r="B4943" s="65" t="str">
        <f t="shared" si="77"/>
        <v>doc-x0136:3</v>
      </c>
      <c r="C4943" t="s">
        <v>10584</v>
      </c>
      <c r="D4943">
        <v>3</v>
      </c>
      <c r="E4943" t="s">
        <v>1971</v>
      </c>
    </row>
    <row r="4944" spans="2:5">
      <c r="B4944" s="65" t="str">
        <f t="shared" si="77"/>
        <v>doc-x0138:1</v>
      </c>
      <c r="C4944" t="s">
        <v>10585</v>
      </c>
      <c r="D4944">
        <v>1</v>
      </c>
      <c r="E4944" t="s">
        <v>1425</v>
      </c>
    </row>
    <row r="4945" spans="2:5">
      <c r="B4945" s="65" t="str">
        <f t="shared" si="77"/>
        <v>doc-x0138:2</v>
      </c>
      <c r="C4945" t="s">
        <v>10585</v>
      </c>
      <c r="D4945">
        <v>2</v>
      </c>
      <c r="E4945" t="s">
        <v>1366</v>
      </c>
    </row>
    <row r="4946" spans="2:5">
      <c r="B4946" s="65" t="str">
        <f t="shared" si="77"/>
        <v>doc-x0138:3</v>
      </c>
      <c r="C4946" t="s">
        <v>10585</v>
      </c>
      <c r="D4946">
        <v>3</v>
      </c>
      <c r="E4946" t="s">
        <v>1349</v>
      </c>
    </row>
    <row r="4947" spans="2:5">
      <c r="B4947" s="65" t="str">
        <f t="shared" si="77"/>
        <v>doc-x0138:4</v>
      </c>
      <c r="C4947" t="s">
        <v>10585</v>
      </c>
      <c r="D4947">
        <v>4</v>
      </c>
      <c r="E4947" t="s">
        <v>281</v>
      </c>
    </row>
    <row r="4948" spans="2:5">
      <c r="B4948" s="65" t="str">
        <f t="shared" si="77"/>
        <v>doc-x0138:5</v>
      </c>
      <c r="C4948" t="s">
        <v>10585</v>
      </c>
      <c r="D4948">
        <v>5</v>
      </c>
      <c r="E4948" t="s">
        <v>1856</v>
      </c>
    </row>
    <row r="4949" spans="2:5">
      <c r="B4949" s="65" t="str">
        <f t="shared" si="77"/>
        <v>doc-x0138:6</v>
      </c>
      <c r="C4949" t="s">
        <v>10585</v>
      </c>
      <c r="D4949">
        <v>6</v>
      </c>
      <c r="E4949" t="s">
        <v>1395</v>
      </c>
    </row>
    <row r="4950" spans="2:5">
      <c r="B4950" s="65" t="str">
        <f t="shared" si="77"/>
        <v>doc-x0138:7</v>
      </c>
      <c r="C4950" t="s">
        <v>10585</v>
      </c>
      <c r="D4950">
        <v>7</v>
      </c>
      <c r="E4950" t="s">
        <v>2310</v>
      </c>
    </row>
    <row r="4951" spans="2:5">
      <c r="B4951" s="65" t="str">
        <f t="shared" si="77"/>
        <v>doc-x0139:1</v>
      </c>
      <c r="C4951" t="s">
        <v>10586</v>
      </c>
      <c r="D4951">
        <v>1</v>
      </c>
      <c r="E4951" t="s">
        <v>3191</v>
      </c>
    </row>
    <row r="4952" spans="2:5">
      <c r="B4952" s="65" t="str">
        <f t="shared" si="77"/>
        <v>doc-x0139:2</v>
      </c>
      <c r="C4952" t="s">
        <v>10586</v>
      </c>
      <c r="D4952">
        <v>2</v>
      </c>
      <c r="E4952" t="s">
        <v>2753</v>
      </c>
    </row>
    <row r="4953" spans="2:5">
      <c r="B4953" s="65" t="str">
        <f t="shared" si="77"/>
        <v>doc-x0139:3</v>
      </c>
      <c r="C4953" t="s">
        <v>10586</v>
      </c>
      <c r="D4953">
        <v>3</v>
      </c>
      <c r="E4953" t="s">
        <v>3193</v>
      </c>
    </row>
    <row r="4954" spans="2:5">
      <c r="B4954" s="65" t="str">
        <f t="shared" si="77"/>
        <v>doc-x0139:4</v>
      </c>
      <c r="C4954" t="s">
        <v>10586</v>
      </c>
      <c r="D4954">
        <v>4</v>
      </c>
      <c r="E4954" t="s">
        <v>1417</v>
      </c>
    </row>
    <row r="4955" spans="2:5">
      <c r="B4955" s="65" t="str">
        <f t="shared" si="77"/>
        <v>doc-x0139:5</v>
      </c>
      <c r="C4955" t="s">
        <v>10586</v>
      </c>
      <c r="D4955">
        <v>5</v>
      </c>
      <c r="E4955" t="s">
        <v>3189</v>
      </c>
    </row>
    <row r="4956" spans="2:5">
      <c r="B4956" s="65" t="str">
        <f t="shared" si="77"/>
        <v>doc-x0141:1</v>
      </c>
      <c r="C4956" t="s">
        <v>10587</v>
      </c>
      <c r="D4956">
        <v>1</v>
      </c>
      <c r="E4956" t="s">
        <v>2792</v>
      </c>
    </row>
    <row r="4957" spans="2:5">
      <c r="B4957" s="65" t="str">
        <f t="shared" si="77"/>
        <v>doc-x0141:2</v>
      </c>
      <c r="C4957" t="s">
        <v>10587</v>
      </c>
      <c r="D4957">
        <v>2</v>
      </c>
      <c r="E4957" t="s">
        <v>3129</v>
      </c>
    </row>
    <row r="4958" spans="2:5">
      <c r="B4958" s="65" t="str">
        <f t="shared" si="77"/>
        <v>doc-x0142:1</v>
      </c>
      <c r="C4958" t="s">
        <v>10588</v>
      </c>
      <c r="D4958">
        <v>1</v>
      </c>
      <c r="E4958" t="s">
        <v>1856</v>
      </c>
    </row>
    <row r="4959" spans="2:5">
      <c r="B4959" s="65" t="str">
        <f t="shared" si="77"/>
        <v>doc-x0142:2</v>
      </c>
      <c r="C4959" t="s">
        <v>10588</v>
      </c>
      <c r="D4959">
        <v>2</v>
      </c>
      <c r="E4959" t="s">
        <v>1425</v>
      </c>
    </row>
    <row r="4960" spans="2:5">
      <c r="B4960" s="65" t="str">
        <f t="shared" si="77"/>
        <v>doc-x0142:3</v>
      </c>
      <c r="C4960" t="s">
        <v>10588</v>
      </c>
      <c r="D4960">
        <v>3</v>
      </c>
      <c r="E4960" t="s">
        <v>1360</v>
      </c>
    </row>
    <row r="4961" spans="2:5">
      <c r="B4961" s="65" t="str">
        <f t="shared" si="77"/>
        <v>doc-x0143:1</v>
      </c>
      <c r="C4961" t="s">
        <v>10589</v>
      </c>
      <c r="D4961">
        <v>1</v>
      </c>
      <c r="E4961" t="s">
        <v>73</v>
      </c>
    </row>
    <row r="4962" spans="2:5">
      <c r="B4962" s="65" t="str">
        <f t="shared" si="77"/>
        <v>doc-x0144:1</v>
      </c>
      <c r="C4962" t="s">
        <v>10590</v>
      </c>
      <c r="D4962">
        <v>1</v>
      </c>
      <c r="E4962" t="s">
        <v>1443</v>
      </c>
    </row>
    <row r="4963" spans="2:5">
      <c r="B4963" s="65" t="str">
        <f t="shared" si="77"/>
        <v>doc-x0144:2</v>
      </c>
      <c r="C4963" t="s">
        <v>10590</v>
      </c>
      <c r="D4963">
        <v>2</v>
      </c>
      <c r="E4963" t="s">
        <v>1398</v>
      </c>
    </row>
    <row r="4964" spans="2:5">
      <c r="B4964" s="65" t="str">
        <f t="shared" si="77"/>
        <v>doc-x0145:1</v>
      </c>
      <c r="C4964" t="s">
        <v>10591</v>
      </c>
      <c r="D4964">
        <v>1</v>
      </c>
      <c r="E4964" t="s">
        <v>2862</v>
      </c>
    </row>
    <row r="4965" spans="2:5">
      <c r="B4965" s="65" t="str">
        <f t="shared" si="77"/>
        <v>doc-x0145:2</v>
      </c>
      <c r="C4965" t="s">
        <v>10591</v>
      </c>
      <c r="D4965">
        <v>2</v>
      </c>
      <c r="E4965" t="s">
        <v>2040</v>
      </c>
    </row>
    <row r="4966" spans="2:5">
      <c r="B4966" s="65" t="str">
        <f t="shared" si="77"/>
        <v>doc-x0145:3</v>
      </c>
      <c r="C4966" t="s">
        <v>10591</v>
      </c>
      <c r="D4966">
        <v>3</v>
      </c>
      <c r="E4966" t="s">
        <v>2849</v>
      </c>
    </row>
    <row r="4967" spans="2:5">
      <c r="B4967" s="65" t="str">
        <f t="shared" si="77"/>
        <v>doc-x0145:4</v>
      </c>
      <c r="C4967" t="s">
        <v>10591</v>
      </c>
      <c r="D4967">
        <v>4</v>
      </c>
      <c r="E4967" t="s">
        <v>1819</v>
      </c>
    </row>
    <row r="4968" spans="2:5">
      <c r="B4968" s="65" t="str">
        <f t="shared" si="77"/>
        <v>doc-x0146:1</v>
      </c>
      <c r="C4968" t="s">
        <v>10592</v>
      </c>
      <c r="D4968">
        <v>1</v>
      </c>
      <c r="E4968" t="s">
        <v>2023</v>
      </c>
    </row>
    <row r="4969" spans="2:5">
      <c r="B4969" s="65" t="str">
        <f t="shared" si="77"/>
        <v>doc-x0146:2</v>
      </c>
      <c r="C4969" t="s">
        <v>10592</v>
      </c>
      <c r="D4969">
        <v>2</v>
      </c>
      <c r="E4969" t="s">
        <v>1518</v>
      </c>
    </row>
    <row r="4970" spans="2:5">
      <c r="B4970" s="65" t="str">
        <f t="shared" si="77"/>
        <v>doc-x0146:3</v>
      </c>
      <c r="C4970" t="s">
        <v>10592</v>
      </c>
      <c r="D4970">
        <v>3</v>
      </c>
      <c r="E4970" t="s">
        <v>296</v>
      </c>
    </row>
    <row r="4971" spans="2:5">
      <c r="B4971" s="65" t="str">
        <f t="shared" si="77"/>
        <v>doc-x0147:1</v>
      </c>
      <c r="C4971" t="s">
        <v>10593</v>
      </c>
      <c r="D4971">
        <v>1</v>
      </c>
      <c r="E4971" t="s">
        <v>2407</v>
      </c>
    </row>
    <row r="4972" spans="2:5">
      <c r="B4972" s="65" t="str">
        <f t="shared" si="77"/>
        <v>doc-x0147:2</v>
      </c>
      <c r="C4972" t="s">
        <v>10593</v>
      </c>
      <c r="D4972">
        <v>2</v>
      </c>
      <c r="E4972" t="s">
        <v>2383</v>
      </c>
    </row>
    <row r="4973" spans="2:5">
      <c r="B4973" s="65" t="str">
        <f t="shared" si="77"/>
        <v>doc-x0148:1</v>
      </c>
      <c r="C4973" t="s">
        <v>10594</v>
      </c>
      <c r="D4973">
        <v>1</v>
      </c>
      <c r="E4973" t="s">
        <v>2849</v>
      </c>
    </row>
    <row r="4974" spans="2:5">
      <c r="B4974" s="65" t="str">
        <f t="shared" si="77"/>
        <v>doc-x0149:1</v>
      </c>
      <c r="C4974" t="s">
        <v>10595</v>
      </c>
      <c r="D4974">
        <v>1</v>
      </c>
      <c r="E4974" t="s">
        <v>2864</v>
      </c>
    </row>
    <row r="4975" spans="2:5">
      <c r="B4975" s="65" t="str">
        <f t="shared" si="77"/>
        <v>doc-x0149:2</v>
      </c>
      <c r="C4975" t="s">
        <v>10595</v>
      </c>
      <c r="D4975">
        <v>2</v>
      </c>
      <c r="E4975" t="s">
        <v>2847</v>
      </c>
    </row>
    <row r="4976" spans="2:5">
      <c r="B4976" s="65" t="str">
        <f t="shared" si="77"/>
        <v>doc-x0149:3</v>
      </c>
      <c r="C4976" t="s">
        <v>10595</v>
      </c>
      <c r="D4976">
        <v>3</v>
      </c>
      <c r="E4976" t="s">
        <v>2849</v>
      </c>
    </row>
    <row r="4977" spans="2:5">
      <c r="B4977" s="65" t="str">
        <f t="shared" si="77"/>
        <v>doc-x0150:1</v>
      </c>
      <c r="C4977" t="s">
        <v>10596</v>
      </c>
      <c r="D4977">
        <v>1</v>
      </c>
      <c r="E4977" t="s">
        <v>2901</v>
      </c>
    </row>
    <row r="4978" spans="2:5">
      <c r="B4978" s="65" t="str">
        <f t="shared" si="77"/>
        <v>doc-x0150:2</v>
      </c>
      <c r="C4978" t="s">
        <v>10596</v>
      </c>
      <c r="D4978">
        <v>2</v>
      </c>
      <c r="E4978" t="s">
        <v>2860</v>
      </c>
    </row>
    <row r="4979" spans="2:5">
      <c r="B4979" s="65" t="str">
        <f t="shared" si="77"/>
        <v>doc-x0150:3</v>
      </c>
      <c r="C4979" t="s">
        <v>10596</v>
      </c>
      <c r="D4979">
        <v>3</v>
      </c>
      <c r="E4979" t="s">
        <v>2839</v>
      </c>
    </row>
    <row r="4980" spans="2:5">
      <c r="B4980" s="65" t="str">
        <f t="shared" si="77"/>
        <v>doc-x0150:4</v>
      </c>
      <c r="C4980" t="s">
        <v>10596</v>
      </c>
      <c r="D4980">
        <v>4</v>
      </c>
      <c r="E4980" t="s">
        <v>2849</v>
      </c>
    </row>
    <row r="4981" spans="2:5">
      <c r="B4981" s="65" t="str">
        <f t="shared" si="77"/>
        <v>doc-x0150:5</v>
      </c>
      <c r="C4981" t="s">
        <v>10596</v>
      </c>
      <c r="D4981">
        <v>5</v>
      </c>
      <c r="E4981" t="s">
        <v>2563</v>
      </c>
    </row>
    <row r="4982" spans="2:5">
      <c r="B4982" s="65" t="str">
        <f t="shared" si="77"/>
        <v>doc-x0151:1</v>
      </c>
      <c r="C4982" t="s">
        <v>10597</v>
      </c>
      <c r="D4982">
        <v>1</v>
      </c>
      <c r="E4982" t="s">
        <v>3126</v>
      </c>
    </row>
    <row r="4983" spans="2:5">
      <c r="B4983" s="65" t="str">
        <f t="shared" si="77"/>
        <v>doc-x0151:2</v>
      </c>
      <c r="C4983" t="s">
        <v>10597</v>
      </c>
      <c r="D4983">
        <v>2</v>
      </c>
      <c r="E4983" t="s">
        <v>2286</v>
      </c>
    </row>
    <row r="4984" spans="2:5">
      <c r="B4984" s="65" t="str">
        <f t="shared" si="77"/>
        <v>doc-x0151:3</v>
      </c>
      <c r="C4984" t="s">
        <v>10597</v>
      </c>
      <c r="D4984">
        <v>3</v>
      </c>
      <c r="E4984" t="s">
        <v>2552</v>
      </c>
    </row>
    <row r="4985" spans="2:5">
      <c r="B4985" s="65" t="str">
        <f t="shared" si="77"/>
        <v>doc-x0151:4</v>
      </c>
      <c r="C4985" t="s">
        <v>10597</v>
      </c>
      <c r="D4985">
        <v>4</v>
      </c>
      <c r="E4985" t="s">
        <v>2849</v>
      </c>
    </row>
    <row r="4986" spans="2:5">
      <c r="B4986" s="65" t="str">
        <f t="shared" si="77"/>
        <v>doc-x0151:5</v>
      </c>
      <c r="C4986" t="s">
        <v>10597</v>
      </c>
      <c r="D4986">
        <v>5</v>
      </c>
      <c r="E4986" t="s">
        <v>2763</v>
      </c>
    </row>
    <row r="4987" spans="2:5">
      <c r="B4987" s="65" t="str">
        <f t="shared" si="77"/>
        <v>doc-x0152:1</v>
      </c>
      <c r="C4987" t="s">
        <v>10598</v>
      </c>
      <c r="D4987">
        <v>1</v>
      </c>
      <c r="E4987" t="s">
        <v>3075</v>
      </c>
    </row>
    <row r="4988" spans="2:5">
      <c r="B4988" s="65" t="str">
        <f t="shared" si="77"/>
        <v>doc-x0152:2</v>
      </c>
      <c r="C4988" t="s">
        <v>10598</v>
      </c>
      <c r="D4988">
        <v>2</v>
      </c>
      <c r="E4988" t="s">
        <v>3080</v>
      </c>
    </row>
    <row r="4989" spans="2:5">
      <c r="B4989" s="65" t="str">
        <f t="shared" si="77"/>
        <v>doc-x0152:3</v>
      </c>
      <c r="C4989" t="s">
        <v>10598</v>
      </c>
      <c r="D4989">
        <v>3</v>
      </c>
      <c r="E4989" t="s">
        <v>3076</v>
      </c>
    </row>
    <row r="4990" spans="2:5">
      <c r="B4990" s="65" t="str">
        <f t="shared" si="77"/>
        <v>doc-x0152:4</v>
      </c>
      <c r="C4990" t="s">
        <v>10598</v>
      </c>
      <c r="D4990">
        <v>4</v>
      </c>
      <c r="E4990" t="s">
        <v>1962</v>
      </c>
    </row>
    <row r="4991" spans="2:5">
      <c r="B4991" s="65" t="str">
        <f t="shared" si="77"/>
        <v>doc-x0152:5</v>
      </c>
      <c r="C4991" t="s">
        <v>10598</v>
      </c>
      <c r="D4991">
        <v>5</v>
      </c>
      <c r="E4991" t="s">
        <v>1844</v>
      </c>
    </row>
    <row r="4992" spans="2:5">
      <c r="B4992" s="65" t="str">
        <f t="shared" si="77"/>
        <v>doc-x0152:6</v>
      </c>
      <c r="C4992" t="s">
        <v>10598</v>
      </c>
      <c r="D4992">
        <v>6</v>
      </c>
      <c r="E4992" t="s">
        <v>1116</v>
      </c>
    </row>
    <row r="4993" spans="2:5">
      <c r="B4993" s="65" t="str">
        <f t="shared" si="77"/>
        <v>doc-x0152:7</v>
      </c>
      <c r="C4993" t="s">
        <v>10598</v>
      </c>
      <c r="D4993">
        <v>7</v>
      </c>
      <c r="E4993" t="s">
        <v>2218</v>
      </c>
    </row>
    <row r="4994" spans="2:5">
      <c r="B4994" s="65" t="str">
        <f t="shared" si="77"/>
        <v>doc-x0154:1</v>
      </c>
      <c r="C4994" t="s">
        <v>10599</v>
      </c>
      <c r="D4994">
        <v>1</v>
      </c>
      <c r="E4994" t="s">
        <v>2646</v>
      </c>
    </row>
    <row r="4995" spans="2:5">
      <c r="B4995" s="65" t="str">
        <f t="shared" si="77"/>
        <v>doc-x0154:2</v>
      </c>
      <c r="C4995" t="s">
        <v>10599</v>
      </c>
      <c r="D4995">
        <v>2</v>
      </c>
      <c r="E4995" t="s">
        <v>2722</v>
      </c>
    </row>
    <row r="4996" spans="2:5">
      <c r="B4996" s="65" t="str">
        <f t="shared" ref="B4996:B5059" si="78">$C4996&amp;":"&amp;$D4996</f>
        <v>doc-x0154:3</v>
      </c>
      <c r="C4996" t="s">
        <v>10599</v>
      </c>
      <c r="D4996">
        <v>3</v>
      </c>
      <c r="E4996" t="s">
        <v>2749</v>
      </c>
    </row>
    <row r="4997" spans="2:5">
      <c r="B4997" s="65" t="str">
        <f t="shared" si="78"/>
        <v>doc-x0154:4</v>
      </c>
      <c r="C4997" t="s">
        <v>10599</v>
      </c>
      <c r="D4997">
        <v>4</v>
      </c>
      <c r="E4997" t="s">
        <v>2664</v>
      </c>
    </row>
    <row r="4998" spans="2:5">
      <c r="B4998" s="65" t="str">
        <f t="shared" si="78"/>
        <v>doc-x0154:5</v>
      </c>
      <c r="C4998" t="s">
        <v>10599</v>
      </c>
      <c r="D4998">
        <v>5</v>
      </c>
      <c r="E4998" t="s">
        <v>3233</v>
      </c>
    </row>
    <row r="4999" spans="2:5">
      <c r="B4999" s="65" t="str">
        <f t="shared" si="78"/>
        <v>doc-x0155:1</v>
      </c>
      <c r="C4999" t="s">
        <v>10600</v>
      </c>
      <c r="D4999">
        <v>1</v>
      </c>
      <c r="E4999" t="s">
        <v>2799</v>
      </c>
    </row>
    <row r="5000" spans="2:5">
      <c r="B5000" s="65" t="str">
        <f t="shared" si="78"/>
        <v>doc-x0155:2</v>
      </c>
      <c r="C5000" t="s">
        <v>10600</v>
      </c>
      <c r="D5000">
        <v>2</v>
      </c>
      <c r="E5000" t="s">
        <v>2773</v>
      </c>
    </row>
    <row r="5001" spans="2:5">
      <c r="B5001" s="65" t="str">
        <f t="shared" si="78"/>
        <v>doc-x0156:1</v>
      </c>
      <c r="C5001" t="s">
        <v>10601</v>
      </c>
      <c r="D5001">
        <v>1</v>
      </c>
      <c r="E5001" t="s">
        <v>1825</v>
      </c>
    </row>
    <row r="5002" spans="2:5">
      <c r="B5002" s="65" t="str">
        <f t="shared" si="78"/>
        <v>doc-x0157:1</v>
      </c>
      <c r="C5002" t="s">
        <v>10602</v>
      </c>
      <c r="D5002">
        <v>1</v>
      </c>
      <c r="E5002" t="s">
        <v>1830</v>
      </c>
    </row>
    <row r="5003" spans="2:5">
      <c r="B5003" s="65" t="str">
        <f t="shared" si="78"/>
        <v>doc-x0158:1</v>
      </c>
      <c r="C5003" t="s">
        <v>10603</v>
      </c>
      <c r="D5003">
        <v>1</v>
      </c>
      <c r="E5003" t="s">
        <v>3023</v>
      </c>
    </row>
    <row r="5004" spans="2:5">
      <c r="B5004" s="65" t="str">
        <f t="shared" si="78"/>
        <v>doc-x0158:2</v>
      </c>
      <c r="C5004" t="s">
        <v>10603</v>
      </c>
      <c r="D5004">
        <v>2</v>
      </c>
      <c r="E5004" t="s">
        <v>2279</v>
      </c>
    </row>
    <row r="5005" spans="2:5">
      <c r="B5005" s="65" t="str">
        <f t="shared" si="78"/>
        <v>doc-x0158:3</v>
      </c>
      <c r="C5005" t="s">
        <v>10603</v>
      </c>
      <c r="D5005">
        <v>3</v>
      </c>
      <c r="E5005" t="s">
        <v>3019</v>
      </c>
    </row>
    <row r="5006" spans="2:5">
      <c r="B5006" s="65" t="str">
        <f t="shared" si="78"/>
        <v>doc-x0158:4</v>
      </c>
      <c r="C5006" t="s">
        <v>10603</v>
      </c>
      <c r="D5006">
        <v>4</v>
      </c>
      <c r="E5006" t="s">
        <v>2276</v>
      </c>
    </row>
    <row r="5007" spans="2:5">
      <c r="B5007" s="65" t="str">
        <f t="shared" si="78"/>
        <v>doc-x0158:5</v>
      </c>
      <c r="C5007" t="s">
        <v>10603</v>
      </c>
      <c r="D5007">
        <v>5</v>
      </c>
      <c r="E5007" t="s">
        <v>3007</v>
      </c>
    </row>
    <row r="5008" spans="2:5">
      <c r="B5008" s="65" t="str">
        <f t="shared" si="78"/>
        <v>doc-x0158:6</v>
      </c>
      <c r="C5008" t="s">
        <v>10603</v>
      </c>
      <c r="D5008">
        <v>6</v>
      </c>
      <c r="E5008" t="s">
        <v>2996</v>
      </c>
    </row>
    <row r="5009" spans="2:5">
      <c r="B5009" s="65" t="str">
        <f t="shared" si="78"/>
        <v>doc-x0159:1</v>
      </c>
      <c r="C5009" t="s">
        <v>10604</v>
      </c>
      <c r="D5009">
        <v>1</v>
      </c>
      <c r="E5009" t="s">
        <v>1830</v>
      </c>
    </row>
    <row r="5010" spans="2:5">
      <c r="B5010" s="65" t="str">
        <f t="shared" si="78"/>
        <v>doc-x0160:1</v>
      </c>
      <c r="C5010" t="s">
        <v>10605</v>
      </c>
      <c r="D5010">
        <v>1</v>
      </c>
      <c r="E5010" t="s">
        <v>2179</v>
      </c>
    </row>
    <row r="5011" spans="2:5">
      <c r="B5011" s="65" t="str">
        <f t="shared" si="78"/>
        <v>doc-x0160:2</v>
      </c>
      <c r="C5011" t="s">
        <v>10605</v>
      </c>
      <c r="D5011">
        <v>2</v>
      </c>
      <c r="E5011" t="s">
        <v>2121</v>
      </c>
    </row>
    <row r="5012" spans="2:5">
      <c r="B5012" s="65" t="str">
        <f t="shared" si="78"/>
        <v>doc-x0160:3</v>
      </c>
      <c r="C5012" t="s">
        <v>10605</v>
      </c>
      <c r="D5012">
        <v>3</v>
      </c>
      <c r="E5012" t="s">
        <v>1191</v>
      </c>
    </row>
    <row r="5013" spans="2:5">
      <c r="B5013" s="65" t="str">
        <f t="shared" si="78"/>
        <v>doc-x0161:1</v>
      </c>
      <c r="C5013" t="s">
        <v>10606</v>
      </c>
      <c r="D5013">
        <v>1</v>
      </c>
      <c r="E5013" t="s">
        <v>2933</v>
      </c>
    </row>
    <row r="5014" spans="2:5">
      <c r="B5014" s="65" t="str">
        <f t="shared" si="78"/>
        <v>doc-x0161:2</v>
      </c>
      <c r="C5014" t="s">
        <v>10606</v>
      </c>
      <c r="D5014">
        <v>2</v>
      </c>
      <c r="E5014" t="s">
        <v>299</v>
      </c>
    </row>
    <row r="5015" spans="2:5">
      <c r="B5015" s="65" t="str">
        <f t="shared" si="78"/>
        <v>doc-x0161:3</v>
      </c>
      <c r="C5015" t="s">
        <v>10606</v>
      </c>
      <c r="D5015">
        <v>3</v>
      </c>
      <c r="E5015" t="s">
        <v>2939</v>
      </c>
    </row>
    <row r="5016" spans="2:5">
      <c r="B5016" s="65" t="str">
        <f t="shared" si="78"/>
        <v>doc-x0161:4</v>
      </c>
      <c r="C5016" t="s">
        <v>10606</v>
      </c>
      <c r="D5016">
        <v>4</v>
      </c>
      <c r="E5016" t="s">
        <v>1417</v>
      </c>
    </row>
    <row r="5017" spans="2:5">
      <c r="B5017" s="65" t="str">
        <f t="shared" si="78"/>
        <v>doc-x0162:1</v>
      </c>
      <c r="C5017" t="s">
        <v>10607</v>
      </c>
      <c r="D5017">
        <v>1</v>
      </c>
      <c r="E5017" t="s">
        <v>2023</v>
      </c>
    </row>
    <row r="5018" spans="2:5">
      <c r="B5018" s="65" t="str">
        <f t="shared" si="78"/>
        <v>doc-x0162:2</v>
      </c>
      <c r="C5018" t="s">
        <v>10607</v>
      </c>
      <c r="D5018">
        <v>2</v>
      </c>
      <c r="E5018" t="s">
        <v>1518</v>
      </c>
    </row>
    <row r="5019" spans="2:5">
      <c r="B5019" s="65" t="str">
        <f t="shared" si="78"/>
        <v>doc-x0162:3</v>
      </c>
      <c r="C5019" t="s">
        <v>10607</v>
      </c>
      <c r="D5019">
        <v>3</v>
      </c>
      <c r="E5019" t="s">
        <v>296</v>
      </c>
    </row>
    <row r="5020" spans="2:5">
      <c r="B5020" s="65" t="str">
        <f t="shared" si="78"/>
        <v>doc-x0163:1</v>
      </c>
      <c r="C5020" t="s">
        <v>10608</v>
      </c>
      <c r="D5020">
        <v>1</v>
      </c>
      <c r="E5020" t="s">
        <v>2485</v>
      </c>
    </row>
    <row r="5021" spans="2:5">
      <c r="B5021" s="65" t="str">
        <f t="shared" si="78"/>
        <v>doc-x0163:2</v>
      </c>
      <c r="C5021" t="s">
        <v>10608</v>
      </c>
      <c r="D5021">
        <v>2</v>
      </c>
      <c r="E5021" t="s">
        <v>2435</v>
      </c>
    </row>
    <row r="5022" spans="2:5">
      <c r="B5022" s="65" t="str">
        <f t="shared" si="78"/>
        <v>doc-x0163:3</v>
      </c>
      <c r="C5022" t="s">
        <v>10608</v>
      </c>
      <c r="D5022">
        <v>3</v>
      </c>
      <c r="E5022" t="s">
        <v>2422</v>
      </c>
    </row>
    <row r="5023" spans="2:5">
      <c r="B5023" s="65" t="str">
        <f t="shared" si="78"/>
        <v>doc-x0165:1</v>
      </c>
      <c r="C5023" t="s">
        <v>10609</v>
      </c>
      <c r="D5023">
        <v>1</v>
      </c>
      <c r="E5023" t="s">
        <v>3068</v>
      </c>
    </row>
    <row r="5024" spans="2:5">
      <c r="B5024" s="65" t="str">
        <f t="shared" si="78"/>
        <v>doc-x0165:2</v>
      </c>
      <c r="C5024" t="s">
        <v>10609</v>
      </c>
      <c r="D5024">
        <v>2</v>
      </c>
      <c r="E5024" t="s">
        <v>3061</v>
      </c>
    </row>
    <row r="5025" spans="2:5">
      <c r="B5025" s="65" t="str">
        <f t="shared" si="78"/>
        <v>doc-x0165:3</v>
      </c>
      <c r="C5025" t="s">
        <v>10609</v>
      </c>
      <c r="D5025">
        <v>3</v>
      </c>
      <c r="E5025" t="s">
        <v>79</v>
      </c>
    </row>
    <row r="5026" spans="2:5">
      <c r="B5026" s="65" t="str">
        <f t="shared" si="78"/>
        <v>doc-x0165:4</v>
      </c>
      <c r="C5026" t="s">
        <v>10609</v>
      </c>
      <c r="D5026">
        <v>4</v>
      </c>
      <c r="E5026" t="s">
        <v>3058</v>
      </c>
    </row>
    <row r="5027" spans="2:5">
      <c r="B5027" s="65" t="str">
        <f t="shared" si="78"/>
        <v>doc-x0168:1</v>
      </c>
      <c r="C5027" t="s">
        <v>10610</v>
      </c>
      <c r="D5027">
        <v>1</v>
      </c>
      <c r="E5027" t="s">
        <v>2792</v>
      </c>
    </row>
    <row r="5028" spans="2:5">
      <c r="B5028" s="65" t="str">
        <f t="shared" si="78"/>
        <v>doc-x0168:2</v>
      </c>
      <c r="C5028" t="s">
        <v>10610</v>
      </c>
      <c r="D5028">
        <v>2</v>
      </c>
      <c r="E5028" t="s">
        <v>1318</v>
      </c>
    </row>
    <row r="5029" spans="2:5">
      <c r="B5029" s="65" t="str">
        <f t="shared" si="78"/>
        <v>doc-x0169:1</v>
      </c>
      <c r="C5029" t="s">
        <v>10611</v>
      </c>
      <c r="D5029">
        <v>1</v>
      </c>
      <c r="E5029" t="s">
        <v>1720</v>
      </c>
    </row>
    <row r="5030" spans="2:5">
      <c r="B5030" s="65" t="str">
        <f t="shared" si="78"/>
        <v>doc-x0169:2</v>
      </c>
      <c r="C5030" t="s">
        <v>10611</v>
      </c>
      <c r="D5030">
        <v>2</v>
      </c>
      <c r="E5030" t="s">
        <v>1833</v>
      </c>
    </row>
    <row r="5031" spans="2:5">
      <c r="B5031" s="65" t="str">
        <f t="shared" si="78"/>
        <v>doc-x0169:3</v>
      </c>
      <c r="C5031" t="s">
        <v>10611</v>
      </c>
      <c r="D5031">
        <v>3</v>
      </c>
      <c r="E5031" t="s">
        <v>1902</v>
      </c>
    </row>
    <row r="5032" spans="2:5">
      <c r="B5032" s="65" t="str">
        <f t="shared" si="78"/>
        <v>doc-x0169:4</v>
      </c>
      <c r="C5032" t="s">
        <v>10611</v>
      </c>
      <c r="D5032">
        <v>4</v>
      </c>
      <c r="E5032" t="s">
        <v>2121</v>
      </c>
    </row>
    <row r="5033" spans="2:5">
      <c r="B5033" s="65" t="str">
        <f t="shared" si="78"/>
        <v>doc-x0173:1</v>
      </c>
      <c r="C5033" t="s">
        <v>10612</v>
      </c>
      <c r="D5033">
        <v>1</v>
      </c>
      <c r="E5033" t="s">
        <v>1720</v>
      </c>
    </row>
    <row r="5034" spans="2:5">
      <c r="B5034" s="65" t="str">
        <f t="shared" si="78"/>
        <v>doc-x0173:2</v>
      </c>
      <c r="C5034" t="s">
        <v>10612</v>
      </c>
      <c r="D5034">
        <v>2</v>
      </c>
      <c r="E5034" t="s">
        <v>2070</v>
      </c>
    </row>
    <row r="5035" spans="2:5">
      <c r="B5035" s="65" t="str">
        <f t="shared" si="78"/>
        <v>doc-x0173:3</v>
      </c>
      <c r="C5035" t="s">
        <v>10612</v>
      </c>
      <c r="D5035">
        <v>3</v>
      </c>
      <c r="E5035" t="s">
        <v>2121</v>
      </c>
    </row>
    <row r="5036" spans="2:5">
      <c r="B5036" s="65" t="str">
        <f t="shared" si="78"/>
        <v>doc-x0174:1</v>
      </c>
      <c r="C5036" t="s">
        <v>6414</v>
      </c>
      <c r="D5036">
        <v>1</v>
      </c>
      <c r="E5036" t="s">
        <v>2718</v>
      </c>
    </row>
    <row r="5037" spans="2:5">
      <c r="B5037" s="65" t="str">
        <f t="shared" si="78"/>
        <v>doc-x0174:2</v>
      </c>
      <c r="C5037" t="s">
        <v>6414</v>
      </c>
      <c r="D5037">
        <v>2</v>
      </c>
      <c r="E5037" t="s">
        <v>2620</v>
      </c>
    </row>
    <row r="5038" spans="2:5">
      <c r="B5038" s="65" t="str">
        <f t="shared" si="78"/>
        <v>doc-x0174:3</v>
      </c>
      <c r="C5038" t="s">
        <v>6414</v>
      </c>
      <c r="D5038">
        <v>3</v>
      </c>
      <c r="E5038" t="s">
        <v>1699</v>
      </c>
    </row>
    <row r="5039" spans="2:5">
      <c r="B5039" s="65" t="str">
        <f t="shared" si="78"/>
        <v>doc-x0174:4</v>
      </c>
      <c r="C5039" t="s">
        <v>6414</v>
      </c>
      <c r="D5039">
        <v>4</v>
      </c>
      <c r="E5039" t="s">
        <v>2667</v>
      </c>
    </row>
    <row r="5040" spans="2:5">
      <c r="B5040" s="65" t="str">
        <f t="shared" si="78"/>
        <v>doc-x0174:5</v>
      </c>
      <c r="C5040" t="s">
        <v>6414</v>
      </c>
      <c r="D5040">
        <v>5</v>
      </c>
      <c r="E5040" t="s">
        <v>2715</v>
      </c>
    </row>
    <row r="5041" spans="2:5">
      <c r="B5041" s="65" t="str">
        <f t="shared" si="78"/>
        <v>doc-x0175:1</v>
      </c>
      <c r="C5041" t="s">
        <v>10613</v>
      </c>
      <c r="D5041">
        <v>1</v>
      </c>
      <c r="E5041" t="s">
        <v>2399</v>
      </c>
    </row>
    <row r="5042" spans="2:5">
      <c r="B5042" s="65" t="str">
        <f t="shared" si="78"/>
        <v>doc-x0175:2</v>
      </c>
      <c r="C5042" t="s">
        <v>10613</v>
      </c>
      <c r="D5042">
        <v>2</v>
      </c>
      <c r="E5042" t="s">
        <v>2369</v>
      </c>
    </row>
    <row r="5043" spans="2:5">
      <c r="B5043" s="65" t="str">
        <f t="shared" si="78"/>
        <v>doc-x0175:3</v>
      </c>
      <c r="C5043" t="s">
        <v>10613</v>
      </c>
      <c r="D5043">
        <v>3</v>
      </c>
      <c r="E5043" t="s">
        <v>2407</v>
      </c>
    </row>
    <row r="5044" spans="2:5">
      <c r="B5044" s="65" t="str">
        <f t="shared" si="78"/>
        <v>doc-x0175:4</v>
      </c>
      <c r="C5044" t="s">
        <v>10613</v>
      </c>
      <c r="D5044">
        <v>4</v>
      </c>
      <c r="E5044" t="s">
        <v>2383</v>
      </c>
    </row>
    <row r="5045" spans="2:5">
      <c r="B5045" s="65" t="str">
        <f t="shared" si="78"/>
        <v>doc-x0178:1</v>
      </c>
      <c r="C5045" t="s">
        <v>10614</v>
      </c>
      <c r="D5045">
        <v>1</v>
      </c>
      <c r="E5045" t="s">
        <v>2308</v>
      </c>
    </row>
    <row r="5046" spans="2:5">
      <c r="B5046" s="65" t="str">
        <f t="shared" si="78"/>
        <v>doc-x0178:2</v>
      </c>
      <c r="C5046" t="s">
        <v>10614</v>
      </c>
      <c r="D5046">
        <v>2</v>
      </c>
      <c r="E5046" t="s">
        <v>2333</v>
      </c>
    </row>
    <row r="5047" spans="2:5">
      <c r="B5047" s="65" t="str">
        <f t="shared" si="78"/>
        <v>doc-x0178:3</v>
      </c>
      <c r="C5047" t="s">
        <v>10614</v>
      </c>
      <c r="D5047">
        <v>3</v>
      </c>
      <c r="E5047" t="s">
        <v>281</v>
      </c>
    </row>
    <row r="5048" spans="2:5">
      <c r="B5048" s="65" t="str">
        <f t="shared" si="78"/>
        <v>doc-x0179:1</v>
      </c>
      <c r="C5048" t="s">
        <v>10615</v>
      </c>
      <c r="D5048">
        <v>1</v>
      </c>
      <c r="E5048" t="s">
        <v>2825</v>
      </c>
    </row>
    <row r="5049" spans="2:5">
      <c r="B5049" s="65" t="str">
        <f t="shared" si="78"/>
        <v>doc-x0179:2</v>
      </c>
      <c r="C5049" t="s">
        <v>10615</v>
      </c>
      <c r="D5049">
        <v>2</v>
      </c>
      <c r="E5049" t="s">
        <v>2869</v>
      </c>
    </row>
    <row r="5050" spans="2:5">
      <c r="B5050" s="65" t="str">
        <f t="shared" si="78"/>
        <v>doc-x0179:3</v>
      </c>
      <c r="C5050" t="s">
        <v>10615</v>
      </c>
      <c r="D5050">
        <v>3</v>
      </c>
      <c r="E5050" t="s">
        <v>2849</v>
      </c>
    </row>
    <row r="5051" spans="2:5">
      <c r="B5051" s="65" t="str">
        <f t="shared" si="78"/>
        <v>doc-x0179:4</v>
      </c>
      <c r="C5051" t="s">
        <v>10615</v>
      </c>
      <c r="D5051">
        <v>4</v>
      </c>
      <c r="E5051" t="s">
        <v>2860</v>
      </c>
    </row>
    <row r="5052" spans="2:5">
      <c r="B5052" s="65" t="str">
        <f t="shared" si="78"/>
        <v>doc-x0179:5</v>
      </c>
      <c r="C5052" t="s">
        <v>10615</v>
      </c>
      <c r="D5052">
        <v>5</v>
      </c>
      <c r="E5052" t="s">
        <v>2878</v>
      </c>
    </row>
    <row r="5053" spans="2:5">
      <c r="B5053" s="65" t="str">
        <f t="shared" si="78"/>
        <v>doc-x0180:1</v>
      </c>
      <c r="C5053" t="s">
        <v>10616</v>
      </c>
      <c r="D5053">
        <v>1</v>
      </c>
      <c r="E5053" t="s">
        <v>2554</v>
      </c>
    </row>
    <row r="5054" spans="2:5">
      <c r="B5054" s="65" t="str">
        <f t="shared" si="78"/>
        <v>doc-x0180:2</v>
      </c>
      <c r="C5054" t="s">
        <v>10616</v>
      </c>
      <c r="D5054">
        <v>2</v>
      </c>
      <c r="E5054" t="s">
        <v>2557</v>
      </c>
    </row>
    <row r="5055" spans="2:5">
      <c r="B5055" s="65" t="str">
        <f t="shared" si="78"/>
        <v>doc-x0180:3</v>
      </c>
      <c r="C5055" t="s">
        <v>10616</v>
      </c>
      <c r="D5055">
        <v>3</v>
      </c>
      <c r="E5055" t="s">
        <v>2799</v>
      </c>
    </row>
    <row r="5056" spans="2:5">
      <c r="B5056" s="65" t="str">
        <f t="shared" si="78"/>
        <v>doc-x0180:4</v>
      </c>
      <c r="C5056" t="s">
        <v>10616</v>
      </c>
      <c r="D5056">
        <v>4</v>
      </c>
      <c r="E5056" t="s">
        <v>2537</v>
      </c>
    </row>
    <row r="5057" spans="2:5">
      <c r="B5057" s="65" t="str">
        <f t="shared" si="78"/>
        <v>doc-x0181:1</v>
      </c>
      <c r="C5057" t="s">
        <v>10617</v>
      </c>
      <c r="D5057">
        <v>1</v>
      </c>
      <c r="E5057" t="s">
        <v>3023</v>
      </c>
    </row>
    <row r="5058" spans="2:5">
      <c r="B5058" s="65" t="str">
        <f t="shared" si="78"/>
        <v>doc-x0181:2</v>
      </c>
      <c r="C5058" t="s">
        <v>10617</v>
      </c>
      <c r="D5058">
        <v>2</v>
      </c>
      <c r="E5058" t="s">
        <v>2279</v>
      </c>
    </row>
    <row r="5059" spans="2:5">
      <c r="B5059" s="65" t="str">
        <f t="shared" si="78"/>
        <v>doc-x0181:3</v>
      </c>
      <c r="C5059" t="s">
        <v>10617</v>
      </c>
      <c r="D5059">
        <v>3</v>
      </c>
      <c r="E5059" t="s">
        <v>3007</v>
      </c>
    </row>
    <row r="5060" spans="2:5">
      <c r="B5060" s="65" t="str">
        <f t="shared" ref="B5060:B5123" si="79">$C5060&amp;":"&amp;$D5060</f>
        <v>doc-x0181:4</v>
      </c>
      <c r="C5060" t="s">
        <v>10617</v>
      </c>
      <c r="D5060">
        <v>4</v>
      </c>
      <c r="E5060" t="s">
        <v>2276</v>
      </c>
    </row>
    <row r="5061" spans="2:5">
      <c r="B5061" s="65" t="str">
        <f t="shared" si="79"/>
        <v>doc-x0181:5</v>
      </c>
      <c r="C5061" t="s">
        <v>10617</v>
      </c>
      <c r="D5061">
        <v>5</v>
      </c>
      <c r="E5061" t="s">
        <v>2996</v>
      </c>
    </row>
    <row r="5062" spans="2:5">
      <c r="B5062" s="65" t="str">
        <f t="shared" si="79"/>
        <v>doc-x0182:1</v>
      </c>
      <c r="C5062" t="s">
        <v>10618</v>
      </c>
      <c r="D5062">
        <v>1</v>
      </c>
      <c r="E5062" t="s">
        <v>3223</v>
      </c>
    </row>
    <row r="5063" spans="2:5">
      <c r="B5063" s="65" t="str">
        <f t="shared" si="79"/>
        <v>doc-x0182:2</v>
      </c>
      <c r="C5063" t="s">
        <v>10618</v>
      </c>
      <c r="D5063">
        <v>2</v>
      </c>
      <c r="E5063" t="s">
        <v>3217</v>
      </c>
    </row>
    <row r="5064" spans="2:5">
      <c r="B5064" s="65" t="str">
        <f t="shared" si="79"/>
        <v>doc-x0182:3</v>
      </c>
      <c r="C5064" t="s">
        <v>10618</v>
      </c>
      <c r="D5064">
        <v>3</v>
      </c>
      <c r="E5064" t="s">
        <v>3007</v>
      </c>
    </row>
    <row r="5065" spans="2:5">
      <c r="B5065" s="65" t="str">
        <f t="shared" si="79"/>
        <v>doc-x0182:4</v>
      </c>
      <c r="C5065" t="s">
        <v>10618</v>
      </c>
      <c r="D5065">
        <v>4</v>
      </c>
      <c r="E5065" t="s">
        <v>3220</v>
      </c>
    </row>
    <row r="5066" spans="2:5">
      <c r="B5066" s="65" t="str">
        <f t="shared" si="79"/>
        <v>doc-x0182:5</v>
      </c>
      <c r="C5066" t="s">
        <v>10618</v>
      </c>
      <c r="D5066">
        <v>5</v>
      </c>
      <c r="E5066" t="s">
        <v>3225</v>
      </c>
    </row>
    <row r="5067" spans="2:5">
      <c r="B5067" s="65" t="str">
        <f t="shared" si="79"/>
        <v>doc-x0183:1</v>
      </c>
      <c r="C5067" t="s">
        <v>10619</v>
      </c>
      <c r="D5067">
        <v>1</v>
      </c>
      <c r="E5067" t="s">
        <v>2906</v>
      </c>
    </row>
    <row r="5068" spans="2:5">
      <c r="B5068" s="65" t="str">
        <f t="shared" si="79"/>
        <v>doc-x0183:2</v>
      </c>
      <c r="C5068" t="s">
        <v>10619</v>
      </c>
      <c r="D5068">
        <v>2</v>
      </c>
      <c r="E5068" t="s">
        <v>3126</v>
      </c>
    </row>
    <row r="5069" spans="2:5">
      <c r="B5069" s="65" t="str">
        <f t="shared" si="79"/>
        <v>doc-x0183:3</v>
      </c>
      <c r="C5069" t="s">
        <v>10619</v>
      </c>
      <c r="D5069">
        <v>3</v>
      </c>
      <c r="E5069" t="s">
        <v>2849</v>
      </c>
    </row>
    <row r="5070" spans="2:5">
      <c r="B5070" s="65" t="str">
        <f t="shared" si="79"/>
        <v>doc-x0183:4</v>
      </c>
      <c r="C5070" t="s">
        <v>10619</v>
      </c>
      <c r="D5070">
        <v>4</v>
      </c>
      <c r="E5070" t="s">
        <v>2896</v>
      </c>
    </row>
    <row r="5071" spans="2:5">
      <c r="B5071" s="65" t="str">
        <f t="shared" si="79"/>
        <v>doc-x0184:1</v>
      </c>
      <c r="C5071" t="s">
        <v>10620</v>
      </c>
      <c r="D5071">
        <v>1</v>
      </c>
      <c r="E5071" t="s">
        <v>2411</v>
      </c>
    </row>
    <row r="5072" spans="2:5">
      <c r="B5072" s="65" t="str">
        <f t="shared" si="79"/>
        <v>doc-x0184:2</v>
      </c>
      <c r="C5072" t="s">
        <v>10620</v>
      </c>
      <c r="D5072">
        <v>2</v>
      </c>
      <c r="E5072" t="s">
        <v>1941</v>
      </c>
    </row>
    <row r="5073" spans="2:5">
      <c r="B5073" s="65" t="str">
        <f t="shared" si="79"/>
        <v>doc-x0184:3</v>
      </c>
      <c r="C5073" t="s">
        <v>10620</v>
      </c>
      <c r="D5073">
        <v>3</v>
      </c>
      <c r="E5073" t="s">
        <v>2407</v>
      </c>
    </row>
    <row r="5074" spans="2:5">
      <c r="B5074" s="65" t="str">
        <f t="shared" si="79"/>
        <v>doc-x0185:1</v>
      </c>
      <c r="C5074" t="s">
        <v>10621</v>
      </c>
      <c r="D5074">
        <v>1</v>
      </c>
      <c r="E5074" t="s">
        <v>2717</v>
      </c>
    </row>
    <row r="5075" spans="2:5">
      <c r="B5075" s="65" t="str">
        <f t="shared" si="79"/>
        <v>doc-x0185:2</v>
      </c>
      <c r="C5075" t="s">
        <v>10621</v>
      </c>
      <c r="D5075">
        <v>2</v>
      </c>
      <c r="E5075" t="s">
        <v>2667</v>
      </c>
    </row>
    <row r="5076" spans="2:5">
      <c r="B5076" s="65" t="str">
        <f t="shared" si="79"/>
        <v>doc-x0185:3</v>
      </c>
      <c r="C5076" t="s">
        <v>10621</v>
      </c>
      <c r="D5076">
        <v>3</v>
      </c>
      <c r="E5076" t="s">
        <v>3241</v>
      </c>
    </row>
    <row r="5077" spans="2:5">
      <c r="B5077" s="65" t="str">
        <f t="shared" si="79"/>
        <v>doc-x0185:4</v>
      </c>
      <c r="C5077" t="s">
        <v>10621</v>
      </c>
      <c r="D5077">
        <v>4</v>
      </c>
      <c r="E5077" t="s">
        <v>1162</v>
      </c>
    </row>
    <row r="5078" spans="2:5">
      <c r="B5078" s="65" t="str">
        <f t="shared" si="79"/>
        <v>doc-x0186:1</v>
      </c>
      <c r="C5078" t="s">
        <v>10622</v>
      </c>
      <c r="D5078">
        <v>1</v>
      </c>
      <c r="E5078" t="s">
        <v>2654</v>
      </c>
    </row>
    <row r="5079" spans="2:5">
      <c r="B5079" s="65" t="str">
        <f t="shared" si="79"/>
        <v>doc-x0186:2</v>
      </c>
      <c r="C5079" t="s">
        <v>10622</v>
      </c>
      <c r="D5079">
        <v>2</v>
      </c>
      <c r="E5079" t="s">
        <v>2729</v>
      </c>
    </row>
    <row r="5080" spans="2:5">
      <c r="B5080" s="65" t="str">
        <f t="shared" si="79"/>
        <v>doc-x0186:3</v>
      </c>
      <c r="C5080" t="s">
        <v>10622</v>
      </c>
      <c r="D5080">
        <v>3</v>
      </c>
      <c r="E5080" t="s">
        <v>2667</v>
      </c>
    </row>
    <row r="5081" spans="2:5">
      <c r="B5081" s="65" t="str">
        <f t="shared" si="79"/>
        <v>doc-x0187:1</v>
      </c>
      <c r="C5081" t="s">
        <v>10623</v>
      </c>
      <c r="D5081">
        <v>1</v>
      </c>
      <c r="E5081" t="s">
        <v>2749</v>
      </c>
    </row>
    <row r="5082" spans="2:5">
      <c r="B5082" s="65" t="str">
        <f t="shared" si="79"/>
        <v>doc-x0187:2</v>
      </c>
      <c r="C5082" t="s">
        <v>10623</v>
      </c>
      <c r="D5082">
        <v>2</v>
      </c>
      <c r="E5082" t="s">
        <v>2698</v>
      </c>
    </row>
    <row r="5083" spans="2:5">
      <c r="B5083" s="65" t="str">
        <f t="shared" si="79"/>
        <v>doc-x0187:3</v>
      </c>
      <c r="C5083" t="s">
        <v>10623</v>
      </c>
      <c r="D5083">
        <v>3</v>
      </c>
      <c r="E5083" t="s">
        <v>2742</v>
      </c>
    </row>
    <row r="5084" spans="2:5">
      <c r="B5084" s="65" t="str">
        <f t="shared" si="79"/>
        <v>doc-x0187:4</v>
      </c>
      <c r="C5084" t="s">
        <v>10623</v>
      </c>
      <c r="D5084">
        <v>4</v>
      </c>
      <c r="E5084" t="s">
        <v>3233</v>
      </c>
    </row>
    <row r="5085" spans="2:5">
      <c r="B5085" s="65" t="str">
        <f t="shared" si="79"/>
        <v>doc-x0187:5</v>
      </c>
      <c r="C5085" t="s">
        <v>10623</v>
      </c>
      <c r="D5085">
        <v>5</v>
      </c>
      <c r="E5085" t="s">
        <v>2664</v>
      </c>
    </row>
    <row r="5086" spans="2:5">
      <c r="B5086" s="65" t="str">
        <f t="shared" si="79"/>
        <v>doc-x0188:1</v>
      </c>
      <c r="C5086" t="s">
        <v>10624</v>
      </c>
      <c r="D5086">
        <v>1</v>
      </c>
      <c r="E5086" t="s">
        <v>1888</v>
      </c>
    </row>
    <row r="5087" spans="2:5">
      <c r="B5087" s="65" t="str">
        <f t="shared" si="79"/>
        <v>doc-x0188:2</v>
      </c>
      <c r="C5087" t="s">
        <v>10624</v>
      </c>
      <c r="D5087">
        <v>2</v>
      </c>
      <c r="E5087" t="s">
        <v>1962</v>
      </c>
    </row>
    <row r="5088" spans="2:5">
      <c r="B5088" s="65" t="str">
        <f t="shared" si="79"/>
        <v>doc-x0188:3</v>
      </c>
      <c r="C5088" t="s">
        <v>10624</v>
      </c>
      <c r="D5088">
        <v>3</v>
      </c>
      <c r="E5088" t="s">
        <v>1959</v>
      </c>
    </row>
    <row r="5089" spans="2:5">
      <c r="B5089" s="65" t="str">
        <f t="shared" si="79"/>
        <v>doc-x0189:1</v>
      </c>
      <c r="C5089" t="s">
        <v>10625</v>
      </c>
      <c r="D5089">
        <v>1</v>
      </c>
      <c r="E5089" t="s">
        <v>2023</v>
      </c>
    </row>
    <row r="5090" spans="2:5">
      <c r="B5090" s="65" t="str">
        <f t="shared" si="79"/>
        <v>doc-x0189:2</v>
      </c>
      <c r="C5090" t="s">
        <v>10625</v>
      </c>
      <c r="D5090">
        <v>2</v>
      </c>
      <c r="E5090" t="s">
        <v>1880</v>
      </c>
    </row>
    <row r="5091" spans="2:5">
      <c r="B5091" s="65" t="str">
        <f t="shared" si="79"/>
        <v>doc-x0189:3</v>
      </c>
      <c r="C5091" t="s">
        <v>10625</v>
      </c>
      <c r="D5091">
        <v>3</v>
      </c>
      <c r="E5091" t="s">
        <v>1911</v>
      </c>
    </row>
    <row r="5092" spans="2:5">
      <c r="B5092" s="65" t="str">
        <f t="shared" si="79"/>
        <v>doc-x0191:1</v>
      </c>
      <c r="C5092" t="s">
        <v>10626</v>
      </c>
      <c r="D5092">
        <v>1</v>
      </c>
      <c r="E5092" t="s">
        <v>2807</v>
      </c>
    </row>
    <row r="5093" spans="2:5">
      <c r="B5093" s="65" t="str">
        <f t="shared" si="79"/>
        <v>doc-x0191:2</v>
      </c>
      <c r="C5093" t="s">
        <v>10626</v>
      </c>
      <c r="D5093">
        <v>2</v>
      </c>
      <c r="E5093" t="s">
        <v>2799</v>
      </c>
    </row>
    <row r="5094" spans="2:5">
      <c r="B5094" s="65" t="str">
        <f t="shared" si="79"/>
        <v>doc-x0192:1</v>
      </c>
      <c r="C5094" t="s">
        <v>10627</v>
      </c>
      <c r="D5094">
        <v>1</v>
      </c>
      <c r="E5094" t="s">
        <v>1443</v>
      </c>
    </row>
    <row r="5095" spans="2:5">
      <c r="B5095" s="65" t="str">
        <f t="shared" si="79"/>
        <v>doc-x0193:1</v>
      </c>
      <c r="C5095" t="s">
        <v>10628</v>
      </c>
      <c r="D5095">
        <v>1</v>
      </c>
      <c r="E5095" t="s">
        <v>1844</v>
      </c>
    </row>
    <row r="5096" spans="2:5">
      <c r="B5096" s="65" t="str">
        <f t="shared" si="79"/>
        <v>doc-x0193:2</v>
      </c>
      <c r="C5096" t="s">
        <v>10628</v>
      </c>
      <c r="D5096">
        <v>2</v>
      </c>
      <c r="E5096" t="s">
        <v>1827</v>
      </c>
    </row>
    <row r="5097" spans="2:5">
      <c r="B5097" s="65" t="str">
        <f t="shared" si="79"/>
        <v>doc-x0194:1</v>
      </c>
      <c r="C5097" t="s">
        <v>10629</v>
      </c>
      <c r="D5097">
        <v>1</v>
      </c>
      <c r="E5097" t="s">
        <v>2722</v>
      </c>
    </row>
    <row r="5098" spans="2:5">
      <c r="B5098" s="65" t="str">
        <f t="shared" si="79"/>
        <v>doc-x0194:2</v>
      </c>
      <c r="C5098" t="s">
        <v>10629</v>
      </c>
      <c r="D5098">
        <v>2</v>
      </c>
      <c r="E5098" t="s">
        <v>2646</v>
      </c>
    </row>
    <row r="5099" spans="2:5">
      <c r="B5099" s="65" t="str">
        <f t="shared" si="79"/>
        <v>doc-x0194:3</v>
      </c>
      <c r="C5099" t="s">
        <v>10629</v>
      </c>
      <c r="D5099">
        <v>3</v>
      </c>
      <c r="E5099" t="s">
        <v>2749</v>
      </c>
    </row>
    <row r="5100" spans="2:5">
      <c r="B5100" s="65" t="str">
        <f t="shared" si="79"/>
        <v>doc-x0194:4</v>
      </c>
      <c r="C5100" t="s">
        <v>10629</v>
      </c>
      <c r="D5100">
        <v>4</v>
      </c>
      <c r="E5100" t="s">
        <v>3233</v>
      </c>
    </row>
    <row r="5101" spans="2:5">
      <c r="B5101" s="65" t="str">
        <f t="shared" si="79"/>
        <v>doc-x0194:5</v>
      </c>
      <c r="C5101" t="s">
        <v>10629</v>
      </c>
      <c r="D5101">
        <v>5</v>
      </c>
      <c r="E5101" t="s">
        <v>2664</v>
      </c>
    </row>
    <row r="5102" spans="2:5">
      <c r="B5102" s="65" t="str">
        <f t="shared" si="79"/>
        <v>doc-x0195:1</v>
      </c>
      <c r="C5102" t="s">
        <v>10630</v>
      </c>
      <c r="D5102">
        <v>1</v>
      </c>
      <c r="E5102" t="s">
        <v>1856</v>
      </c>
    </row>
    <row r="5103" spans="2:5">
      <c r="B5103" s="65" t="str">
        <f t="shared" si="79"/>
        <v>doc-x0195:2</v>
      </c>
      <c r="C5103" t="s">
        <v>10630</v>
      </c>
      <c r="D5103">
        <v>2</v>
      </c>
      <c r="E5103" t="s">
        <v>1813</v>
      </c>
    </row>
    <row r="5104" spans="2:5">
      <c r="B5104" s="65" t="str">
        <f t="shared" si="79"/>
        <v>doc-x0195:3</v>
      </c>
      <c r="C5104" t="s">
        <v>10630</v>
      </c>
      <c r="D5104">
        <v>3</v>
      </c>
      <c r="E5104" t="s">
        <v>1968</v>
      </c>
    </row>
    <row r="5105" spans="2:5">
      <c r="B5105" s="65" t="str">
        <f t="shared" si="79"/>
        <v>doc-x0195:4</v>
      </c>
      <c r="C5105" t="s">
        <v>10630</v>
      </c>
      <c r="D5105">
        <v>4</v>
      </c>
      <c r="E5105" t="s">
        <v>1911</v>
      </c>
    </row>
    <row r="5106" spans="2:5">
      <c r="B5106" s="65" t="str">
        <f t="shared" si="79"/>
        <v>doc-x0195:5</v>
      </c>
      <c r="C5106" t="s">
        <v>10630</v>
      </c>
      <c r="D5106">
        <v>5</v>
      </c>
      <c r="E5106" t="s">
        <v>1768</v>
      </c>
    </row>
    <row r="5107" spans="2:5">
      <c r="B5107" s="65" t="str">
        <f t="shared" si="79"/>
        <v>doc-x0195:6</v>
      </c>
      <c r="C5107" t="s">
        <v>10630</v>
      </c>
      <c r="D5107">
        <v>6</v>
      </c>
      <c r="E5107" t="s">
        <v>1765</v>
      </c>
    </row>
    <row r="5108" spans="2:5">
      <c r="B5108" s="65" t="str">
        <f t="shared" si="79"/>
        <v>doc-x0196:1</v>
      </c>
      <c r="C5108" t="s">
        <v>10631</v>
      </c>
      <c r="D5108">
        <v>1</v>
      </c>
      <c r="E5108" t="s">
        <v>2075</v>
      </c>
    </row>
    <row r="5109" spans="2:5">
      <c r="B5109" s="65" t="str">
        <f t="shared" si="79"/>
        <v>doc-x0196:2</v>
      </c>
      <c r="C5109" t="s">
        <v>10631</v>
      </c>
      <c r="D5109">
        <v>2</v>
      </c>
      <c r="E5109" t="s">
        <v>2121</v>
      </c>
    </row>
    <row r="5110" spans="2:5">
      <c r="B5110" s="65" t="str">
        <f t="shared" si="79"/>
        <v>doc-x0196:3</v>
      </c>
      <c r="C5110" t="s">
        <v>10631</v>
      </c>
      <c r="D5110">
        <v>3</v>
      </c>
      <c r="E5110" t="s">
        <v>1902</v>
      </c>
    </row>
    <row r="5111" spans="2:5">
      <c r="B5111" s="65" t="str">
        <f t="shared" si="79"/>
        <v>doc-x0196:4</v>
      </c>
      <c r="C5111" t="s">
        <v>10631</v>
      </c>
      <c r="D5111">
        <v>4</v>
      </c>
      <c r="E5111" t="s">
        <v>1833</v>
      </c>
    </row>
    <row r="5112" spans="2:5">
      <c r="B5112" s="65" t="str">
        <f t="shared" si="79"/>
        <v>doc-x0197:1</v>
      </c>
      <c r="C5112" t="s">
        <v>6282</v>
      </c>
      <c r="D5112">
        <v>1</v>
      </c>
      <c r="E5112" t="s">
        <v>1392</v>
      </c>
    </row>
    <row r="5113" spans="2:5">
      <c r="B5113" s="65" t="str">
        <f t="shared" si="79"/>
        <v>doc-x0197:2</v>
      </c>
      <c r="C5113" t="s">
        <v>6282</v>
      </c>
      <c r="D5113">
        <v>2</v>
      </c>
      <c r="E5113" t="s">
        <v>1384</v>
      </c>
    </row>
    <row r="5114" spans="2:5">
      <c r="B5114" s="65" t="str">
        <f t="shared" si="79"/>
        <v>doc-x0197:3</v>
      </c>
      <c r="C5114" t="s">
        <v>6282</v>
      </c>
      <c r="D5114">
        <v>3</v>
      </c>
      <c r="E5114" t="s">
        <v>2540</v>
      </c>
    </row>
    <row r="5115" spans="2:5">
      <c r="B5115" s="65" t="str">
        <f t="shared" si="79"/>
        <v>doc-x0198:1</v>
      </c>
      <c r="C5115" t="s">
        <v>6288</v>
      </c>
      <c r="D5115">
        <v>1</v>
      </c>
      <c r="E5115" t="s">
        <v>1443</v>
      </c>
    </row>
    <row r="5116" spans="2:5">
      <c r="B5116" s="65" t="str">
        <f t="shared" si="79"/>
        <v>doc-x0199:1</v>
      </c>
      <c r="C5116" t="s">
        <v>6294</v>
      </c>
      <c r="D5116">
        <v>1</v>
      </c>
      <c r="E5116" t="s">
        <v>2407</v>
      </c>
    </row>
    <row r="5117" spans="2:5">
      <c r="B5117" s="65" t="str">
        <f t="shared" si="79"/>
        <v>doc-x0199:2</v>
      </c>
      <c r="C5117" t="s">
        <v>6294</v>
      </c>
      <c r="D5117">
        <v>2</v>
      </c>
      <c r="E5117" t="s">
        <v>2399</v>
      </c>
    </row>
    <row r="5118" spans="2:5">
      <c r="B5118" s="65" t="str">
        <f t="shared" si="79"/>
        <v>doc-x0199:3</v>
      </c>
      <c r="C5118" t="s">
        <v>6294</v>
      </c>
      <c r="D5118">
        <v>3</v>
      </c>
      <c r="E5118" t="s">
        <v>2394</v>
      </c>
    </row>
    <row r="5119" spans="2:5">
      <c r="B5119" s="65" t="str">
        <f t="shared" si="79"/>
        <v>doc-x0200:1</v>
      </c>
      <c r="C5119" t="s">
        <v>6300</v>
      </c>
      <c r="D5119">
        <v>1</v>
      </c>
      <c r="E5119" t="s">
        <v>1830</v>
      </c>
    </row>
    <row r="5120" spans="2:5">
      <c r="B5120" s="65" t="str">
        <f t="shared" si="79"/>
        <v>doc-x0200:2</v>
      </c>
      <c r="C5120" t="s">
        <v>6300</v>
      </c>
      <c r="D5120">
        <v>2</v>
      </c>
      <c r="E5120" t="s">
        <v>1971</v>
      </c>
    </row>
    <row r="5121" spans="2:5">
      <c r="B5121" s="65" t="str">
        <f t="shared" si="79"/>
        <v>doc-x0201:1</v>
      </c>
      <c r="C5121" t="s">
        <v>6306</v>
      </c>
      <c r="D5121">
        <v>1</v>
      </c>
      <c r="E5121" t="s">
        <v>2308</v>
      </c>
    </row>
    <row r="5122" spans="2:5">
      <c r="B5122" s="65" t="str">
        <f t="shared" si="79"/>
        <v>doc-x0201:2</v>
      </c>
      <c r="C5122" t="s">
        <v>6306</v>
      </c>
      <c r="D5122">
        <v>2</v>
      </c>
      <c r="E5122" t="s">
        <v>2345</v>
      </c>
    </row>
    <row r="5123" spans="2:5">
      <c r="B5123" s="65" t="str">
        <f t="shared" si="79"/>
        <v>doc-x0201:3</v>
      </c>
      <c r="C5123" t="s">
        <v>6306</v>
      </c>
      <c r="D5123">
        <v>3</v>
      </c>
      <c r="E5123" t="s">
        <v>2313</v>
      </c>
    </row>
    <row r="5124" spans="2:5">
      <c r="B5124" s="65" t="str">
        <f t="shared" ref="B5124:B5187" si="80">$C5124&amp;":"&amp;$D5124</f>
        <v>doc-x0201:4</v>
      </c>
      <c r="C5124" t="s">
        <v>6306</v>
      </c>
      <c r="D5124">
        <v>4</v>
      </c>
      <c r="E5124" t="s">
        <v>2322</v>
      </c>
    </row>
    <row r="5125" spans="2:5">
      <c r="B5125" s="65" t="str">
        <f t="shared" si="80"/>
        <v>doc-x0201:5</v>
      </c>
      <c r="C5125" t="s">
        <v>6306</v>
      </c>
      <c r="D5125">
        <v>5</v>
      </c>
      <c r="E5125" t="s">
        <v>281</v>
      </c>
    </row>
    <row r="5126" spans="2:5">
      <c r="B5126" s="65" t="str">
        <f t="shared" si="80"/>
        <v>doc-x0202:1</v>
      </c>
      <c r="C5126" t="s">
        <v>6312</v>
      </c>
      <c r="D5126">
        <v>1</v>
      </c>
      <c r="E5126" t="s">
        <v>1159</v>
      </c>
    </row>
    <row r="5127" spans="2:5">
      <c r="B5127" s="65" t="str">
        <f t="shared" si="80"/>
        <v>doc-x0202:2</v>
      </c>
      <c r="C5127" t="s">
        <v>6312</v>
      </c>
      <c r="D5127">
        <v>2</v>
      </c>
      <c r="E5127" t="s">
        <v>2799</v>
      </c>
    </row>
    <row r="5128" spans="2:5">
      <c r="B5128" s="65" t="str">
        <f t="shared" si="80"/>
        <v>doc-x0202:3</v>
      </c>
      <c r="C5128" t="s">
        <v>6312</v>
      </c>
      <c r="D5128">
        <v>3</v>
      </c>
      <c r="E5128" t="s">
        <v>2812</v>
      </c>
    </row>
    <row r="5129" spans="2:5">
      <c r="B5129" s="65" t="str">
        <f t="shared" si="80"/>
        <v>doc-x0202:4</v>
      </c>
      <c r="C5129" t="s">
        <v>6312</v>
      </c>
      <c r="D5129">
        <v>4</v>
      </c>
      <c r="E5129" t="s">
        <v>2773</v>
      </c>
    </row>
    <row r="5130" spans="2:5">
      <c r="B5130" s="65" t="str">
        <f t="shared" si="80"/>
        <v>doc-x0203:1</v>
      </c>
      <c r="C5130" t="s">
        <v>6319</v>
      </c>
      <c r="D5130">
        <v>1</v>
      </c>
      <c r="E5130" t="s">
        <v>2422</v>
      </c>
    </row>
    <row r="5131" spans="2:5">
      <c r="B5131" s="65" t="str">
        <f t="shared" si="80"/>
        <v>doc-x0203:2</v>
      </c>
      <c r="C5131" t="s">
        <v>6319</v>
      </c>
      <c r="D5131">
        <v>2</v>
      </c>
      <c r="E5131" t="s">
        <v>2440</v>
      </c>
    </row>
    <row r="5132" spans="2:5">
      <c r="B5132" s="65" t="str">
        <f t="shared" si="80"/>
        <v>doc-x0204:1</v>
      </c>
      <c r="C5132" t="s">
        <v>6325</v>
      </c>
      <c r="D5132">
        <v>1</v>
      </c>
      <c r="E5132" t="s">
        <v>1229</v>
      </c>
    </row>
    <row r="5133" spans="2:5">
      <c r="B5133" s="65" t="str">
        <f t="shared" si="80"/>
        <v>doc-x0204:2</v>
      </c>
      <c r="C5133" t="s">
        <v>6325</v>
      </c>
      <c r="D5133">
        <v>2</v>
      </c>
      <c r="E5133" t="s">
        <v>2975</v>
      </c>
    </row>
    <row r="5134" spans="2:5">
      <c r="B5134" s="65" t="str">
        <f t="shared" si="80"/>
        <v>doc-x0205:1</v>
      </c>
      <c r="C5134" t="s">
        <v>6331</v>
      </c>
      <c r="D5134">
        <v>1</v>
      </c>
      <c r="E5134" t="s">
        <v>1696</v>
      </c>
    </row>
    <row r="5135" spans="2:5">
      <c r="B5135" s="65" t="str">
        <f t="shared" si="80"/>
        <v>doc-x0205:2</v>
      </c>
      <c r="C5135" t="s">
        <v>6331</v>
      </c>
      <c r="D5135">
        <v>2</v>
      </c>
      <c r="E5135" t="s">
        <v>2643</v>
      </c>
    </row>
    <row r="5136" spans="2:5">
      <c r="B5136" s="65" t="str">
        <f t="shared" si="80"/>
        <v>doc-x0205:3</v>
      </c>
      <c r="C5136" t="s">
        <v>6331</v>
      </c>
      <c r="D5136">
        <v>3</v>
      </c>
      <c r="E5136" t="s">
        <v>2667</v>
      </c>
    </row>
    <row r="5137" spans="2:5">
      <c r="B5137" s="65" t="str">
        <f t="shared" si="80"/>
        <v>doc-x0205:4</v>
      </c>
      <c r="C5137" t="s">
        <v>6331</v>
      </c>
      <c r="D5137">
        <v>4</v>
      </c>
      <c r="E5137" t="s">
        <v>1699</v>
      </c>
    </row>
    <row r="5138" spans="2:5">
      <c r="B5138" s="65" t="str">
        <f t="shared" si="80"/>
        <v>doc-x0206:1</v>
      </c>
      <c r="C5138" t="s">
        <v>6337</v>
      </c>
      <c r="D5138">
        <v>1</v>
      </c>
      <c r="E5138" t="s">
        <v>2729</v>
      </c>
    </row>
    <row r="5139" spans="2:5">
      <c r="B5139" s="65" t="str">
        <f t="shared" si="80"/>
        <v>doc-x0206:2</v>
      </c>
      <c r="C5139" t="s">
        <v>6337</v>
      </c>
      <c r="D5139">
        <v>2</v>
      </c>
      <c r="E5139" t="s">
        <v>3121</v>
      </c>
    </row>
    <row r="5140" spans="2:5">
      <c r="B5140" s="65" t="str">
        <f t="shared" si="80"/>
        <v>doc-x0206:3</v>
      </c>
      <c r="C5140" t="s">
        <v>6337</v>
      </c>
      <c r="D5140">
        <v>3</v>
      </c>
      <c r="E5140" t="s">
        <v>2667</v>
      </c>
    </row>
    <row r="5141" spans="2:5">
      <c r="B5141" s="65" t="str">
        <f t="shared" si="80"/>
        <v>doc-x0206:4</v>
      </c>
      <c r="C5141" t="s">
        <v>6337</v>
      </c>
      <c r="D5141">
        <v>4</v>
      </c>
      <c r="E5141" t="s">
        <v>3124</v>
      </c>
    </row>
    <row r="5142" spans="2:5">
      <c r="B5142" s="65" t="str">
        <f t="shared" si="80"/>
        <v>doc-x0206:5</v>
      </c>
      <c r="C5142" t="s">
        <v>6337</v>
      </c>
      <c r="D5142">
        <v>5</v>
      </c>
      <c r="E5142" t="s">
        <v>3116</v>
      </c>
    </row>
    <row r="5143" spans="2:5">
      <c r="B5143" s="65" t="str">
        <f t="shared" si="80"/>
        <v>doc-x0207:1</v>
      </c>
      <c r="C5143" t="s">
        <v>6343</v>
      </c>
      <c r="D5143">
        <v>1</v>
      </c>
      <c r="E5143" t="s">
        <v>2501</v>
      </c>
    </row>
    <row r="5144" spans="2:5">
      <c r="B5144" s="65" t="str">
        <f t="shared" si="80"/>
        <v>doc-x0207:2</v>
      </c>
      <c r="C5144" t="s">
        <v>6343</v>
      </c>
      <c r="D5144">
        <v>2</v>
      </c>
      <c r="E5144" t="s">
        <v>2435</v>
      </c>
    </row>
    <row r="5145" spans="2:5">
      <c r="B5145" s="65" t="str">
        <f t="shared" si="80"/>
        <v>doc-x0207:3</v>
      </c>
      <c r="C5145" t="s">
        <v>6343</v>
      </c>
      <c r="D5145">
        <v>3</v>
      </c>
      <c r="E5145" t="s">
        <v>2422</v>
      </c>
    </row>
    <row r="5146" spans="2:5">
      <c r="B5146" s="65" t="str">
        <f t="shared" si="80"/>
        <v>doc-x0209:1</v>
      </c>
      <c r="C5146" t="s">
        <v>6349</v>
      </c>
      <c r="D5146">
        <v>1</v>
      </c>
      <c r="E5146" t="s">
        <v>2722</v>
      </c>
    </row>
    <row r="5147" spans="2:5">
      <c r="B5147" s="65" t="str">
        <f t="shared" si="80"/>
        <v>doc-x0209:2</v>
      </c>
      <c r="C5147" t="s">
        <v>6349</v>
      </c>
      <c r="D5147">
        <v>2</v>
      </c>
      <c r="E5147" t="s">
        <v>2749</v>
      </c>
    </row>
    <row r="5148" spans="2:5">
      <c r="B5148" s="65" t="str">
        <f t="shared" si="80"/>
        <v>doc-x0209:3</v>
      </c>
      <c r="C5148" t="s">
        <v>6349</v>
      </c>
      <c r="D5148">
        <v>3</v>
      </c>
      <c r="E5148" t="s">
        <v>2646</v>
      </c>
    </row>
    <row r="5149" spans="2:5">
      <c r="B5149" s="65" t="str">
        <f t="shared" si="80"/>
        <v>doc-x0209:4</v>
      </c>
      <c r="C5149" t="s">
        <v>6349</v>
      </c>
      <c r="D5149">
        <v>4</v>
      </c>
      <c r="E5149" t="s">
        <v>3233</v>
      </c>
    </row>
    <row r="5150" spans="2:5">
      <c r="B5150" s="65" t="str">
        <f t="shared" si="80"/>
        <v>doc-x0209:5</v>
      </c>
      <c r="C5150" t="s">
        <v>6349</v>
      </c>
      <c r="D5150">
        <v>5</v>
      </c>
      <c r="E5150" t="s">
        <v>2664</v>
      </c>
    </row>
    <row r="5151" spans="2:5">
      <c r="B5151" s="65" t="str">
        <f t="shared" si="80"/>
        <v>doc-x0210:1</v>
      </c>
      <c r="C5151" t="s">
        <v>6355</v>
      </c>
      <c r="D5151">
        <v>1</v>
      </c>
      <c r="E5151" t="s">
        <v>2729</v>
      </c>
    </row>
    <row r="5152" spans="2:5">
      <c r="B5152" s="65" t="str">
        <f t="shared" si="80"/>
        <v>doc-x0210:2</v>
      </c>
      <c r="C5152" t="s">
        <v>6355</v>
      </c>
      <c r="D5152">
        <v>2</v>
      </c>
      <c r="E5152" t="s">
        <v>1480</v>
      </c>
    </row>
    <row r="5153" spans="2:5">
      <c r="B5153" s="65" t="str">
        <f t="shared" si="80"/>
        <v>doc-x0210:3</v>
      </c>
      <c r="C5153" t="s">
        <v>6355</v>
      </c>
      <c r="D5153">
        <v>3</v>
      </c>
      <c r="E5153" t="s">
        <v>1699</v>
      </c>
    </row>
    <row r="5154" spans="2:5">
      <c r="B5154" s="65" t="str">
        <f t="shared" si="80"/>
        <v>doc-x0210:4</v>
      </c>
      <c r="C5154" t="s">
        <v>6355</v>
      </c>
      <c r="D5154">
        <v>4</v>
      </c>
      <c r="E5154" t="s">
        <v>2667</v>
      </c>
    </row>
    <row r="5155" spans="2:5">
      <c r="B5155" s="65" t="str">
        <f t="shared" si="80"/>
        <v>doc-x0211:1</v>
      </c>
      <c r="C5155" t="s">
        <v>6361</v>
      </c>
      <c r="D5155">
        <v>1</v>
      </c>
      <c r="E5155" t="s">
        <v>2687</v>
      </c>
    </row>
    <row r="5156" spans="2:5">
      <c r="B5156" s="65" t="str">
        <f t="shared" si="80"/>
        <v>doc-x0211:2</v>
      </c>
      <c r="C5156" t="s">
        <v>6361</v>
      </c>
      <c r="D5156">
        <v>2</v>
      </c>
      <c r="E5156" t="s">
        <v>2654</v>
      </c>
    </row>
    <row r="5157" spans="2:5">
      <c r="B5157" s="65" t="str">
        <f t="shared" si="80"/>
        <v>doc-x0211:3</v>
      </c>
      <c r="C5157" t="s">
        <v>6361</v>
      </c>
      <c r="D5157">
        <v>3</v>
      </c>
      <c r="E5157" t="s">
        <v>2667</v>
      </c>
    </row>
    <row r="5158" spans="2:5">
      <c r="B5158" s="65" t="str">
        <f t="shared" si="80"/>
        <v>doc-x0211:4</v>
      </c>
      <c r="C5158" t="s">
        <v>6361</v>
      </c>
      <c r="D5158">
        <v>4</v>
      </c>
      <c r="E5158" t="s">
        <v>3180</v>
      </c>
    </row>
    <row r="5159" spans="2:5">
      <c r="B5159" s="65" t="str">
        <f t="shared" si="80"/>
        <v>doc-x0212:1</v>
      </c>
      <c r="C5159" t="s">
        <v>6367</v>
      </c>
      <c r="D5159">
        <v>1</v>
      </c>
      <c r="E5159" t="s">
        <v>2407</v>
      </c>
    </row>
    <row r="5160" spans="2:5">
      <c r="B5160" s="65" t="str">
        <f t="shared" si="80"/>
        <v>doc-x0212:2</v>
      </c>
      <c r="C5160" t="s">
        <v>6367</v>
      </c>
      <c r="D5160">
        <v>2</v>
      </c>
      <c r="E5160" t="s">
        <v>2508</v>
      </c>
    </row>
    <row r="5161" spans="2:5">
      <c r="B5161" s="65" t="str">
        <f t="shared" si="80"/>
        <v>doc-x0212:3</v>
      </c>
      <c r="C5161" t="s">
        <v>6367</v>
      </c>
      <c r="D5161">
        <v>3</v>
      </c>
      <c r="E5161" t="s">
        <v>2394</v>
      </c>
    </row>
    <row r="5162" spans="2:5">
      <c r="B5162" s="65" t="str">
        <f t="shared" si="80"/>
        <v>doc-x0212:4</v>
      </c>
      <c r="C5162" t="s">
        <v>6367</v>
      </c>
      <c r="D5162">
        <v>4</v>
      </c>
      <c r="E5162" t="s">
        <v>1553</v>
      </c>
    </row>
    <row r="5163" spans="2:5">
      <c r="B5163" s="65" t="str">
        <f t="shared" si="80"/>
        <v>doc-x0213:1</v>
      </c>
      <c r="C5163" t="s">
        <v>6374</v>
      </c>
      <c r="D5163">
        <v>1</v>
      </c>
      <c r="E5163" t="s">
        <v>2179</v>
      </c>
    </row>
    <row r="5164" spans="2:5">
      <c r="B5164" s="65" t="str">
        <f t="shared" si="80"/>
        <v>doc-x0213:2</v>
      </c>
      <c r="C5164" t="s">
        <v>6374</v>
      </c>
      <c r="D5164">
        <v>2</v>
      </c>
      <c r="E5164" t="s">
        <v>2551</v>
      </c>
    </row>
    <row r="5165" spans="2:5">
      <c r="B5165" s="65" t="str">
        <f t="shared" si="80"/>
        <v>doc-x0213:3</v>
      </c>
      <c r="C5165" t="s">
        <v>6374</v>
      </c>
      <c r="D5165">
        <v>3</v>
      </c>
      <c r="E5165" t="s">
        <v>2121</v>
      </c>
    </row>
    <row r="5166" spans="2:5">
      <c r="B5166" s="65" t="str">
        <f t="shared" si="80"/>
        <v>doc-x0214:1</v>
      </c>
      <c r="C5166" t="s">
        <v>6380</v>
      </c>
      <c r="D5166">
        <v>1</v>
      </c>
      <c r="E5166" t="s">
        <v>281</v>
      </c>
    </row>
    <row r="5167" spans="2:5">
      <c r="B5167" s="65" t="str">
        <f t="shared" si="80"/>
        <v>doc-x0214:2</v>
      </c>
      <c r="C5167" t="s">
        <v>6380</v>
      </c>
      <c r="D5167">
        <v>2</v>
      </c>
      <c r="E5167" t="s">
        <v>299</v>
      </c>
    </row>
    <row r="5168" spans="2:5">
      <c r="B5168" s="65" t="str">
        <f t="shared" si="80"/>
        <v>doc-x0215:1</v>
      </c>
      <c r="C5168" t="s">
        <v>6384</v>
      </c>
      <c r="D5168">
        <v>1</v>
      </c>
      <c r="E5168" t="s">
        <v>1395</v>
      </c>
    </row>
    <row r="5169" spans="2:5">
      <c r="B5169" s="65" t="str">
        <f t="shared" si="80"/>
        <v>doc-x0215:2</v>
      </c>
      <c r="C5169" t="s">
        <v>6384</v>
      </c>
      <c r="D5169">
        <v>2</v>
      </c>
      <c r="E5169" t="s">
        <v>1366</v>
      </c>
    </row>
    <row r="5170" spans="2:5">
      <c r="B5170" s="65" t="str">
        <f t="shared" si="80"/>
        <v>doc-x0215:3</v>
      </c>
      <c r="C5170" t="s">
        <v>6384</v>
      </c>
      <c r="D5170">
        <v>3</v>
      </c>
      <c r="E5170" t="s">
        <v>1349</v>
      </c>
    </row>
    <row r="5171" spans="2:5">
      <c r="B5171" s="65" t="str">
        <f t="shared" si="80"/>
        <v>doc-x0215:4</v>
      </c>
      <c r="C5171" t="s">
        <v>6384</v>
      </c>
      <c r="D5171">
        <v>4</v>
      </c>
      <c r="E5171" t="s">
        <v>1425</v>
      </c>
    </row>
    <row r="5172" spans="2:5">
      <c r="B5172" s="65" t="str">
        <f t="shared" si="80"/>
        <v>doc-x0215:5</v>
      </c>
      <c r="C5172" t="s">
        <v>6384</v>
      </c>
      <c r="D5172">
        <v>5</v>
      </c>
      <c r="E5172" t="s">
        <v>1856</v>
      </c>
    </row>
    <row r="5173" spans="2:5">
      <c r="B5173" s="65" t="str">
        <f t="shared" si="80"/>
        <v>doc-x0215:6</v>
      </c>
      <c r="C5173" t="s">
        <v>6384</v>
      </c>
      <c r="D5173">
        <v>6</v>
      </c>
      <c r="E5173" t="s">
        <v>1825</v>
      </c>
    </row>
    <row r="5174" spans="2:5">
      <c r="B5174" s="65" t="str">
        <f t="shared" si="80"/>
        <v>doc-x0216:1</v>
      </c>
      <c r="C5174" t="s">
        <v>6392</v>
      </c>
      <c r="D5174">
        <v>1</v>
      </c>
      <c r="E5174" t="s">
        <v>1830</v>
      </c>
    </row>
    <row r="5175" spans="2:5">
      <c r="B5175" s="65" t="str">
        <f t="shared" si="80"/>
        <v>doc-x0217:1</v>
      </c>
      <c r="C5175" t="s">
        <v>6396</v>
      </c>
      <c r="D5175">
        <v>1</v>
      </c>
      <c r="E5175" t="s">
        <v>2722</v>
      </c>
    </row>
    <row r="5176" spans="2:5">
      <c r="B5176" s="65" t="str">
        <f t="shared" si="80"/>
        <v>doc-x0217:2</v>
      </c>
      <c r="C5176" t="s">
        <v>6396</v>
      </c>
      <c r="D5176">
        <v>2</v>
      </c>
      <c r="E5176" t="s">
        <v>2694</v>
      </c>
    </row>
    <row r="5177" spans="2:5">
      <c r="B5177" s="65" t="str">
        <f t="shared" si="80"/>
        <v>doc-x0217:3</v>
      </c>
      <c r="C5177" t="s">
        <v>6396</v>
      </c>
      <c r="D5177">
        <v>3</v>
      </c>
      <c r="E5177" t="s">
        <v>2749</v>
      </c>
    </row>
    <row r="5178" spans="2:5">
      <c r="B5178" s="65" t="str">
        <f t="shared" si="80"/>
        <v>doc-x0217:4</v>
      </c>
      <c r="C5178" t="s">
        <v>6396</v>
      </c>
      <c r="D5178">
        <v>4</v>
      </c>
      <c r="E5178" t="s">
        <v>2646</v>
      </c>
    </row>
    <row r="5179" spans="2:5">
      <c r="B5179" s="65" t="str">
        <f t="shared" si="80"/>
        <v>doc-x0217:5</v>
      </c>
      <c r="C5179" t="s">
        <v>6396</v>
      </c>
      <c r="D5179">
        <v>5</v>
      </c>
      <c r="E5179" t="s">
        <v>2664</v>
      </c>
    </row>
    <row r="5180" spans="2:5">
      <c r="B5180" s="65" t="str">
        <f t="shared" si="80"/>
        <v>doc-x0217:6</v>
      </c>
      <c r="C5180" t="s">
        <v>6396</v>
      </c>
      <c r="D5180">
        <v>6</v>
      </c>
      <c r="E5180" t="s">
        <v>3233</v>
      </c>
    </row>
    <row r="5181" spans="2:5">
      <c r="B5181" s="65" t="str">
        <f t="shared" si="80"/>
        <v>doc-x0220:1</v>
      </c>
      <c r="C5181" t="s">
        <v>6402</v>
      </c>
      <c r="D5181">
        <v>1</v>
      </c>
      <c r="E5181" t="s">
        <v>2729</v>
      </c>
    </row>
    <row r="5182" spans="2:5">
      <c r="B5182" s="65" t="str">
        <f t="shared" si="80"/>
        <v>doc-x0220:2</v>
      </c>
      <c r="C5182" t="s">
        <v>6402</v>
      </c>
      <c r="D5182">
        <v>2</v>
      </c>
      <c r="E5182" t="s">
        <v>2712</v>
      </c>
    </row>
    <row r="5183" spans="2:5">
      <c r="B5183" s="65" t="str">
        <f t="shared" si="80"/>
        <v>doc-x0220:3</v>
      </c>
      <c r="C5183" t="s">
        <v>6402</v>
      </c>
      <c r="D5183">
        <v>3</v>
      </c>
      <c r="E5183" t="s">
        <v>2607</v>
      </c>
    </row>
    <row r="5184" spans="2:5">
      <c r="B5184" s="65" t="str">
        <f t="shared" si="80"/>
        <v>doc-x0220:4</v>
      </c>
      <c r="C5184" t="s">
        <v>6402</v>
      </c>
      <c r="D5184">
        <v>4</v>
      </c>
      <c r="E5184" t="s">
        <v>2585</v>
      </c>
    </row>
    <row r="5185" spans="2:5">
      <c r="B5185" s="65" t="str">
        <f t="shared" si="80"/>
        <v>doc-x0220:5</v>
      </c>
      <c r="C5185" t="s">
        <v>6402</v>
      </c>
      <c r="D5185">
        <v>5</v>
      </c>
      <c r="E5185" t="s">
        <v>1655</v>
      </c>
    </row>
    <row r="5186" spans="2:5">
      <c r="B5186" s="65" t="str">
        <f t="shared" si="80"/>
        <v>doc-x0220:6</v>
      </c>
      <c r="C5186" t="s">
        <v>6402</v>
      </c>
      <c r="D5186">
        <v>6</v>
      </c>
      <c r="E5186" t="s">
        <v>2667</v>
      </c>
    </row>
    <row r="5187" spans="2:5">
      <c r="B5187" s="65" t="str">
        <f t="shared" si="80"/>
        <v>doc-x0221:1</v>
      </c>
      <c r="C5187" t="s">
        <v>6408</v>
      </c>
      <c r="D5187">
        <v>1</v>
      </c>
      <c r="E5187" t="s">
        <v>2718</v>
      </c>
    </row>
    <row r="5188" spans="2:5">
      <c r="B5188" s="65" t="str">
        <f t="shared" ref="B5188:B5251" si="81">$C5188&amp;":"&amp;$D5188</f>
        <v>doc-x0221:2</v>
      </c>
      <c r="C5188" t="s">
        <v>6408</v>
      </c>
      <c r="D5188">
        <v>2</v>
      </c>
      <c r="E5188" t="s">
        <v>2620</v>
      </c>
    </row>
    <row r="5189" spans="2:5">
      <c r="B5189" s="65" t="str">
        <f t="shared" si="81"/>
        <v>doc-x0221:3</v>
      </c>
      <c r="C5189" t="s">
        <v>6408</v>
      </c>
      <c r="D5189">
        <v>3</v>
      </c>
      <c r="E5189" t="s">
        <v>1699</v>
      </c>
    </row>
    <row r="5190" spans="2:5">
      <c r="B5190" s="65" t="str">
        <f t="shared" si="81"/>
        <v>doc-x0221:4</v>
      </c>
      <c r="C5190" t="s">
        <v>6408</v>
      </c>
      <c r="D5190">
        <v>4</v>
      </c>
      <c r="E5190" t="s">
        <v>2667</v>
      </c>
    </row>
    <row r="5191" spans="2:5">
      <c r="B5191" s="65" t="str">
        <f t="shared" si="81"/>
        <v>doc-x0221:5</v>
      </c>
      <c r="C5191" t="s">
        <v>6408</v>
      </c>
      <c r="D5191">
        <v>5</v>
      </c>
      <c r="E5191" t="s">
        <v>2715</v>
      </c>
    </row>
    <row r="5192" spans="2:5">
      <c r="B5192" s="65" t="str">
        <f t="shared" si="81"/>
        <v>doc-x0222:1</v>
      </c>
      <c r="C5192" t="s">
        <v>6415</v>
      </c>
      <c r="D5192">
        <v>1</v>
      </c>
      <c r="E5192" t="s">
        <v>2707</v>
      </c>
    </row>
    <row r="5193" spans="2:5">
      <c r="B5193" s="65" t="str">
        <f t="shared" si="81"/>
        <v>doc-x0222:2</v>
      </c>
      <c r="C5193" t="s">
        <v>6415</v>
      </c>
      <c r="D5193">
        <v>2</v>
      </c>
      <c r="E5193" t="s">
        <v>1608</v>
      </c>
    </row>
    <row r="5194" spans="2:5">
      <c r="B5194" s="65" t="str">
        <f t="shared" si="81"/>
        <v>doc-x0222:3</v>
      </c>
      <c r="C5194" t="s">
        <v>6415</v>
      </c>
      <c r="D5194">
        <v>3</v>
      </c>
      <c r="E5194" t="s">
        <v>1611</v>
      </c>
    </row>
    <row r="5195" spans="2:5">
      <c r="B5195" s="65" t="str">
        <f t="shared" si="81"/>
        <v>doc-x0222:4</v>
      </c>
      <c r="C5195" t="s">
        <v>6415</v>
      </c>
      <c r="D5195">
        <v>4</v>
      </c>
      <c r="E5195" t="s">
        <v>2664</v>
      </c>
    </row>
    <row r="5196" spans="2:5">
      <c r="B5196" s="65" t="str">
        <f t="shared" si="81"/>
        <v>doc-x0224:1</v>
      </c>
      <c r="C5196" t="s">
        <v>6421</v>
      </c>
      <c r="D5196">
        <v>1</v>
      </c>
      <c r="E5196" t="s">
        <v>2310</v>
      </c>
    </row>
    <row r="5197" spans="2:5">
      <c r="B5197" s="65" t="str">
        <f t="shared" si="81"/>
        <v>doc-x0224:2</v>
      </c>
      <c r="C5197" t="s">
        <v>6421</v>
      </c>
      <c r="D5197">
        <v>2</v>
      </c>
      <c r="E5197" t="s">
        <v>1395</v>
      </c>
    </row>
    <row r="5198" spans="2:5">
      <c r="B5198" s="65" t="str">
        <f t="shared" si="81"/>
        <v>doc-x0224:3</v>
      </c>
      <c r="C5198" t="s">
        <v>6421</v>
      </c>
      <c r="D5198">
        <v>3</v>
      </c>
      <c r="E5198" t="s">
        <v>1404</v>
      </c>
    </row>
    <row r="5199" spans="2:5">
      <c r="B5199" s="65" t="str">
        <f t="shared" si="81"/>
        <v>doc-x0224:4</v>
      </c>
      <c r="C5199" t="s">
        <v>6421</v>
      </c>
      <c r="D5199">
        <v>4</v>
      </c>
      <c r="E5199" t="s">
        <v>1349</v>
      </c>
    </row>
    <row r="5200" spans="2:5">
      <c r="B5200" s="65" t="str">
        <f t="shared" si="81"/>
        <v>doc-x0224:5</v>
      </c>
      <c r="C5200" t="s">
        <v>6421</v>
      </c>
      <c r="D5200">
        <v>5</v>
      </c>
      <c r="E5200" t="s">
        <v>1425</v>
      </c>
    </row>
    <row r="5201" spans="2:5">
      <c r="B5201" s="65" t="str">
        <f t="shared" si="81"/>
        <v>doc-x0224:6</v>
      </c>
      <c r="C5201" t="s">
        <v>6421</v>
      </c>
      <c r="D5201">
        <v>6</v>
      </c>
      <c r="E5201" t="s">
        <v>281</v>
      </c>
    </row>
    <row r="5202" spans="2:5">
      <c r="B5202" s="65" t="str">
        <f t="shared" si="81"/>
        <v>doc-x0225:1</v>
      </c>
      <c r="C5202" t="s">
        <v>6427</v>
      </c>
      <c r="D5202">
        <v>1</v>
      </c>
      <c r="E5202" t="s">
        <v>2722</v>
      </c>
    </row>
    <row r="5203" spans="2:5">
      <c r="B5203" s="65" t="str">
        <f t="shared" si="81"/>
        <v>doc-x0225:2</v>
      </c>
      <c r="C5203" t="s">
        <v>6427</v>
      </c>
      <c r="D5203">
        <v>2</v>
      </c>
      <c r="E5203" t="s">
        <v>2749</v>
      </c>
    </row>
    <row r="5204" spans="2:5">
      <c r="B5204" s="65" t="str">
        <f t="shared" si="81"/>
        <v>doc-x0225:3</v>
      </c>
      <c r="C5204" t="s">
        <v>6427</v>
      </c>
      <c r="D5204">
        <v>3</v>
      </c>
      <c r="E5204" t="s">
        <v>2694</v>
      </c>
    </row>
    <row r="5205" spans="2:5">
      <c r="B5205" s="65" t="str">
        <f t="shared" si="81"/>
        <v>doc-x0225:4</v>
      </c>
      <c r="C5205" t="s">
        <v>6427</v>
      </c>
      <c r="D5205">
        <v>4</v>
      </c>
      <c r="E5205" t="s">
        <v>2664</v>
      </c>
    </row>
    <row r="5206" spans="2:5">
      <c r="B5206" s="65" t="str">
        <f t="shared" si="81"/>
        <v>doc-x0226:1</v>
      </c>
      <c r="C5206" t="s">
        <v>6433</v>
      </c>
      <c r="D5206">
        <v>1</v>
      </c>
      <c r="E5206" t="s">
        <v>3061</v>
      </c>
    </row>
    <row r="5207" spans="2:5">
      <c r="B5207" s="65" t="str">
        <f t="shared" si="81"/>
        <v>doc-x0226:2</v>
      </c>
      <c r="C5207" t="s">
        <v>6433</v>
      </c>
      <c r="D5207">
        <v>2</v>
      </c>
      <c r="E5207" t="s">
        <v>3063</v>
      </c>
    </row>
    <row r="5208" spans="2:5">
      <c r="B5208" s="65" t="str">
        <f t="shared" si="81"/>
        <v>doc-x0226:3</v>
      </c>
      <c r="C5208" t="s">
        <v>6433</v>
      </c>
      <c r="D5208">
        <v>3</v>
      </c>
      <c r="E5208" t="s">
        <v>79</v>
      </c>
    </row>
    <row r="5209" spans="2:5">
      <c r="B5209" s="65" t="str">
        <f t="shared" si="81"/>
        <v>doc-x0226:4</v>
      </c>
      <c r="C5209" t="s">
        <v>6433</v>
      </c>
      <c r="D5209">
        <v>4</v>
      </c>
      <c r="E5209" t="s">
        <v>247</v>
      </c>
    </row>
    <row r="5210" spans="2:5">
      <c r="B5210" s="65" t="str">
        <f t="shared" si="81"/>
        <v>doc-x0226:5</v>
      </c>
      <c r="C5210" t="s">
        <v>6433</v>
      </c>
      <c r="D5210">
        <v>5</v>
      </c>
      <c r="E5210" t="s">
        <v>3058</v>
      </c>
    </row>
    <row r="5211" spans="2:5">
      <c r="B5211" s="65" t="str">
        <f t="shared" si="81"/>
        <v>doc-x0227:1</v>
      </c>
      <c r="C5211" t="s">
        <v>6438</v>
      </c>
      <c r="D5211">
        <v>1</v>
      </c>
      <c r="E5211" t="s">
        <v>2729</v>
      </c>
    </row>
    <row r="5212" spans="2:5">
      <c r="B5212" s="65" t="str">
        <f t="shared" si="81"/>
        <v>doc-x0227:2</v>
      </c>
      <c r="C5212" t="s">
        <v>6438</v>
      </c>
      <c r="D5212">
        <v>2</v>
      </c>
      <c r="E5212" t="s">
        <v>2643</v>
      </c>
    </row>
    <row r="5213" spans="2:5">
      <c r="B5213" s="65" t="str">
        <f t="shared" si="81"/>
        <v>doc-x0227:3</v>
      </c>
      <c r="C5213" t="s">
        <v>6438</v>
      </c>
      <c r="D5213">
        <v>3</v>
      </c>
      <c r="E5213" t="s">
        <v>2667</v>
      </c>
    </row>
    <row r="5214" spans="2:5">
      <c r="B5214" s="65" t="str">
        <f t="shared" si="81"/>
        <v>doc-x0227:4</v>
      </c>
      <c r="C5214" t="s">
        <v>6438</v>
      </c>
      <c r="D5214">
        <v>4</v>
      </c>
      <c r="E5214" t="s">
        <v>1699</v>
      </c>
    </row>
    <row r="5215" spans="2:5">
      <c r="B5215" s="65" t="str">
        <f t="shared" si="81"/>
        <v>doc-x0227:5</v>
      </c>
      <c r="C5215" t="s">
        <v>6438</v>
      </c>
      <c r="D5215">
        <v>5</v>
      </c>
      <c r="E5215" t="s">
        <v>3121</v>
      </c>
    </row>
    <row r="5216" spans="2:5">
      <c r="B5216" s="65" t="str">
        <f t="shared" si="81"/>
        <v>doc-x0228:1</v>
      </c>
      <c r="C5216" t="s">
        <v>6444</v>
      </c>
      <c r="D5216">
        <v>1</v>
      </c>
      <c r="E5216" t="s">
        <v>1944</v>
      </c>
    </row>
    <row r="5217" spans="2:5">
      <c r="B5217" s="65" t="str">
        <f t="shared" si="81"/>
        <v>doc-x0228:2</v>
      </c>
      <c r="C5217" t="s">
        <v>6444</v>
      </c>
      <c r="D5217">
        <v>2</v>
      </c>
      <c r="E5217" t="s">
        <v>1813</v>
      </c>
    </row>
    <row r="5218" spans="2:5">
      <c r="B5218" s="65" t="str">
        <f t="shared" si="81"/>
        <v>doc-x0228:3</v>
      </c>
      <c r="C5218" t="s">
        <v>6444</v>
      </c>
      <c r="D5218">
        <v>3</v>
      </c>
      <c r="E5218" t="s">
        <v>2106</v>
      </c>
    </row>
    <row r="5219" spans="2:5">
      <c r="B5219" s="65" t="str">
        <f t="shared" si="81"/>
        <v>doc-x0229:1</v>
      </c>
      <c r="C5219" t="s">
        <v>6450</v>
      </c>
      <c r="D5219">
        <v>1</v>
      </c>
      <c r="E5219" t="s">
        <v>1392</v>
      </c>
    </row>
    <row r="5220" spans="2:5">
      <c r="B5220" s="65" t="str">
        <f t="shared" si="81"/>
        <v>doc-x0229:2</v>
      </c>
      <c r="C5220" t="s">
        <v>6450</v>
      </c>
      <c r="D5220">
        <v>2</v>
      </c>
      <c r="E5220" t="s">
        <v>1384</v>
      </c>
    </row>
    <row r="5221" spans="2:5">
      <c r="B5221" s="65" t="str">
        <f t="shared" si="81"/>
        <v>doc-x0229:3</v>
      </c>
      <c r="C5221" t="s">
        <v>6450</v>
      </c>
      <c r="D5221">
        <v>3</v>
      </c>
      <c r="E5221" t="s">
        <v>2540</v>
      </c>
    </row>
    <row r="5222" spans="2:5">
      <c r="B5222" s="65" t="str">
        <f t="shared" si="81"/>
        <v>doc-x0231:1</v>
      </c>
      <c r="C5222" t="s">
        <v>10632</v>
      </c>
      <c r="D5222">
        <v>1</v>
      </c>
      <c r="E5222" t="s">
        <v>3145</v>
      </c>
    </row>
    <row r="5223" spans="2:5">
      <c r="B5223" s="65" t="str">
        <f t="shared" si="81"/>
        <v>doc-x0232:1</v>
      </c>
      <c r="C5223" t="s">
        <v>10633</v>
      </c>
      <c r="D5223">
        <v>1</v>
      </c>
      <c r="E5223" t="s">
        <v>2798</v>
      </c>
    </row>
    <row r="5224" spans="2:5">
      <c r="B5224" s="65" t="str">
        <f t="shared" si="81"/>
        <v>doc-x0233:1</v>
      </c>
      <c r="C5224" t="s">
        <v>10634</v>
      </c>
      <c r="D5224">
        <v>1</v>
      </c>
      <c r="E5224" t="s">
        <v>3087</v>
      </c>
    </row>
    <row r="5225" spans="2:5">
      <c r="B5225" s="65" t="str">
        <f t="shared" si="81"/>
        <v>doc-x0234:1</v>
      </c>
      <c r="C5225" t="s">
        <v>10635</v>
      </c>
      <c r="D5225">
        <v>1</v>
      </c>
      <c r="E5225" t="s">
        <v>2230</v>
      </c>
    </row>
    <row r="5226" spans="2:5">
      <c r="B5226" s="65" t="str">
        <f t="shared" si="81"/>
        <v>doc-x0234:2</v>
      </c>
      <c r="C5226" t="s">
        <v>10635</v>
      </c>
      <c r="D5226">
        <v>2</v>
      </c>
      <c r="E5226" t="s">
        <v>1224</v>
      </c>
    </row>
    <row r="5227" spans="2:5">
      <c r="B5227" s="65" t="str">
        <f t="shared" si="81"/>
        <v>doc-x0234:3</v>
      </c>
      <c r="C5227" t="s">
        <v>10635</v>
      </c>
      <c r="D5227">
        <v>3</v>
      </c>
      <c r="E5227" t="s">
        <v>1216</v>
      </c>
    </row>
    <row r="5228" spans="2:5">
      <c r="B5228" s="65" t="str">
        <f t="shared" si="81"/>
        <v>doc-x0235:1</v>
      </c>
      <c r="C5228" t="s">
        <v>10636</v>
      </c>
      <c r="D5228">
        <v>1</v>
      </c>
      <c r="E5228" t="s">
        <v>1425</v>
      </c>
    </row>
    <row r="5229" spans="2:5">
      <c r="B5229" s="65" t="str">
        <f t="shared" si="81"/>
        <v>doc-x0235:2</v>
      </c>
      <c r="C5229" t="s">
        <v>10636</v>
      </c>
      <c r="D5229">
        <v>2</v>
      </c>
      <c r="E5229" t="s">
        <v>1856</v>
      </c>
    </row>
    <row r="5230" spans="2:5">
      <c r="B5230" s="65" t="str">
        <f t="shared" si="81"/>
        <v>doc-x0236:1</v>
      </c>
      <c r="C5230" t="s">
        <v>10637</v>
      </c>
      <c r="D5230">
        <v>1</v>
      </c>
      <c r="E5230" t="s">
        <v>1856</v>
      </c>
    </row>
    <row r="5231" spans="2:5">
      <c r="B5231" s="65" t="str">
        <f t="shared" si="81"/>
        <v>doc-x0236:2</v>
      </c>
      <c r="C5231" t="s">
        <v>10637</v>
      </c>
      <c r="D5231">
        <v>2</v>
      </c>
      <c r="E5231" t="s">
        <v>2003</v>
      </c>
    </row>
    <row r="5232" spans="2:5">
      <c r="B5232" s="65" t="str">
        <f t="shared" si="81"/>
        <v>doc-x0236:3</v>
      </c>
      <c r="C5232" t="s">
        <v>10637</v>
      </c>
      <c r="D5232">
        <v>3</v>
      </c>
      <c r="E5232" t="s">
        <v>1084</v>
      </c>
    </row>
    <row r="5233" spans="2:5">
      <c r="B5233" s="65" t="str">
        <f t="shared" si="81"/>
        <v>doc-x0237:1</v>
      </c>
      <c r="C5233" t="s">
        <v>10638</v>
      </c>
      <c r="D5233">
        <v>1</v>
      </c>
      <c r="E5233" t="s">
        <v>1321</v>
      </c>
    </row>
    <row r="5234" spans="2:5">
      <c r="B5234" s="65" t="str">
        <f t="shared" si="81"/>
        <v>doc-x0237:2</v>
      </c>
      <c r="C5234" t="s">
        <v>10638</v>
      </c>
      <c r="D5234">
        <v>2</v>
      </c>
      <c r="E5234" t="s">
        <v>1417</v>
      </c>
    </row>
    <row r="5235" spans="2:5">
      <c r="B5235" s="65" t="str">
        <f t="shared" si="81"/>
        <v>doc-x0238:1</v>
      </c>
      <c r="C5235" t="s">
        <v>10639</v>
      </c>
      <c r="D5235">
        <v>1</v>
      </c>
      <c r="E5235" t="s">
        <v>1941</v>
      </c>
    </row>
    <row r="5236" spans="2:5">
      <c r="B5236" s="65" t="str">
        <f t="shared" si="81"/>
        <v>doc-x0238:2</v>
      </c>
      <c r="C5236" t="s">
        <v>10639</v>
      </c>
      <c r="D5236">
        <v>2</v>
      </c>
      <c r="E5236" t="s">
        <v>1844</v>
      </c>
    </row>
    <row r="5237" spans="2:5">
      <c r="B5237" s="65" t="str">
        <f t="shared" si="81"/>
        <v>doc-x0238:3</v>
      </c>
      <c r="C5237" t="s">
        <v>10639</v>
      </c>
      <c r="D5237">
        <v>3</v>
      </c>
      <c r="E5237" t="s">
        <v>2407</v>
      </c>
    </row>
    <row r="5238" spans="2:5">
      <c r="B5238" s="65" t="str">
        <f t="shared" si="81"/>
        <v>doc-x0240:1</v>
      </c>
      <c r="C5238" t="s">
        <v>10640</v>
      </c>
      <c r="D5238">
        <v>1</v>
      </c>
      <c r="E5238" t="s">
        <v>2676</v>
      </c>
    </row>
    <row r="5239" spans="2:5">
      <c r="B5239" s="65" t="str">
        <f t="shared" si="81"/>
        <v>doc-x0240:2</v>
      </c>
      <c r="C5239" t="s">
        <v>10640</v>
      </c>
      <c r="D5239">
        <v>2</v>
      </c>
      <c r="E5239" t="s">
        <v>2027</v>
      </c>
    </row>
    <row r="5240" spans="2:5">
      <c r="B5240" s="65" t="str">
        <f t="shared" si="81"/>
        <v>doc-x0240:3</v>
      </c>
      <c r="C5240" t="s">
        <v>10640</v>
      </c>
      <c r="D5240">
        <v>3</v>
      </c>
      <c r="E5240" t="s">
        <v>1968</v>
      </c>
    </row>
    <row r="5241" spans="2:5">
      <c r="B5241" s="65" t="str">
        <f t="shared" si="81"/>
        <v>doc-x0240:4</v>
      </c>
      <c r="C5241" t="s">
        <v>10640</v>
      </c>
      <c r="D5241">
        <v>4</v>
      </c>
      <c r="E5241" t="s">
        <v>2660</v>
      </c>
    </row>
    <row r="5242" spans="2:5">
      <c r="B5242" s="65" t="str">
        <f t="shared" si="81"/>
        <v>doc-x0241:1</v>
      </c>
      <c r="C5242" t="s">
        <v>10641</v>
      </c>
      <c r="D5242">
        <v>1</v>
      </c>
      <c r="E5242" t="s">
        <v>2310</v>
      </c>
    </row>
    <row r="5243" spans="2:5">
      <c r="B5243" s="65" t="str">
        <f t="shared" si="81"/>
        <v>doc-x0241:2</v>
      </c>
      <c r="C5243" t="s">
        <v>10641</v>
      </c>
      <c r="D5243">
        <v>2</v>
      </c>
      <c r="E5243" t="s">
        <v>1395</v>
      </c>
    </row>
    <row r="5244" spans="2:5">
      <c r="B5244" s="65" t="str">
        <f t="shared" si="81"/>
        <v>doc-x0241:3</v>
      </c>
      <c r="C5244" t="s">
        <v>10641</v>
      </c>
      <c r="D5244">
        <v>3</v>
      </c>
      <c r="E5244" t="s">
        <v>87</v>
      </c>
    </row>
    <row r="5245" spans="2:5">
      <c r="B5245" s="65" t="str">
        <f t="shared" si="81"/>
        <v>doc-x0241:4</v>
      </c>
      <c r="C5245" t="s">
        <v>10641</v>
      </c>
      <c r="D5245">
        <v>4</v>
      </c>
      <c r="E5245" t="s">
        <v>1349</v>
      </c>
    </row>
    <row r="5246" spans="2:5">
      <c r="B5246" s="65" t="str">
        <f t="shared" si="81"/>
        <v>doc-x0241:5</v>
      </c>
      <c r="C5246" t="s">
        <v>10641</v>
      </c>
      <c r="D5246">
        <v>5</v>
      </c>
      <c r="E5246" t="s">
        <v>1108</v>
      </c>
    </row>
    <row r="5247" spans="2:5">
      <c r="B5247" s="65" t="str">
        <f t="shared" si="81"/>
        <v>doc-x0241:6</v>
      </c>
      <c r="C5247" t="s">
        <v>10641</v>
      </c>
      <c r="D5247">
        <v>6</v>
      </c>
      <c r="E5247" t="s">
        <v>281</v>
      </c>
    </row>
    <row r="5248" spans="2:5">
      <c r="B5248" s="65" t="str">
        <f t="shared" si="81"/>
        <v>doc-x0241:7</v>
      </c>
      <c r="C5248" t="s">
        <v>10641</v>
      </c>
      <c r="D5248">
        <v>7</v>
      </c>
      <c r="E5248" t="s">
        <v>73</v>
      </c>
    </row>
    <row r="5249" spans="2:5">
      <c r="B5249" s="65" t="str">
        <f t="shared" si="81"/>
        <v>doc-x0242:1</v>
      </c>
      <c r="C5249" t="s">
        <v>10642</v>
      </c>
      <c r="D5249">
        <v>1</v>
      </c>
      <c r="E5249" t="s">
        <v>2455</v>
      </c>
    </row>
    <row r="5250" spans="2:5">
      <c r="B5250" s="65" t="str">
        <f t="shared" si="81"/>
        <v>doc-x0242:2</v>
      </c>
      <c r="C5250" t="s">
        <v>10642</v>
      </c>
      <c r="D5250">
        <v>2</v>
      </c>
      <c r="E5250" t="s">
        <v>2469</v>
      </c>
    </row>
    <row r="5251" spans="2:5">
      <c r="B5251" s="65" t="str">
        <f t="shared" si="81"/>
        <v>doc-x0242:3</v>
      </c>
      <c r="C5251" t="s">
        <v>10642</v>
      </c>
      <c r="D5251">
        <v>3</v>
      </c>
      <c r="E5251" t="s">
        <v>247</v>
      </c>
    </row>
    <row r="5252" spans="2:5">
      <c r="B5252" s="65" t="str">
        <f t="shared" ref="B5252:B5315" si="82">$C5252&amp;":"&amp;$D5252</f>
        <v>doc-x0243:1</v>
      </c>
      <c r="C5252" t="s">
        <v>10643</v>
      </c>
      <c r="D5252">
        <v>1</v>
      </c>
      <c r="E5252" t="s">
        <v>254</v>
      </c>
    </row>
    <row r="5253" spans="2:5">
      <c r="B5253" s="65" t="str">
        <f t="shared" si="82"/>
        <v>doc-x0243:2</v>
      </c>
      <c r="C5253" t="s">
        <v>10643</v>
      </c>
      <c r="D5253">
        <v>2</v>
      </c>
      <c r="E5253" t="s">
        <v>3145</v>
      </c>
    </row>
    <row r="5254" spans="2:5">
      <c r="B5254" s="65" t="str">
        <f t="shared" si="82"/>
        <v>doc-x0244:1</v>
      </c>
      <c r="C5254" t="s">
        <v>10644</v>
      </c>
      <c r="D5254">
        <v>1</v>
      </c>
      <c r="E5254" t="s">
        <v>1229</v>
      </c>
    </row>
    <row r="5255" spans="2:5">
      <c r="B5255" s="65" t="str">
        <f t="shared" si="82"/>
        <v>doc-x0244:2</v>
      </c>
      <c r="C5255" t="s">
        <v>10644</v>
      </c>
      <c r="D5255">
        <v>2</v>
      </c>
      <c r="E5255" t="s">
        <v>1232</v>
      </c>
    </row>
    <row r="5256" spans="2:5">
      <c r="B5256" s="65" t="str">
        <f t="shared" si="82"/>
        <v>doc-x0244:3</v>
      </c>
      <c r="C5256" t="s">
        <v>10644</v>
      </c>
      <c r="D5256">
        <v>3</v>
      </c>
      <c r="E5256" t="s">
        <v>1235</v>
      </c>
    </row>
    <row r="5257" spans="2:5">
      <c r="B5257" s="65" t="str">
        <f t="shared" si="82"/>
        <v>doc-x0244:4</v>
      </c>
      <c r="C5257" t="s">
        <v>10644</v>
      </c>
      <c r="D5257">
        <v>4</v>
      </c>
      <c r="E5257" t="s">
        <v>2975</v>
      </c>
    </row>
    <row r="5258" spans="2:5">
      <c r="B5258" s="65" t="str">
        <f t="shared" si="82"/>
        <v>doc-x0245:1</v>
      </c>
      <c r="C5258" t="s">
        <v>10645</v>
      </c>
      <c r="D5258">
        <v>1</v>
      </c>
      <c r="E5258" t="s">
        <v>1720</v>
      </c>
    </row>
    <row r="5259" spans="2:5">
      <c r="B5259" s="65" t="str">
        <f t="shared" si="82"/>
        <v>doc-x0245:2</v>
      </c>
      <c r="C5259" t="s">
        <v>10645</v>
      </c>
      <c r="D5259">
        <v>2</v>
      </c>
      <c r="E5259" t="s">
        <v>1833</v>
      </c>
    </row>
    <row r="5260" spans="2:5">
      <c r="B5260" s="65" t="str">
        <f t="shared" si="82"/>
        <v>doc-x0245:3</v>
      </c>
      <c r="C5260" t="s">
        <v>10645</v>
      </c>
      <c r="D5260">
        <v>3</v>
      </c>
      <c r="E5260" t="s">
        <v>1902</v>
      </c>
    </row>
    <row r="5261" spans="2:5">
      <c r="B5261" s="65" t="str">
        <f t="shared" si="82"/>
        <v>doc-x0245:4</v>
      </c>
      <c r="C5261" t="s">
        <v>10645</v>
      </c>
      <c r="D5261">
        <v>4</v>
      </c>
      <c r="E5261" t="s">
        <v>2121</v>
      </c>
    </row>
    <row r="5262" spans="2:5">
      <c r="B5262" s="65" t="str">
        <f t="shared" si="82"/>
        <v>doc-x0300:1</v>
      </c>
      <c r="C5262" t="s">
        <v>10646</v>
      </c>
      <c r="D5262">
        <v>1</v>
      </c>
      <c r="E5262" t="s">
        <v>2027</v>
      </c>
    </row>
    <row r="5263" spans="2:5">
      <c r="B5263" s="65" t="str">
        <f t="shared" si="82"/>
        <v>doc-x0300:2</v>
      </c>
      <c r="C5263" t="s">
        <v>10646</v>
      </c>
      <c r="D5263">
        <v>2</v>
      </c>
      <c r="E5263" t="s">
        <v>1856</v>
      </c>
    </row>
    <row r="5264" spans="2:5">
      <c r="B5264" s="65" t="str">
        <f t="shared" si="82"/>
        <v>doc-x0300:3</v>
      </c>
      <c r="C5264" t="s">
        <v>10646</v>
      </c>
      <c r="D5264">
        <v>3</v>
      </c>
      <c r="E5264" t="s">
        <v>296</v>
      </c>
    </row>
    <row r="5265" spans="2:5">
      <c r="B5265" s="65" t="str">
        <f t="shared" si="82"/>
        <v>doc-x0300:4</v>
      </c>
      <c r="C5265" t="s">
        <v>10646</v>
      </c>
      <c r="D5265">
        <v>4</v>
      </c>
      <c r="E5265" t="s">
        <v>1073</v>
      </c>
    </row>
    <row r="5266" spans="2:5">
      <c r="B5266" s="65" t="str">
        <f t="shared" si="82"/>
        <v>doc-x0300:5</v>
      </c>
      <c r="C5266" t="s">
        <v>10646</v>
      </c>
      <c r="D5266">
        <v>5</v>
      </c>
      <c r="E5266" t="s">
        <v>3023</v>
      </c>
    </row>
    <row r="5267" spans="2:5">
      <c r="B5267" s="65" t="str">
        <f t="shared" si="82"/>
        <v>doc-x0302:1</v>
      </c>
      <c r="C5267" t="s">
        <v>10647</v>
      </c>
      <c r="D5267">
        <v>1</v>
      </c>
      <c r="E5267" t="s">
        <v>1561</v>
      </c>
    </row>
    <row r="5268" spans="2:5">
      <c r="B5268" s="65" t="str">
        <f t="shared" si="82"/>
        <v>doc-x0302:2</v>
      </c>
      <c r="C5268" t="s">
        <v>10647</v>
      </c>
      <c r="D5268">
        <v>2</v>
      </c>
      <c r="E5268" t="s">
        <v>2197</v>
      </c>
    </row>
    <row r="5269" spans="2:5">
      <c r="B5269" s="65" t="str">
        <f t="shared" si="82"/>
        <v>doc-x0302:3</v>
      </c>
      <c r="C5269" t="s">
        <v>10647</v>
      </c>
      <c r="D5269">
        <v>3</v>
      </c>
      <c r="E5269" t="s">
        <v>82</v>
      </c>
    </row>
    <row r="5270" spans="2:5">
      <c r="B5270" s="65" t="str">
        <f t="shared" si="82"/>
        <v>doc-x0302:4</v>
      </c>
      <c r="C5270" t="s">
        <v>10647</v>
      </c>
      <c r="D5270">
        <v>4</v>
      </c>
      <c r="E5270" t="s">
        <v>1197</v>
      </c>
    </row>
    <row r="5271" spans="2:5">
      <c r="B5271" s="65" t="str">
        <f t="shared" si="82"/>
        <v>doc-x0302:5</v>
      </c>
      <c r="C5271" t="s">
        <v>10647</v>
      </c>
      <c r="D5271">
        <v>5</v>
      </c>
      <c r="E5271" t="s">
        <v>1078</v>
      </c>
    </row>
    <row r="5272" spans="2:5">
      <c r="B5272" s="65" t="str">
        <f t="shared" si="82"/>
        <v>doc-x0304:1</v>
      </c>
      <c r="C5272" t="s">
        <v>10648</v>
      </c>
      <c r="D5272">
        <v>1</v>
      </c>
      <c r="E5272" t="s">
        <v>2455</v>
      </c>
    </row>
    <row r="5273" spans="2:5">
      <c r="B5273" s="65" t="str">
        <f t="shared" si="82"/>
        <v>doc-x0304:2</v>
      </c>
      <c r="C5273" t="s">
        <v>10648</v>
      </c>
      <c r="D5273">
        <v>2</v>
      </c>
      <c r="E5273" t="s">
        <v>3061</v>
      </c>
    </row>
    <row r="5274" spans="2:5">
      <c r="B5274" s="65" t="str">
        <f t="shared" si="82"/>
        <v>doc-x0304:3</v>
      </c>
      <c r="C5274" t="s">
        <v>10648</v>
      </c>
      <c r="D5274">
        <v>3</v>
      </c>
      <c r="E5274" t="s">
        <v>3058</v>
      </c>
    </row>
    <row r="5275" spans="2:5">
      <c r="B5275" s="65" t="str">
        <f t="shared" si="82"/>
        <v>doc-x0304:4</v>
      </c>
      <c r="C5275" t="s">
        <v>10648</v>
      </c>
      <c r="D5275">
        <v>4</v>
      </c>
      <c r="E5275" t="s">
        <v>79</v>
      </c>
    </row>
    <row r="5276" spans="2:5">
      <c r="B5276" s="65" t="str">
        <f t="shared" si="82"/>
        <v>doc-x0304:5</v>
      </c>
      <c r="C5276" t="s">
        <v>10648</v>
      </c>
      <c r="D5276">
        <v>5</v>
      </c>
      <c r="E5276" t="s">
        <v>1750</v>
      </c>
    </row>
    <row r="5277" spans="2:5">
      <c r="B5277" s="65" t="str">
        <f t="shared" si="82"/>
        <v>doc-x0308:1</v>
      </c>
      <c r="C5277" t="s">
        <v>10649</v>
      </c>
      <c r="D5277">
        <v>1</v>
      </c>
      <c r="E5277" t="s">
        <v>2933</v>
      </c>
    </row>
    <row r="5278" spans="2:5">
      <c r="B5278" s="65" t="str">
        <f t="shared" si="82"/>
        <v>doc-x0308:2</v>
      </c>
      <c r="C5278" t="s">
        <v>10649</v>
      </c>
      <c r="D5278">
        <v>2</v>
      </c>
      <c r="E5278" t="s">
        <v>299</v>
      </c>
    </row>
    <row r="5279" spans="2:5">
      <c r="B5279" s="65" t="str">
        <f t="shared" si="82"/>
        <v>doc-x0308:3</v>
      </c>
      <c r="C5279" t="s">
        <v>10649</v>
      </c>
      <c r="D5279">
        <v>3</v>
      </c>
      <c r="E5279" t="s">
        <v>1417</v>
      </c>
    </row>
    <row r="5280" spans="2:5">
      <c r="B5280" s="65" t="str">
        <f t="shared" si="82"/>
        <v>doc-x0309:1</v>
      </c>
      <c r="C5280" t="s">
        <v>10650</v>
      </c>
      <c r="D5280">
        <v>1</v>
      </c>
      <c r="E5280" t="s">
        <v>2112</v>
      </c>
    </row>
    <row r="5281" spans="2:5">
      <c r="B5281" s="65" t="str">
        <f t="shared" si="82"/>
        <v>doc-x0309:2</v>
      </c>
      <c r="C5281" t="s">
        <v>10650</v>
      </c>
      <c r="D5281">
        <v>2</v>
      </c>
      <c r="E5281" t="s">
        <v>1905</v>
      </c>
    </row>
    <row r="5282" spans="2:5">
      <c r="B5282" s="65" t="str">
        <f t="shared" si="82"/>
        <v>doc-x0309:3</v>
      </c>
      <c r="C5282" t="s">
        <v>10650</v>
      </c>
      <c r="D5282">
        <v>3</v>
      </c>
      <c r="E5282" t="s">
        <v>1877</v>
      </c>
    </row>
    <row r="5283" spans="2:5">
      <c r="B5283" s="65" t="str">
        <f t="shared" si="82"/>
        <v>doc-x0309:4</v>
      </c>
      <c r="C5283" t="s">
        <v>10650</v>
      </c>
      <c r="D5283">
        <v>4</v>
      </c>
      <c r="E5283" t="s">
        <v>2061</v>
      </c>
    </row>
    <row r="5284" spans="2:5">
      <c r="B5284" s="65" t="str">
        <f t="shared" si="82"/>
        <v>doc-x0311:1</v>
      </c>
      <c r="C5284" t="s">
        <v>10651</v>
      </c>
      <c r="D5284">
        <v>1</v>
      </c>
      <c r="E5284" t="s">
        <v>92</v>
      </c>
    </row>
    <row r="5285" spans="2:5">
      <c r="B5285" s="65" t="str">
        <f t="shared" si="82"/>
        <v>doc-x0311:2</v>
      </c>
      <c r="C5285" t="s">
        <v>10651</v>
      </c>
      <c r="D5285">
        <v>2</v>
      </c>
      <c r="E5285" t="s">
        <v>101</v>
      </c>
    </row>
    <row r="5286" spans="2:5">
      <c r="B5286" s="65" t="str">
        <f t="shared" si="82"/>
        <v>doc-x0311:3</v>
      </c>
      <c r="C5286" t="s">
        <v>10651</v>
      </c>
      <c r="D5286">
        <v>3</v>
      </c>
      <c r="E5286" t="s">
        <v>85</v>
      </c>
    </row>
    <row r="5287" spans="2:5">
      <c r="B5287" s="65" t="str">
        <f t="shared" si="82"/>
        <v>doc-x0311:4</v>
      </c>
      <c r="C5287" t="s">
        <v>10651</v>
      </c>
      <c r="D5287">
        <v>4</v>
      </c>
      <c r="E5287" t="s">
        <v>1343</v>
      </c>
    </row>
    <row r="5288" spans="2:5">
      <c r="B5288" s="65" t="str">
        <f t="shared" si="82"/>
        <v>doc-x0311:5</v>
      </c>
      <c r="C5288" t="s">
        <v>10651</v>
      </c>
      <c r="D5288">
        <v>5</v>
      </c>
      <c r="E5288" t="s">
        <v>1431</v>
      </c>
    </row>
    <row r="5289" spans="2:5">
      <c r="B5289" s="65" t="str">
        <f t="shared" si="82"/>
        <v>doc-x0313:1</v>
      </c>
      <c r="C5289" t="s">
        <v>10652</v>
      </c>
      <c r="D5289">
        <v>1</v>
      </c>
      <c r="E5289" t="s">
        <v>2087</v>
      </c>
    </row>
    <row r="5290" spans="2:5">
      <c r="B5290" s="65" t="str">
        <f t="shared" si="82"/>
        <v>doc-x0313:2</v>
      </c>
      <c r="C5290" t="s">
        <v>10652</v>
      </c>
      <c r="D5290">
        <v>2</v>
      </c>
      <c r="E5290" t="s">
        <v>2135</v>
      </c>
    </row>
    <row r="5291" spans="2:5">
      <c r="B5291" s="65" t="str">
        <f t="shared" si="82"/>
        <v>doc-x0314:1</v>
      </c>
      <c r="C5291" t="s">
        <v>10653</v>
      </c>
      <c r="D5291">
        <v>1</v>
      </c>
      <c r="E5291" t="s">
        <v>2973</v>
      </c>
    </row>
    <row r="5292" spans="2:5">
      <c r="B5292" s="65" t="str">
        <f t="shared" si="82"/>
        <v>doc-x0314:2</v>
      </c>
      <c r="C5292" t="s">
        <v>10653</v>
      </c>
      <c r="D5292">
        <v>2</v>
      </c>
      <c r="E5292" t="s">
        <v>3010</v>
      </c>
    </row>
    <row r="5293" spans="2:5">
      <c r="B5293" s="65" t="str">
        <f t="shared" si="82"/>
        <v>doc-x0314:3</v>
      </c>
      <c r="C5293" t="s">
        <v>10653</v>
      </c>
      <c r="D5293">
        <v>3</v>
      </c>
      <c r="E5293" t="s">
        <v>2903</v>
      </c>
    </row>
    <row r="5294" spans="2:5">
      <c r="B5294" s="65" t="str">
        <f t="shared" si="82"/>
        <v>doc-x0314:4</v>
      </c>
      <c r="C5294" t="s">
        <v>10653</v>
      </c>
      <c r="D5294">
        <v>4</v>
      </c>
      <c r="E5294" t="s">
        <v>2849</v>
      </c>
    </row>
    <row r="5295" spans="2:5">
      <c r="B5295" s="65" t="str">
        <f t="shared" si="82"/>
        <v>doc-x0315:1</v>
      </c>
      <c r="C5295" t="s">
        <v>10654</v>
      </c>
      <c r="D5295">
        <v>1</v>
      </c>
      <c r="E5295" t="s">
        <v>2455</v>
      </c>
    </row>
    <row r="5296" spans="2:5">
      <c r="B5296" s="65" t="str">
        <f t="shared" si="82"/>
        <v>doc-x0315:2</v>
      </c>
      <c r="C5296" t="s">
        <v>10654</v>
      </c>
      <c r="D5296">
        <v>2</v>
      </c>
      <c r="E5296" t="s">
        <v>3061</v>
      </c>
    </row>
    <row r="5297" spans="2:5">
      <c r="B5297" s="65" t="str">
        <f t="shared" si="82"/>
        <v>doc-x0315:3</v>
      </c>
      <c r="C5297" t="s">
        <v>10654</v>
      </c>
      <c r="D5297">
        <v>3</v>
      </c>
      <c r="E5297" t="s">
        <v>82</v>
      </c>
    </row>
    <row r="5298" spans="2:5">
      <c r="B5298" s="65" t="str">
        <f t="shared" si="82"/>
        <v>doc-x0315:4</v>
      </c>
      <c r="C5298" t="s">
        <v>10654</v>
      </c>
      <c r="D5298">
        <v>4</v>
      </c>
      <c r="E5298" t="s">
        <v>79</v>
      </c>
    </row>
    <row r="5299" spans="2:5">
      <c r="B5299" s="65" t="str">
        <f t="shared" si="82"/>
        <v>doc-x0317:1</v>
      </c>
      <c r="C5299" t="s">
        <v>10655</v>
      </c>
      <c r="D5299">
        <v>1</v>
      </c>
      <c r="E5299" t="s">
        <v>2038</v>
      </c>
    </row>
    <row r="5300" spans="2:5">
      <c r="B5300" s="65" t="str">
        <f t="shared" si="82"/>
        <v>doc-x0317:2</v>
      </c>
      <c r="C5300" t="s">
        <v>10655</v>
      </c>
      <c r="D5300">
        <v>2</v>
      </c>
      <c r="E5300" t="s">
        <v>1880</v>
      </c>
    </row>
    <row r="5301" spans="2:5">
      <c r="B5301" s="65" t="str">
        <f t="shared" si="82"/>
        <v>doc-x0317:3</v>
      </c>
      <c r="C5301" t="s">
        <v>10655</v>
      </c>
      <c r="D5301">
        <v>3</v>
      </c>
      <c r="E5301" t="s">
        <v>1911</v>
      </c>
    </row>
    <row r="5302" spans="2:5">
      <c r="B5302" s="65" t="str">
        <f t="shared" si="82"/>
        <v>doc-x0318:1</v>
      </c>
      <c r="C5302" t="s">
        <v>6456</v>
      </c>
      <c r="D5302">
        <v>1</v>
      </c>
      <c r="E5302" t="s">
        <v>1720</v>
      </c>
    </row>
    <row r="5303" spans="2:5">
      <c r="B5303" s="65" t="str">
        <f t="shared" si="82"/>
        <v>doc-x0318:2</v>
      </c>
      <c r="C5303" t="s">
        <v>6456</v>
      </c>
      <c r="D5303">
        <v>2</v>
      </c>
      <c r="E5303" t="s">
        <v>2121</v>
      </c>
    </row>
    <row r="5304" spans="2:5">
      <c r="B5304" s="65" t="str">
        <f t="shared" si="82"/>
        <v>doc-x0318:3</v>
      </c>
      <c r="C5304" t="s">
        <v>6456</v>
      </c>
      <c r="D5304">
        <v>3</v>
      </c>
      <c r="E5304" t="s">
        <v>2070</v>
      </c>
    </row>
    <row r="5305" spans="2:5">
      <c r="B5305" s="65" t="str">
        <f t="shared" si="82"/>
        <v>doc-x0321:1</v>
      </c>
      <c r="C5305" t="s">
        <v>6462</v>
      </c>
      <c r="D5305">
        <v>1</v>
      </c>
      <c r="E5305" t="s">
        <v>2194</v>
      </c>
    </row>
    <row r="5306" spans="2:5">
      <c r="B5306" s="65" t="str">
        <f t="shared" si="82"/>
        <v>doc-x0321:2</v>
      </c>
      <c r="C5306" t="s">
        <v>6462</v>
      </c>
      <c r="D5306">
        <v>2</v>
      </c>
      <c r="E5306" t="s">
        <v>1343</v>
      </c>
    </row>
    <row r="5307" spans="2:5">
      <c r="B5307" s="65" t="str">
        <f t="shared" si="82"/>
        <v>doc-x0322:1</v>
      </c>
      <c r="C5307" t="s">
        <v>10656</v>
      </c>
      <c r="D5307">
        <v>1</v>
      </c>
      <c r="E5307" t="s">
        <v>1880</v>
      </c>
    </row>
    <row r="5308" spans="2:5">
      <c r="B5308" s="65" t="str">
        <f t="shared" si="82"/>
        <v>doc-x0322:2</v>
      </c>
      <c r="C5308" t="s">
        <v>10656</v>
      </c>
      <c r="D5308">
        <v>2</v>
      </c>
      <c r="E5308" t="s">
        <v>1994</v>
      </c>
    </row>
    <row r="5309" spans="2:5">
      <c r="B5309" s="65" t="str">
        <f t="shared" si="82"/>
        <v>doc-x0322:3</v>
      </c>
      <c r="C5309" t="s">
        <v>10656</v>
      </c>
      <c r="D5309">
        <v>3</v>
      </c>
      <c r="E5309" t="s">
        <v>2038</v>
      </c>
    </row>
    <row r="5310" spans="2:5">
      <c r="B5310" s="65" t="str">
        <f t="shared" si="82"/>
        <v>doc-x0322:4</v>
      </c>
      <c r="C5310" t="s">
        <v>10656</v>
      </c>
      <c r="D5310">
        <v>4</v>
      </c>
      <c r="E5310" t="s">
        <v>1911</v>
      </c>
    </row>
    <row r="5311" spans="2:5">
      <c r="B5311" s="65" t="str">
        <f t="shared" si="82"/>
        <v>doc-x0325:1</v>
      </c>
      <c r="C5311" t="s">
        <v>6466</v>
      </c>
      <c r="D5311">
        <v>1</v>
      </c>
      <c r="E5311" t="s">
        <v>2825</v>
      </c>
    </row>
    <row r="5312" spans="2:5">
      <c r="B5312" s="65" t="str">
        <f t="shared" si="82"/>
        <v>doc-x0325:2</v>
      </c>
      <c r="C5312" t="s">
        <v>6466</v>
      </c>
      <c r="D5312">
        <v>2</v>
      </c>
      <c r="E5312" t="s">
        <v>2860</v>
      </c>
    </row>
    <row r="5313" spans="2:5">
      <c r="B5313" s="65" t="str">
        <f t="shared" si="82"/>
        <v>doc-x0325:3</v>
      </c>
      <c r="C5313" t="s">
        <v>6466</v>
      </c>
      <c r="D5313">
        <v>3</v>
      </c>
      <c r="E5313" t="s">
        <v>2847</v>
      </c>
    </row>
    <row r="5314" spans="2:5">
      <c r="B5314" s="65" t="str">
        <f t="shared" si="82"/>
        <v>doc-x0331:1</v>
      </c>
      <c r="C5314" t="s">
        <v>10657</v>
      </c>
      <c r="D5314">
        <v>1</v>
      </c>
      <c r="E5314" t="s">
        <v>2101</v>
      </c>
    </row>
    <row r="5315" spans="2:5">
      <c r="B5315" s="65" t="str">
        <f t="shared" si="82"/>
        <v>doc-x0331:2</v>
      </c>
      <c r="C5315" t="s">
        <v>10657</v>
      </c>
      <c r="D5315">
        <v>2</v>
      </c>
      <c r="E5315" t="s">
        <v>2070</v>
      </c>
    </row>
    <row r="5316" spans="2:5">
      <c r="B5316" s="65" t="str">
        <f t="shared" ref="B5316:B5379" si="83">$C5316&amp;":"&amp;$D5316</f>
        <v>doc-x0331:3</v>
      </c>
      <c r="C5316" t="s">
        <v>10657</v>
      </c>
      <c r="D5316">
        <v>3</v>
      </c>
      <c r="E5316" t="s">
        <v>2121</v>
      </c>
    </row>
    <row r="5317" spans="2:5">
      <c r="B5317" s="65" t="str">
        <f t="shared" si="83"/>
        <v>doc-x0332:1</v>
      </c>
      <c r="C5317" t="s">
        <v>6472</v>
      </c>
      <c r="D5317">
        <v>1</v>
      </c>
      <c r="E5317" t="s">
        <v>2101</v>
      </c>
    </row>
    <row r="5318" spans="2:5">
      <c r="B5318" s="65" t="str">
        <f t="shared" si="83"/>
        <v>doc-x0332:2</v>
      </c>
      <c r="C5318" t="s">
        <v>6472</v>
      </c>
      <c r="D5318">
        <v>2</v>
      </c>
      <c r="E5318" t="s">
        <v>2070</v>
      </c>
    </row>
    <row r="5319" spans="2:5">
      <c r="B5319" s="65" t="str">
        <f t="shared" si="83"/>
        <v>doc-x0332:3</v>
      </c>
      <c r="C5319" t="s">
        <v>6472</v>
      </c>
      <c r="D5319">
        <v>3</v>
      </c>
      <c r="E5319" t="s">
        <v>2121</v>
      </c>
    </row>
    <row r="5320" spans="2:5">
      <c r="B5320" s="65" t="str">
        <f t="shared" si="83"/>
        <v>doc-x0333:1</v>
      </c>
      <c r="C5320" t="s">
        <v>10658</v>
      </c>
      <c r="D5320">
        <v>1</v>
      </c>
      <c r="E5320" t="s">
        <v>2179</v>
      </c>
    </row>
    <row r="5321" spans="2:5">
      <c r="B5321" s="65" t="str">
        <f t="shared" si="83"/>
        <v>doc-x0333:2</v>
      </c>
      <c r="C5321" t="s">
        <v>10658</v>
      </c>
      <c r="D5321">
        <v>2</v>
      </c>
      <c r="E5321" t="s">
        <v>2121</v>
      </c>
    </row>
    <row r="5322" spans="2:5">
      <c r="B5322" s="65" t="str">
        <f t="shared" si="83"/>
        <v>doc-x0333:3</v>
      </c>
      <c r="C5322" t="s">
        <v>10658</v>
      </c>
      <c r="D5322">
        <v>3</v>
      </c>
      <c r="E5322" t="s">
        <v>2847</v>
      </c>
    </row>
    <row r="5323" spans="2:5">
      <c r="B5323" s="65" t="str">
        <f t="shared" si="83"/>
        <v>doc-x0333:4</v>
      </c>
      <c r="C5323" t="s">
        <v>10658</v>
      </c>
      <c r="D5323">
        <v>4</v>
      </c>
      <c r="E5323" t="s">
        <v>2849</v>
      </c>
    </row>
    <row r="5324" spans="2:5">
      <c r="B5324" s="65" t="str">
        <f t="shared" si="83"/>
        <v>doc-x0334:1</v>
      </c>
      <c r="C5324" t="s">
        <v>10659</v>
      </c>
      <c r="D5324">
        <v>1</v>
      </c>
      <c r="E5324" t="s">
        <v>2973</v>
      </c>
    </row>
    <row r="5325" spans="2:5">
      <c r="B5325" s="65" t="str">
        <f t="shared" si="83"/>
        <v>doc-x0334:2</v>
      </c>
      <c r="C5325" t="s">
        <v>10659</v>
      </c>
      <c r="D5325">
        <v>2</v>
      </c>
      <c r="E5325" t="s">
        <v>3010</v>
      </c>
    </row>
    <row r="5326" spans="2:5">
      <c r="B5326" s="65" t="str">
        <f t="shared" si="83"/>
        <v>doc-x0334:3</v>
      </c>
      <c r="C5326" t="s">
        <v>10659</v>
      </c>
      <c r="D5326">
        <v>3</v>
      </c>
      <c r="E5326" t="s">
        <v>2903</v>
      </c>
    </row>
    <row r="5327" spans="2:5">
      <c r="B5327" s="65" t="str">
        <f t="shared" si="83"/>
        <v>doc-x0334:4</v>
      </c>
      <c r="C5327" t="s">
        <v>10659</v>
      </c>
      <c r="D5327">
        <v>4</v>
      </c>
      <c r="E5327" t="s">
        <v>2849</v>
      </c>
    </row>
    <row r="5328" spans="2:5">
      <c r="B5328" s="65" t="str">
        <f t="shared" si="83"/>
        <v>doc-x0339:1</v>
      </c>
      <c r="C5328" t="s">
        <v>10660</v>
      </c>
      <c r="D5328">
        <v>1</v>
      </c>
      <c r="E5328" t="s">
        <v>2506</v>
      </c>
    </row>
    <row r="5329" spans="2:5">
      <c r="B5329" s="65" t="str">
        <f t="shared" si="83"/>
        <v>doc-x0344:1</v>
      </c>
      <c r="C5329" t="s">
        <v>10661</v>
      </c>
      <c r="D5329">
        <v>1</v>
      </c>
      <c r="E5329" t="s">
        <v>3145</v>
      </c>
    </row>
    <row r="5330" spans="2:5">
      <c r="B5330" s="65" t="str">
        <f t="shared" si="83"/>
        <v>doc-x0347:1</v>
      </c>
      <c r="C5330" t="s">
        <v>6478</v>
      </c>
      <c r="D5330">
        <v>1</v>
      </c>
      <c r="E5330" t="s">
        <v>2336</v>
      </c>
    </row>
    <row r="5331" spans="2:5">
      <c r="B5331" s="65" t="str">
        <f t="shared" si="83"/>
        <v>doc-x0347:2</v>
      </c>
      <c r="C5331" t="s">
        <v>6478</v>
      </c>
      <c r="D5331">
        <v>2</v>
      </c>
      <c r="E5331" t="s">
        <v>2316</v>
      </c>
    </row>
    <row r="5332" spans="2:5">
      <c r="B5332" s="65" t="str">
        <f t="shared" si="83"/>
        <v>doc-x0347:3</v>
      </c>
      <c r="C5332" t="s">
        <v>6478</v>
      </c>
      <c r="D5332">
        <v>3</v>
      </c>
      <c r="E5332" t="s">
        <v>1804</v>
      </c>
    </row>
    <row r="5333" spans="2:5">
      <c r="B5333" s="65" t="str">
        <f t="shared" si="83"/>
        <v>doc-x0347:4</v>
      </c>
      <c r="C5333" t="s">
        <v>6478</v>
      </c>
      <c r="D5333">
        <v>4</v>
      </c>
      <c r="E5333" t="s">
        <v>281</v>
      </c>
    </row>
    <row r="5334" spans="2:5">
      <c r="B5334" s="65" t="str">
        <f t="shared" si="83"/>
        <v>doc-x0348:1</v>
      </c>
      <c r="C5334" t="s">
        <v>6482</v>
      </c>
      <c r="D5334">
        <v>1</v>
      </c>
      <c r="E5334" t="s">
        <v>2127</v>
      </c>
    </row>
    <row r="5335" spans="2:5">
      <c r="B5335" s="65" t="str">
        <f t="shared" si="83"/>
        <v>doc-x0348:2</v>
      </c>
      <c r="C5335" t="s">
        <v>6482</v>
      </c>
      <c r="D5335">
        <v>2</v>
      </c>
      <c r="E5335" t="s">
        <v>2095</v>
      </c>
    </row>
    <row r="5336" spans="2:5">
      <c r="B5336" s="65" t="str">
        <f t="shared" si="83"/>
        <v>doc-x0350:1</v>
      </c>
      <c r="C5336" t="s">
        <v>10662</v>
      </c>
      <c r="D5336">
        <v>1</v>
      </c>
      <c r="E5336" t="s">
        <v>2286</v>
      </c>
    </row>
    <row r="5337" spans="2:5">
      <c r="B5337" s="65" t="str">
        <f t="shared" si="83"/>
        <v>doc-x0350:2</v>
      </c>
      <c r="C5337" t="s">
        <v>10662</v>
      </c>
      <c r="D5337">
        <v>2</v>
      </c>
      <c r="E5337" t="s">
        <v>3126</v>
      </c>
    </row>
    <row r="5338" spans="2:5">
      <c r="B5338" s="65" t="str">
        <f t="shared" si="83"/>
        <v>doc-x0350:3</v>
      </c>
      <c r="C5338" t="s">
        <v>10662</v>
      </c>
      <c r="D5338">
        <v>3</v>
      </c>
      <c r="E5338" t="s">
        <v>2552</v>
      </c>
    </row>
    <row r="5339" spans="2:5">
      <c r="B5339" s="65" t="str">
        <f t="shared" si="83"/>
        <v>doc-x0351:1</v>
      </c>
      <c r="C5339" t="s">
        <v>10663</v>
      </c>
      <c r="D5339">
        <v>1</v>
      </c>
      <c r="E5339" t="s">
        <v>1833</v>
      </c>
    </row>
    <row r="5340" spans="2:5">
      <c r="B5340" s="65" t="str">
        <f t="shared" si="83"/>
        <v>doc-x0351:2</v>
      </c>
      <c r="C5340" t="s">
        <v>10663</v>
      </c>
      <c r="D5340">
        <v>2</v>
      </c>
      <c r="E5340" t="s">
        <v>2023</v>
      </c>
    </row>
    <row r="5341" spans="2:5">
      <c r="B5341" s="65" t="str">
        <f t="shared" si="83"/>
        <v>doc-x0351:3</v>
      </c>
      <c r="C5341" t="s">
        <v>10663</v>
      </c>
      <c r="D5341">
        <v>3</v>
      </c>
      <c r="E5341" t="s">
        <v>1944</v>
      </c>
    </row>
    <row r="5342" spans="2:5">
      <c r="B5342" s="65" t="str">
        <f t="shared" si="83"/>
        <v>doc-x0353:1</v>
      </c>
      <c r="C5342" t="s">
        <v>10664</v>
      </c>
      <c r="D5342">
        <v>1</v>
      </c>
      <c r="E5342" t="s">
        <v>1147</v>
      </c>
    </row>
    <row r="5343" spans="2:5">
      <c r="B5343" s="65" t="str">
        <f t="shared" si="83"/>
        <v>doc-x0353:2</v>
      </c>
      <c r="C5343" t="s">
        <v>10664</v>
      </c>
      <c r="D5343">
        <v>2</v>
      </c>
      <c r="E5343" t="s">
        <v>2799</v>
      </c>
    </row>
    <row r="5344" spans="2:5">
      <c r="B5344" s="65" t="str">
        <f t="shared" si="83"/>
        <v>doc-x0353:3</v>
      </c>
      <c r="C5344" t="s">
        <v>10664</v>
      </c>
      <c r="D5344">
        <v>3</v>
      </c>
      <c r="E5344" t="s">
        <v>2812</v>
      </c>
    </row>
    <row r="5345" spans="2:5">
      <c r="B5345" s="65" t="str">
        <f t="shared" si="83"/>
        <v>doc-x0353:4</v>
      </c>
      <c r="C5345" t="s">
        <v>10664</v>
      </c>
      <c r="D5345">
        <v>4</v>
      </c>
      <c r="E5345" t="s">
        <v>3259</v>
      </c>
    </row>
    <row r="5346" spans="2:5">
      <c r="B5346" s="65" t="str">
        <f t="shared" si="83"/>
        <v>doc-x0354:1</v>
      </c>
      <c r="C5346" t="s">
        <v>10665</v>
      </c>
      <c r="D5346">
        <v>1</v>
      </c>
      <c r="E5346" t="s">
        <v>1467</v>
      </c>
    </row>
    <row r="5347" spans="2:5">
      <c r="B5347" s="65" t="str">
        <f t="shared" si="83"/>
        <v>doc-x0355:1</v>
      </c>
      <c r="C5347" t="s">
        <v>10666</v>
      </c>
      <c r="D5347">
        <v>1</v>
      </c>
      <c r="E5347" t="s">
        <v>2194</v>
      </c>
    </row>
    <row r="5348" spans="2:5">
      <c r="B5348" s="65" t="str">
        <f t="shared" si="83"/>
        <v>doc-x0355:2</v>
      </c>
      <c r="C5348" t="s">
        <v>10666</v>
      </c>
      <c r="D5348">
        <v>2</v>
      </c>
      <c r="E5348" t="s">
        <v>1343</v>
      </c>
    </row>
    <row r="5349" spans="2:5">
      <c r="B5349" s="65" t="str">
        <f t="shared" si="83"/>
        <v>doc-x0355:3</v>
      </c>
      <c r="C5349" t="s">
        <v>10666</v>
      </c>
      <c r="D5349">
        <v>3</v>
      </c>
      <c r="E5349" t="s">
        <v>2361</v>
      </c>
    </row>
    <row r="5350" spans="2:5">
      <c r="B5350" s="65" t="str">
        <f t="shared" si="83"/>
        <v>doc-x0356:1</v>
      </c>
      <c r="C5350" t="s">
        <v>10667</v>
      </c>
      <c r="D5350">
        <v>1</v>
      </c>
      <c r="E5350" t="s">
        <v>1888</v>
      </c>
    </row>
    <row r="5351" spans="2:5">
      <c r="B5351" s="65" t="str">
        <f t="shared" si="83"/>
        <v>doc-x0356:2</v>
      </c>
      <c r="C5351" t="s">
        <v>10667</v>
      </c>
      <c r="D5351">
        <v>2</v>
      </c>
      <c r="E5351" t="s">
        <v>1905</v>
      </c>
    </row>
    <row r="5352" spans="2:5">
      <c r="B5352" s="65" t="str">
        <f t="shared" si="83"/>
        <v>doc-x0356:3</v>
      </c>
      <c r="C5352" t="s">
        <v>10667</v>
      </c>
      <c r="D5352">
        <v>3</v>
      </c>
      <c r="E5352" t="s">
        <v>2014</v>
      </c>
    </row>
    <row r="5353" spans="2:5">
      <c r="B5353" s="65" t="str">
        <f t="shared" si="83"/>
        <v>doc-x0362:1</v>
      </c>
      <c r="C5353" t="s">
        <v>10668</v>
      </c>
      <c r="D5353">
        <v>1</v>
      </c>
      <c r="E5353" t="s">
        <v>299</v>
      </c>
    </row>
    <row r="5354" spans="2:5">
      <c r="B5354" s="65" t="str">
        <f t="shared" si="83"/>
        <v>doc-x0362:2</v>
      </c>
      <c r="C5354" t="s">
        <v>10668</v>
      </c>
      <c r="D5354">
        <v>2</v>
      </c>
      <c r="E5354" t="s">
        <v>2967</v>
      </c>
    </row>
    <row r="5355" spans="2:5">
      <c r="B5355" s="65" t="str">
        <f t="shared" si="83"/>
        <v>doc-x0362:3</v>
      </c>
      <c r="C5355" t="s">
        <v>10668</v>
      </c>
      <c r="D5355">
        <v>3</v>
      </c>
      <c r="E5355" t="s">
        <v>254</v>
      </c>
    </row>
    <row r="5356" spans="2:5">
      <c r="B5356" s="65" t="str">
        <f t="shared" si="83"/>
        <v>doc-x0365:1</v>
      </c>
      <c r="C5356" t="s">
        <v>10669</v>
      </c>
      <c r="D5356">
        <v>1</v>
      </c>
      <c r="E5356" t="s">
        <v>1315</v>
      </c>
    </row>
    <row r="5357" spans="2:5">
      <c r="B5357" s="65" t="str">
        <f t="shared" si="83"/>
        <v>doc-x0366:1</v>
      </c>
      <c r="C5357" t="s">
        <v>10670</v>
      </c>
      <c r="D5357">
        <v>1</v>
      </c>
      <c r="E5357" t="s">
        <v>1283</v>
      </c>
    </row>
    <row r="5358" spans="2:5">
      <c r="B5358" s="65" t="str">
        <f t="shared" si="83"/>
        <v>doc-x0366:2</v>
      </c>
      <c r="C5358" t="s">
        <v>10670</v>
      </c>
      <c r="D5358">
        <v>2</v>
      </c>
      <c r="E5358" t="s">
        <v>1275</v>
      </c>
    </row>
    <row r="5359" spans="2:5">
      <c r="B5359" s="65" t="str">
        <f t="shared" si="83"/>
        <v>doc-x0366:3</v>
      </c>
      <c r="C5359" t="s">
        <v>10670</v>
      </c>
      <c r="D5359">
        <v>3</v>
      </c>
      <c r="E5359" t="s">
        <v>254</v>
      </c>
    </row>
    <row r="5360" spans="2:5">
      <c r="B5360" s="65" t="str">
        <f t="shared" si="83"/>
        <v>doc-x0366:4</v>
      </c>
      <c r="C5360" t="s">
        <v>10670</v>
      </c>
      <c r="D5360">
        <v>4</v>
      </c>
      <c r="E5360" t="s">
        <v>299</v>
      </c>
    </row>
    <row r="5361" spans="2:5">
      <c r="B5361" s="65" t="str">
        <f t="shared" si="83"/>
        <v>doc-x0367:1</v>
      </c>
      <c r="C5361" t="s">
        <v>10671</v>
      </c>
      <c r="D5361">
        <v>1</v>
      </c>
      <c r="E5361" t="s">
        <v>1461</v>
      </c>
    </row>
    <row r="5362" spans="2:5">
      <c r="B5362" s="65" t="str">
        <f t="shared" si="83"/>
        <v>doc-x0367:2</v>
      </c>
      <c r="C5362" t="s">
        <v>10671</v>
      </c>
      <c r="D5362">
        <v>2</v>
      </c>
      <c r="E5362" t="s">
        <v>79</v>
      </c>
    </row>
    <row r="5363" spans="2:5">
      <c r="B5363" s="65" t="str">
        <f t="shared" si="83"/>
        <v>doc-x0367:3</v>
      </c>
      <c r="C5363" t="s">
        <v>10671</v>
      </c>
      <c r="D5363">
        <v>3</v>
      </c>
      <c r="E5363" t="s">
        <v>1108</v>
      </c>
    </row>
    <row r="5364" spans="2:5">
      <c r="B5364" s="65" t="str">
        <f t="shared" si="83"/>
        <v>doc-x0367:4</v>
      </c>
      <c r="C5364" t="s">
        <v>10671</v>
      </c>
      <c r="D5364">
        <v>4</v>
      </c>
      <c r="E5364" t="s">
        <v>299</v>
      </c>
    </row>
    <row r="5365" spans="2:5">
      <c r="B5365" s="65" t="str">
        <f t="shared" si="83"/>
        <v>doc-x0367:5</v>
      </c>
      <c r="C5365" t="s">
        <v>10671</v>
      </c>
      <c r="D5365">
        <v>5</v>
      </c>
      <c r="E5365" t="s">
        <v>2960</v>
      </c>
    </row>
    <row r="5366" spans="2:5">
      <c r="B5366" s="65" t="str">
        <f t="shared" si="83"/>
        <v>doc-x0367:6</v>
      </c>
      <c r="C5366" t="s">
        <v>10671</v>
      </c>
      <c r="D5366">
        <v>6</v>
      </c>
      <c r="E5366" t="s">
        <v>1550</v>
      </c>
    </row>
    <row r="5367" spans="2:5">
      <c r="B5367" s="65" t="str">
        <f t="shared" si="83"/>
        <v>doc-x0367:7</v>
      </c>
      <c r="C5367" t="s">
        <v>10671</v>
      </c>
      <c r="D5367">
        <v>7</v>
      </c>
      <c r="E5367" t="s">
        <v>2915</v>
      </c>
    </row>
    <row r="5368" spans="2:5">
      <c r="B5368" s="65" t="str">
        <f t="shared" si="83"/>
        <v>doc-x0368:1</v>
      </c>
      <c r="C5368" t="s">
        <v>10672</v>
      </c>
      <c r="D5368">
        <v>1</v>
      </c>
      <c r="E5368" t="s">
        <v>1941</v>
      </c>
    </row>
    <row r="5369" spans="2:5">
      <c r="B5369" s="65" t="str">
        <f t="shared" si="83"/>
        <v>doc-x0368:2</v>
      </c>
      <c r="C5369" t="s">
        <v>10672</v>
      </c>
      <c r="D5369">
        <v>2</v>
      </c>
      <c r="E5369" t="s">
        <v>1959</v>
      </c>
    </row>
    <row r="5370" spans="2:5">
      <c r="B5370" s="65" t="str">
        <f t="shared" si="83"/>
        <v>doc-x0368:3</v>
      </c>
      <c r="C5370" t="s">
        <v>10672</v>
      </c>
      <c r="D5370">
        <v>3</v>
      </c>
      <c r="E5370" t="s">
        <v>2407</v>
      </c>
    </row>
    <row r="5371" spans="2:5">
      <c r="B5371" s="65" t="str">
        <f t="shared" si="83"/>
        <v>doc-x0368:4</v>
      </c>
      <c r="C5371" t="s">
        <v>10672</v>
      </c>
      <c r="D5371">
        <v>4</v>
      </c>
      <c r="E5371" t="s">
        <v>2394</v>
      </c>
    </row>
    <row r="5372" spans="2:5">
      <c r="B5372" s="65" t="str">
        <f t="shared" si="83"/>
        <v>doc-x0369:1</v>
      </c>
      <c r="C5372" t="s">
        <v>10673</v>
      </c>
      <c r="D5372">
        <v>1</v>
      </c>
      <c r="E5372" t="s">
        <v>2501</v>
      </c>
    </row>
    <row r="5373" spans="2:5">
      <c r="B5373" s="65" t="str">
        <f t="shared" si="83"/>
        <v>doc-x0369:2</v>
      </c>
      <c r="C5373" t="s">
        <v>10673</v>
      </c>
      <c r="D5373">
        <v>2</v>
      </c>
      <c r="E5373" t="s">
        <v>2435</v>
      </c>
    </row>
    <row r="5374" spans="2:5">
      <c r="B5374" s="65" t="str">
        <f t="shared" si="83"/>
        <v>doc-x0369:3</v>
      </c>
      <c r="C5374" t="s">
        <v>10673</v>
      </c>
      <c r="D5374">
        <v>3</v>
      </c>
      <c r="E5374" t="s">
        <v>2422</v>
      </c>
    </row>
    <row r="5375" spans="2:5">
      <c r="B5375" s="65" t="str">
        <f t="shared" si="83"/>
        <v>doc-x0369:4</v>
      </c>
      <c r="C5375" t="s">
        <v>10673</v>
      </c>
      <c r="D5375">
        <v>4</v>
      </c>
      <c r="E5375" t="s">
        <v>92</v>
      </c>
    </row>
    <row r="5376" spans="2:5">
      <c r="B5376" s="65" t="str">
        <f t="shared" si="83"/>
        <v>doc-x0369:5</v>
      </c>
      <c r="C5376" t="s">
        <v>10673</v>
      </c>
      <c r="D5376">
        <v>5</v>
      </c>
      <c r="E5376" t="s">
        <v>1343</v>
      </c>
    </row>
    <row r="5377" spans="2:5">
      <c r="B5377" s="65" t="str">
        <f t="shared" si="83"/>
        <v>doc-x0369:6</v>
      </c>
      <c r="C5377" t="s">
        <v>10673</v>
      </c>
      <c r="D5377">
        <v>6</v>
      </c>
      <c r="E5377" t="s">
        <v>1773</v>
      </c>
    </row>
    <row r="5378" spans="2:5">
      <c r="B5378" s="65" t="str">
        <f t="shared" si="83"/>
        <v>doc-x0372:1</v>
      </c>
      <c r="C5378" t="s">
        <v>10674</v>
      </c>
      <c r="D5378">
        <v>1</v>
      </c>
      <c r="E5378" t="s">
        <v>1790</v>
      </c>
    </row>
    <row r="5379" spans="2:5">
      <c r="B5379" s="65" t="str">
        <f t="shared" si="83"/>
        <v>doc-x0372:2</v>
      </c>
      <c r="C5379" t="s">
        <v>10674</v>
      </c>
      <c r="D5379">
        <v>2</v>
      </c>
      <c r="E5379" t="s">
        <v>1763</v>
      </c>
    </row>
    <row r="5380" spans="2:5">
      <c r="B5380" s="65" t="str">
        <f t="shared" ref="B5380:B5443" si="84">$C5380&amp;":"&amp;$D5380</f>
        <v>doc-x0372:3</v>
      </c>
      <c r="C5380" t="s">
        <v>10674</v>
      </c>
      <c r="D5380">
        <v>3</v>
      </c>
      <c r="E5380" t="s">
        <v>82</v>
      </c>
    </row>
    <row r="5381" spans="2:5">
      <c r="B5381" s="65" t="str">
        <f t="shared" si="84"/>
        <v>doc-x0372:4</v>
      </c>
      <c r="C5381" t="s">
        <v>10674</v>
      </c>
      <c r="D5381">
        <v>4</v>
      </c>
      <c r="E5381" t="s">
        <v>79</v>
      </c>
    </row>
    <row r="5382" spans="2:5">
      <c r="B5382" s="65" t="str">
        <f t="shared" si="84"/>
        <v>doc-x0372:5</v>
      </c>
      <c r="C5382" t="s">
        <v>10674</v>
      </c>
      <c r="D5382">
        <v>5</v>
      </c>
      <c r="E5382" t="s">
        <v>1561</v>
      </c>
    </row>
    <row r="5383" spans="2:5">
      <c r="B5383" s="65" t="str">
        <f t="shared" si="84"/>
        <v>doc-x0375:1</v>
      </c>
      <c r="C5383" t="s">
        <v>10675</v>
      </c>
      <c r="D5383">
        <v>1</v>
      </c>
      <c r="E5383" t="s">
        <v>3097</v>
      </c>
    </row>
    <row r="5384" spans="2:5">
      <c r="B5384" s="65" t="str">
        <f t="shared" si="84"/>
        <v>doc-x0375:2</v>
      </c>
      <c r="C5384" t="s">
        <v>10675</v>
      </c>
      <c r="D5384">
        <v>2</v>
      </c>
      <c r="E5384" t="s">
        <v>1905</v>
      </c>
    </row>
    <row r="5385" spans="2:5">
      <c r="B5385" s="65" t="str">
        <f t="shared" si="84"/>
        <v>doc-x0376:1</v>
      </c>
      <c r="C5385" t="s">
        <v>10676</v>
      </c>
      <c r="D5385">
        <v>1</v>
      </c>
      <c r="E5385" t="s">
        <v>2176</v>
      </c>
    </row>
    <row r="5386" spans="2:5">
      <c r="B5386" s="65" t="str">
        <f t="shared" si="84"/>
        <v>doc-x0376:2</v>
      </c>
      <c r="C5386" t="s">
        <v>10676</v>
      </c>
      <c r="D5386">
        <v>2</v>
      </c>
      <c r="E5386" t="s">
        <v>1813</v>
      </c>
    </row>
    <row r="5387" spans="2:5">
      <c r="B5387" s="65" t="str">
        <f t="shared" si="84"/>
        <v>doc-x0376:3</v>
      </c>
      <c r="C5387" t="s">
        <v>10676</v>
      </c>
      <c r="D5387">
        <v>3</v>
      </c>
      <c r="E5387" t="s">
        <v>296</v>
      </c>
    </row>
    <row r="5388" spans="2:5">
      <c r="B5388" s="65" t="str">
        <f t="shared" si="84"/>
        <v>doc-x0376:4</v>
      </c>
      <c r="C5388" t="s">
        <v>10676</v>
      </c>
      <c r="D5388">
        <v>4</v>
      </c>
      <c r="E5388" t="s">
        <v>1911</v>
      </c>
    </row>
    <row r="5389" spans="2:5">
      <c r="B5389" s="65" t="str">
        <f t="shared" si="84"/>
        <v>doc-x0376:5</v>
      </c>
      <c r="C5389" t="s">
        <v>10676</v>
      </c>
      <c r="D5389">
        <v>5</v>
      </c>
      <c r="E5389" t="s">
        <v>2121</v>
      </c>
    </row>
    <row r="5390" spans="2:5">
      <c r="B5390" s="65" t="str">
        <f t="shared" si="84"/>
        <v>doc-x0377:1</v>
      </c>
      <c r="C5390" t="s">
        <v>10677</v>
      </c>
      <c r="D5390">
        <v>1</v>
      </c>
      <c r="E5390" t="s">
        <v>1141</v>
      </c>
    </row>
    <row r="5391" spans="2:5">
      <c r="B5391" s="65" t="str">
        <f t="shared" si="84"/>
        <v>doc-x0377:2</v>
      </c>
      <c r="C5391" t="s">
        <v>10677</v>
      </c>
      <c r="D5391">
        <v>2</v>
      </c>
      <c r="E5391" t="s">
        <v>2448</v>
      </c>
    </row>
    <row r="5392" spans="2:5">
      <c r="B5392" s="65" t="str">
        <f t="shared" si="84"/>
        <v>doc-x0380:1</v>
      </c>
      <c r="C5392" t="s">
        <v>10678</v>
      </c>
      <c r="D5392">
        <v>1</v>
      </c>
      <c r="E5392" t="s">
        <v>1833</v>
      </c>
    </row>
    <row r="5393" spans="2:5">
      <c r="B5393" s="65" t="str">
        <f t="shared" si="84"/>
        <v>doc-x0380:2</v>
      </c>
      <c r="C5393" t="s">
        <v>10678</v>
      </c>
      <c r="D5393">
        <v>2</v>
      </c>
      <c r="E5393" t="s">
        <v>1902</v>
      </c>
    </row>
    <row r="5394" spans="2:5">
      <c r="B5394" s="65" t="str">
        <f t="shared" si="84"/>
        <v>doc-x0380:3</v>
      </c>
      <c r="C5394" t="s">
        <v>10678</v>
      </c>
      <c r="D5394">
        <v>3</v>
      </c>
      <c r="E5394" t="s">
        <v>2027</v>
      </c>
    </row>
    <row r="5395" spans="2:5">
      <c r="B5395" s="65" t="str">
        <f t="shared" si="84"/>
        <v>doc-x0382:1</v>
      </c>
      <c r="C5395" t="s">
        <v>6486</v>
      </c>
      <c r="D5395">
        <v>1</v>
      </c>
      <c r="E5395" t="s">
        <v>1921</v>
      </c>
    </row>
    <row r="5396" spans="2:5">
      <c r="B5396" s="65" t="str">
        <f t="shared" si="84"/>
        <v>doc-x0382:2</v>
      </c>
      <c r="C5396" t="s">
        <v>6486</v>
      </c>
      <c r="D5396">
        <v>2</v>
      </c>
      <c r="E5396" t="s">
        <v>1503</v>
      </c>
    </row>
    <row r="5397" spans="2:5">
      <c r="B5397" s="65" t="str">
        <f t="shared" si="84"/>
        <v>doc-x0382:3</v>
      </c>
      <c r="C5397" t="s">
        <v>6486</v>
      </c>
      <c r="D5397">
        <v>3</v>
      </c>
      <c r="E5397" t="s">
        <v>2006</v>
      </c>
    </row>
    <row r="5398" spans="2:5">
      <c r="B5398" s="65" t="str">
        <f t="shared" si="84"/>
        <v>doc-x0382:4</v>
      </c>
      <c r="C5398" t="s">
        <v>6486</v>
      </c>
      <c r="D5398">
        <v>4</v>
      </c>
      <c r="E5398" t="s">
        <v>1856</v>
      </c>
    </row>
    <row r="5399" spans="2:5">
      <c r="B5399" s="65" t="str">
        <f t="shared" si="84"/>
        <v>doc-x0383:1</v>
      </c>
      <c r="C5399" t="s">
        <v>10679</v>
      </c>
      <c r="D5399">
        <v>1</v>
      </c>
      <c r="E5399" t="s">
        <v>2272</v>
      </c>
    </row>
    <row r="5400" spans="2:5">
      <c r="B5400" s="65" t="str">
        <f t="shared" si="84"/>
        <v>doc-x0383:2</v>
      </c>
      <c r="C5400" t="s">
        <v>10679</v>
      </c>
      <c r="D5400">
        <v>2</v>
      </c>
      <c r="E5400" t="s">
        <v>2686</v>
      </c>
    </row>
    <row r="5401" spans="2:5">
      <c r="B5401" s="65" t="str">
        <f t="shared" si="84"/>
        <v>doc-x0383:3</v>
      </c>
      <c r="C5401" t="s">
        <v>10679</v>
      </c>
      <c r="D5401">
        <v>3</v>
      </c>
      <c r="E5401" t="s">
        <v>2720</v>
      </c>
    </row>
    <row r="5402" spans="2:5">
      <c r="B5402" s="65" t="str">
        <f t="shared" si="84"/>
        <v>doc-x0383:4</v>
      </c>
      <c r="C5402" t="s">
        <v>10679</v>
      </c>
      <c r="D5402">
        <v>4</v>
      </c>
      <c r="E5402" t="s">
        <v>2664</v>
      </c>
    </row>
    <row r="5403" spans="2:5">
      <c r="B5403" s="65" t="str">
        <f t="shared" si="84"/>
        <v>doc-x0384:1</v>
      </c>
      <c r="C5403" t="s">
        <v>10680</v>
      </c>
      <c r="D5403">
        <v>1</v>
      </c>
      <c r="E5403" t="s">
        <v>1777</v>
      </c>
    </row>
    <row r="5404" spans="2:5">
      <c r="B5404" s="65" t="str">
        <f t="shared" si="84"/>
        <v>doc-x0384:2</v>
      </c>
      <c r="C5404" t="s">
        <v>10680</v>
      </c>
      <c r="D5404">
        <v>2</v>
      </c>
      <c r="E5404" t="s">
        <v>1782</v>
      </c>
    </row>
    <row r="5405" spans="2:5">
      <c r="B5405" s="65" t="str">
        <f t="shared" si="84"/>
        <v>doc-x0384:3</v>
      </c>
      <c r="C5405" t="s">
        <v>10680</v>
      </c>
      <c r="D5405">
        <v>3</v>
      </c>
      <c r="E5405" t="s">
        <v>1941</v>
      </c>
    </row>
    <row r="5406" spans="2:5">
      <c r="B5406" s="65" t="str">
        <f t="shared" si="84"/>
        <v>doc-x0385:1</v>
      </c>
      <c r="C5406" t="s">
        <v>10681</v>
      </c>
      <c r="D5406">
        <v>1</v>
      </c>
      <c r="E5406" t="s">
        <v>3103</v>
      </c>
    </row>
    <row r="5407" spans="2:5">
      <c r="B5407" s="65" t="str">
        <f t="shared" si="84"/>
        <v>doc-x0385:2</v>
      </c>
      <c r="C5407" t="s">
        <v>10681</v>
      </c>
      <c r="D5407">
        <v>2</v>
      </c>
      <c r="E5407" t="s">
        <v>2394</v>
      </c>
    </row>
    <row r="5408" spans="2:5">
      <c r="B5408" s="65" t="str">
        <f t="shared" si="84"/>
        <v>doc-x0385:3</v>
      </c>
      <c r="C5408" t="s">
        <v>10681</v>
      </c>
      <c r="D5408">
        <v>3</v>
      </c>
      <c r="E5408" t="s">
        <v>2386</v>
      </c>
    </row>
    <row r="5409" spans="2:5">
      <c r="B5409" s="65" t="str">
        <f t="shared" si="84"/>
        <v>doc-x0386:1</v>
      </c>
      <c r="C5409" t="s">
        <v>10682</v>
      </c>
      <c r="D5409">
        <v>1</v>
      </c>
      <c r="E5409" t="s">
        <v>1179</v>
      </c>
    </row>
    <row r="5410" spans="2:5">
      <c r="B5410" s="65" t="str">
        <f t="shared" si="84"/>
        <v>doc-x0386:2</v>
      </c>
      <c r="C5410" t="s">
        <v>10682</v>
      </c>
      <c r="D5410">
        <v>2</v>
      </c>
      <c r="E5410" t="s">
        <v>1171</v>
      </c>
    </row>
    <row r="5411" spans="2:5">
      <c r="B5411" s="65" t="str">
        <f t="shared" si="84"/>
        <v>doc-x0388:1</v>
      </c>
      <c r="C5411" t="s">
        <v>10683</v>
      </c>
      <c r="D5411">
        <v>1</v>
      </c>
      <c r="E5411" t="s">
        <v>2506</v>
      </c>
    </row>
    <row r="5412" spans="2:5">
      <c r="B5412" s="65" t="str">
        <f t="shared" si="84"/>
        <v>doc-x0388:2</v>
      </c>
      <c r="C5412" t="s">
        <v>10683</v>
      </c>
      <c r="D5412">
        <v>2</v>
      </c>
      <c r="E5412" t="s">
        <v>2996</v>
      </c>
    </row>
    <row r="5413" spans="2:5">
      <c r="B5413" s="65" t="str">
        <f t="shared" si="84"/>
        <v>doc-x0389:1</v>
      </c>
      <c r="C5413" t="s">
        <v>10684</v>
      </c>
      <c r="D5413">
        <v>1</v>
      </c>
      <c r="E5413" t="s">
        <v>1836</v>
      </c>
    </row>
    <row r="5414" spans="2:5">
      <c r="B5414" s="65" t="str">
        <f t="shared" si="84"/>
        <v>doc-x0389:2</v>
      </c>
      <c r="C5414" t="s">
        <v>10684</v>
      </c>
      <c r="D5414">
        <v>2</v>
      </c>
      <c r="E5414" t="s">
        <v>1896</v>
      </c>
    </row>
    <row r="5415" spans="2:5">
      <c r="B5415" s="65" t="str">
        <f t="shared" si="84"/>
        <v>doc-x0389:3</v>
      </c>
      <c r="C5415" t="s">
        <v>10684</v>
      </c>
      <c r="D5415">
        <v>3</v>
      </c>
      <c r="E5415" t="s">
        <v>1938</v>
      </c>
    </row>
    <row r="5416" spans="2:5">
      <c r="B5416" s="65" t="str">
        <f t="shared" si="84"/>
        <v>doc-x0390:1</v>
      </c>
      <c r="C5416" t="s">
        <v>10685</v>
      </c>
      <c r="D5416">
        <v>1</v>
      </c>
      <c r="E5416" t="s">
        <v>2933</v>
      </c>
    </row>
    <row r="5417" spans="2:5">
      <c r="B5417" s="65" t="str">
        <f t="shared" si="84"/>
        <v>doc-x0390:2</v>
      </c>
      <c r="C5417" t="s">
        <v>10685</v>
      </c>
      <c r="D5417">
        <v>2</v>
      </c>
      <c r="E5417" t="s">
        <v>299</v>
      </c>
    </row>
    <row r="5418" spans="2:5">
      <c r="B5418" s="65" t="str">
        <f t="shared" si="84"/>
        <v>doc-x0390:3</v>
      </c>
      <c r="C5418" t="s">
        <v>10685</v>
      </c>
      <c r="D5418">
        <v>3</v>
      </c>
      <c r="E5418" t="s">
        <v>1417</v>
      </c>
    </row>
    <row r="5419" spans="2:5">
      <c r="B5419" s="65" t="str">
        <f t="shared" si="84"/>
        <v>doc-x0391:1</v>
      </c>
      <c r="C5419" t="s">
        <v>10686</v>
      </c>
      <c r="D5419">
        <v>1</v>
      </c>
      <c r="E5419" t="s">
        <v>2933</v>
      </c>
    </row>
    <row r="5420" spans="2:5">
      <c r="B5420" s="65" t="str">
        <f t="shared" si="84"/>
        <v>doc-x0391:2</v>
      </c>
      <c r="C5420" t="s">
        <v>10686</v>
      </c>
      <c r="D5420">
        <v>2</v>
      </c>
      <c r="E5420" t="s">
        <v>299</v>
      </c>
    </row>
    <row r="5421" spans="2:5">
      <c r="B5421" s="65" t="str">
        <f t="shared" si="84"/>
        <v>doc-x0391:3</v>
      </c>
      <c r="C5421" t="s">
        <v>10686</v>
      </c>
      <c r="D5421">
        <v>3</v>
      </c>
      <c r="E5421" t="s">
        <v>1417</v>
      </c>
    </row>
    <row r="5422" spans="2:5">
      <c r="B5422" s="65" t="str">
        <f t="shared" si="84"/>
        <v>doc-x0393:1</v>
      </c>
      <c r="C5422" t="s">
        <v>10687</v>
      </c>
      <c r="D5422">
        <v>1</v>
      </c>
      <c r="E5422" t="s">
        <v>82</v>
      </c>
    </row>
    <row r="5423" spans="2:5">
      <c r="B5423" s="65" t="str">
        <f t="shared" si="84"/>
        <v>doc-x0393:2</v>
      </c>
      <c r="C5423" t="s">
        <v>10687</v>
      </c>
      <c r="D5423">
        <v>2</v>
      </c>
      <c r="E5423" t="s">
        <v>1321</v>
      </c>
    </row>
    <row r="5424" spans="2:5">
      <c r="B5424" s="65" t="str">
        <f t="shared" si="84"/>
        <v>doc-x0393:3</v>
      </c>
      <c r="C5424" t="s">
        <v>10687</v>
      </c>
      <c r="D5424">
        <v>3</v>
      </c>
      <c r="E5424" t="s">
        <v>1461</v>
      </c>
    </row>
    <row r="5425" spans="2:5">
      <c r="B5425" s="65" t="str">
        <f t="shared" si="84"/>
        <v>doc-x0395:1</v>
      </c>
      <c r="C5425" t="s">
        <v>6492</v>
      </c>
      <c r="D5425">
        <v>1</v>
      </c>
      <c r="E5425" t="s">
        <v>2847</v>
      </c>
    </row>
    <row r="5426" spans="2:5">
      <c r="B5426" s="65" t="str">
        <f t="shared" si="84"/>
        <v>doc-x0395:2</v>
      </c>
      <c r="C5426" t="s">
        <v>6492</v>
      </c>
      <c r="D5426">
        <v>2</v>
      </c>
      <c r="E5426" t="s">
        <v>2889</v>
      </c>
    </row>
    <row r="5427" spans="2:5">
      <c r="B5427" s="65" t="str">
        <f t="shared" si="84"/>
        <v>doc-x0395:3</v>
      </c>
      <c r="C5427" t="s">
        <v>6492</v>
      </c>
      <c r="D5427">
        <v>3</v>
      </c>
      <c r="E5427" t="s">
        <v>2849</v>
      </c>
    </row>
    <row r="5428" spans="2:5">
      <c r="B5428" s="65" t="str">
        <f t="shared" si="84"/>
        <v>doc-x0395:4</v>
      </c>
      <c r="C5428" t="s">
        <v>6492</v>
      </c>
      <c r="D5428">
        <v>4</v>
      </c>
      <c r="E5428" t="s">
        <v>2887</v>
      </c>
    </row>
    <row r="5429" spans="2:5">
      <c r="B5429" s="65" t="str">
        <f t="shared" si="84"/>
        <v>doc-x0395:5</v>
      </c>
      <c r="C5429" t="s">
        <v>6492</v>
      </c>
      <c r="D5429">
        <v>5</v>
      </c>
      <c r="E5429" t="s">
        <v>2179</v>
      </c>
    </row>
    <row r="5430" spans="2:5">
      <c r="B5430" s="65" t="str">
        <f t="shared" si="84"/>
        <v>doc-x0395:6</v>
      </c>
      <c r="C5430" t="s">
        <v>6492</v>
      </c>
      <c r="D5430">
        <v>6</v>
      </c>
      <c r="E5430" t="s">
        <v>2121</v>
      </c>
    </row>
    <row r="5431" spans="2:5">
      <c r="B5431" s="65" t="str">
        <f t="shared" si="84"/>
        <v>doc-x0396:1</v>
      </c>
      <c r="C5431" t="s">
        <v>10688</v>
      </c>
      <c r="D5431">
        <v>1</v>
      </c>
      <c r="E5431" t="s">
        <v>92</v>
      </c>
    </row>
    <row r="5432" spans="2:5">
      <c r="B5432" s="65" t="str">
        <f t="shared" si="84"/>
        <v>doc-x0396:2</v>
      </c>
      <c r="C5432" t="s">
        <v>10688</v>
      </c>
      <c r="D5432">
        <v>2</v>
      </c>
      <c r="E5432" t="s">
        <v>1787</v>
      </c>
    </row>
    <row r="5433" spans="2:5">
      <c r="B5433" s="65" t="str">
        <f t="shared" si="84"/>
        <v>doc-x0396:3</v>
      </c>
      <c r="C5433" t="s">
        <v>10688</v>
      </c>
      <c r="D5433">
        <v>3</v>
      </c>
      <c r="E5433" t="s">
        <v>101</v>
      </c>
    </row>
    <row r="5434" spans="2:5">
      <c r="B5434" s="65" t="str">
        <f t="shared" si="84"/>
        <v>doc-x0396:4</v>
      </c>
      <c r="C5434" t="s">
        <v>10688</v>
      </c>
      <c r="D5434">
        <v>4</v>
      </c>
      <c r="E5434" t="s">
        <v>85</v>
      </c>
    </row>
    <row r="5435" spans="2:5">
      <c r="B5435" s="65" t="str">
        <f t="shared" si="84"/>
        <v>doc-x0401:1</v>
      </c>
      <c r="C5435" t="s">
        <v>10689</v>
      </c>
      <c r="D5435">
        <v>1</v>
      </c>
      <c r="E5435" t="s">
        <v>2983</v>
      </c>
    </row>
    <row r="5436" spans="2:5">
      <c r="B5436" s="65" t="str">
        <f t="shared" si="84"/>
        <v>doc-x0401:2</v>
      </c>
      <c r="C5436" t="s">
        <v>10689</v>
      </c>
      <c r="D5436">
        <v>2</v>
      </c>
      <c r="E5436" t="s">
        <v>1911</v>
      </c>
    </row>
    <row r="5437" spans="2:5">
      <c r="B5437" s="65" t="str">
        <f t="shared" si="84"/>
        <v>doc-x0401:3</v>
      </c>
      <c r="C5437" t="s">
        <v>10689</v>
      </c>
      <c r="D5437">
        <v>3</v>
      </c>
      <c r="E5437" t="s">
        <v>1880</v>
      </c>
    </row>
    <row r="5438" spans="2:5">
      <c r="B5438" s="65" t="str">
        <f t="shared" si="84"/>
        <v>doc-x0403:1</v>
      </c>
      <c r="C5438" t="s">
        <v>10690</v>
      </c>
      <c r="D5438">
        <v>1</v>
      </c>
      <c r="E5438" t="s">
        <v>1723</v>
      </c>
    </row>
    <row r="5439" spans="2:5">
      <c r="B5439" s="65" t="str">
        <f t="shared" si="84"/>
        <v>doc-x0404:1</v>
      </c>
      <c r="C5439" t="s">
        <v>10691</v>
      </c>
      <c r="D5439">
        <v>1</v>
      </c>
      <c r="E5439" t="s">
        <v>85</v>
      </c>
    </row>
    <row r="5440" spans="2:5">
      <c r="B5440" s="65" t="str">
        <f t="shared" si="84"/>
        <v>doc-x0406:1</v>
      </c>
      <c r="C5440" t="s">
        <v>141</v>
      </c>
      <c r="D5440">
        <v>1</v>
      </c>
      <c r="E5440" t="s">
        <v>92</v>
      </c>
    </row>
    <row r="5441" spans="2:5">
      <c r="B5441" s="65" t="str">
        <f t="shared" si="84"/>
        <v>doc-x0406:2</v>
      </c>
      <c r="C5441" t="s">
        <v>141</v>
      </c>
      <c r="D5441">
        <v>2</v>
      </c>
      <c r="E5441" t="s">
        <v>101</v>
      </c>
    </row>
    <row r="5442" spans="2:5">
      <c r="B5442" s="65" t="str">
        <f t="shared" si="84"/>
        <v>doc-x0406:3</v>
      </c>
      <c r="C5442" t="s">
        <v>141</v>
      </c>
      <c r="D5442">
        <v>3</v>
      </c>
      <c r="E5442" t="s">
        <v>85</v>
      </c>
    </row>
    <row r="5443" spans="2:5">
      <c r="B5443" s="65" t="str">
        <f t="shared" si="84"/>
        <v>doc-x0407:1</v>
      </c>
      <c r="C5443" t="s">
        <v>10692</v>
      </c>
      <c r="D5443">
        <v>1</v>
      </c>
      <c r="E5443" t="s">
        <v>92</v>
      </c>
    </row>
    <row r="5444" spans="2:5">
      <c r="B5444" s="65" t="str">
        <f t="shared" ref="B5444:B5507" si="85">$C5444&amp;":"&amp;$D5444</f>
        <v>doc-x0407:2</v>
      </c>
      <c r="C5444" t="s">
        <v>10692</v>
      </c>
      <c r="D5444">
        <v>2</v>
      </c>
      <c r="E5444" t="s">
        <v>101</v>
      </c>
    </row>
    <row r="5445" spans="2:5">
      <c r="B5445" s="65" t="str">
        <f t="shared" si="85"/>
        <v>doc-x0407:3</v>
      </c>
      <c r="C5445" t="s">
        <v>10692</v>
      </c>
      <c r="D5445">
        <v>3</v>
      </c>
      <c r="E5445" t="s">
        <v>85</v>
      </c>
    </row>
    <row r="5446" spans="2:5">
      <c r="B5446" s="65" t="str">
        <f t="shared" si="85"/>
        <v>doc-x0408:1</v>
      </c>
      <c r="C5446" t="s">
        <v>10693</v>
      </c>
      <c r="D5446">
        <v>1</v>
      </c>
      <c r="E5446" t="s">
        <v>2494</v>
      </c>
    </row>
    <row r="5447" spans="2:5">
      <c r="B5447" s="65" t="str">
        <f t="shared" si="85"/>
        <v>doc-x0408:2</v>
      </c>
      <c r="C5447" t="s">
        <v>10693</v>
      </c>
      <c r="D5447">
        <v>2</v>
      </c>
      <c r="E5447" t="s">
        <v>2422</v>
      </c>
    </row>
    <row r="5448" spans="2:5">
      <c r="B5448" s="65" t="str">
        <f t="shared" si="85"/>
        <v>doc-x0408:3</v>
      </c>
      <c r="C5448" t="s">
        <v>10693</v>
      </c>
      <c r="D5448">
        <v>3</v>
      </c>
      <c r="E5448" t="s">
        <v>1968</v>
      </c>
    </row>
    <row r="5449" spans="2:5">
      <c r="B5449" s="65" t="str">
        <f t="shared" si="85"/>
        <v>doc-x0408:4</v>
      </c>
      <c r="C5449" t="s">
        <v>10693</v>
      </c>
      <c r="D5449">
        <v>4</v>
      </c>
      <c r="E5449" t="s">
        <v>1833</v>
      </c>
    </row>
    <row r="5450" spans="2:5">
      <c r="B5450" s="65" t="str">
        <f t="shared" si="85"/>
        <v>doc-x0408:5</v>
      </c>
      <c r="C5450" t="s">
        <v>10693</v>
      </c>
      <c r="D5450">
        <v>5</v>
      </c>
      <c r="E5450" t="s">
        <v>1737</v>
      </c>
    </row>
    <row r="5451" spans="2:5">
      <c r="B5451" s="65" t="str">
        <f t="shared" si="85"/>
        <v>doc-x0408:6</v>
      </c>
      <c r="C5451" t="s">
        <v>10693</v>
      </c>
      <c r="D5451">
        <v>6</v>
      </c>
      <c r="E5451" t="s">
        <v>1744</v>
      </c>
    </row>
    <row r="5452" spans="2:5">
      <c r="B5452" s="65" t="str">
        <f t="shared" si="85"/>
        <v>doc-x0416:1</v>
      </c>
      <c r="C5452" t="s">
        <v>10694</v>
      </c>
      <c r="D5452">
        <v>1</v>
      </c>
      <c r="E5452" t="s">
        <v>1833</v>
      </c>
    </row>
    <row r="5453" spans="2:5">
      <c r="B5453" s="65" t="str">
        <f t="shared" si="85"/>
        <v>doc-x0416:2</v>
      </c>
      <c r="C5453" t="s">
        <v>10694</v>
      </c>
      <c r="D5453">
        <v>2</v>
      </c>
      <c r="E5453" t="s">
        <v>2023</v>
      </c>
    </row>
    <row r="5454" spans="2:5">
      <c r="B5454" s="65" t="str">
        <f t="shared" si="85"/>
        <v>doc-x0416:3</v>
      </c>
      <c r="C5454" t="s">
        <v>10694</v>
      </c>
      <c r="D5454">
        <v>3</v>
      </c>
      <c r="E5454" t="s">
        <v>2130</v>
      </c>
    </row>
    <row r="5455" spans="2:5">
      <c r="B5455" s="65" t="str">
        <f t="shared" si="85"/>
        <v>doc-x0416:4</v>
      </c>
      <c r="C5455" t="s">
        <v>10694</v>
      </c>
      <c r="D5455">
        <v>4</v>
      </c>
      <c r="E5455" t="s">
        <v>1815</v>
      </c>
    </row>
    <row r="5456" spans="2:5">
      <c r="B5456" s="65" t="str">
        <f t="shared" si="85"/>
        <v>doc-x0417:1</v>
      </c>
      <c r="C5456" t="s">
        <v>6498</v>
      </c>
      <c r="D5456">
        <v>1</v>
      </c>
      <c r="E5456" t="s">
        <v>2194</v>
      </c>
    </row>
    <row r="5457" spans="2:5">
      <c r="B5457" s="65" t="str">
        <f t="shared" si="85"/>
        <v>doc-x0417:2</v>
      </c>
      <c r="C5457" t="s">
        <v>6498</v>
      </c>
      <c r="D5457">
        <v>2</v>
      </c>
      <c r="E5457" t="s">
        <v>1343</v>
      </c>
    </row>
    <row r="5458" spans="2:5">
      <c r="B5458" s="65" t="str">
        <f t="shared" si="85"/>
        <v>doc-x0418:1</v>
      </c>
      <c r="C5458" t="s">
        <v>10695</v>
      </c>
      <c r="D5458">
        <v>1</v>
      </c>
      <c r="E5458" t="s">
        <v>2843</v>
      </c>
    </row>
    <row r="5459" spans="2:5">
      <c r="B5459" s="65" t="str">
        <f t="shared" si="85"/>
        <v>doc-x0418:2</v>
      </c>
      <c r="C5459" t="s">
        <v>10695</v>
      </c>
      <c r="D5459">
        <v>2</v>
      </c>
      <c r="E5459" t="s">
        <v>2847</v>
      </c>
    </row>
    <row r="5460" spans="2:5">
      <c r="B5460" s="65" t="str">
        <f t="shared" si="85"/>
        <v>doc-x0418:3</v>
      </c>
      <c r="C5460" t="s">
        <v>10695</v>
      </c>
      <c r="D5460">
        <v>3</v>
      </c>
      <c r="E5460" t="s">
        <v>2849</v>
      </c>
    </row>
    <row r="5461" spans="2:5">
      <c r="B5461" s="65" t="str">
        <f t="shared" si="85"/>
        <v>doc-x0419:1</v>
      </c>
      <c r="C5461" t="s">
        <v>10696</v>
      </c>
      <c r="D5461">
        <v>1</v>
      </c>
      <c r="E5461" t="s">
        <v>2302</v>
      </c>
    </row>
    <row r="5462" spans="2:5">
      <c r="B5462" s="65" t="str">
        <f t="shared" si="85"/>
        <v>doc-x0419:2</v>
      </c>
      <c r="C5462" t="s">
        <v>10696</v>
      </c>
      <c r="D5462">
        <v>2</v>
      </c>
      <c r="E5462" t="s">
        <v>87</v>
      </c>
    </row>
    <row r="5463" spans="2:5">
      <c r="B5463" s="65" t="str">
        <f t="shared" si="85"/>
        <v>doc-x0419:3</v>
      </c>
      <c r="C5463" t="s">
        <v>10696</v>
      </c>
      <c r="D5463">
        <v>3</v>
      </c>
      <c r="E5463" t="s">
        <v>1395</v>
      </c>
    </row>
    <row r="5464" spans="2:5">
      <c r="B5464" s="65" t="str">
        <f t="shared" si="85"/>
        <v>doc-x0419:4</v>
      </c>
      <c r="C5464" t="s">
        <v>10696</v>
      </c>
      <c r="D5464">
        <v>4</v>
      </c>
      <c r="E5464" t="s">
        <v>1349</v>
      </c>
    </row>
    <row r="5465" spans="2:5">
      <c r="B5465" s="65" t="str">
        <f t="shared" si="85"/>
        <v>doc-x0419:5</v>
      </c>
      <c r="C5465" t="s">
        <v>10696</v>
      </c>
      <c r="D5465">
        <v>5</v>
      </c>
      <c r="E5465" t="s">
        <v>73</v>
      </c>
    </row>
    <row r="5466" spans="2:5">
      <c r="B5466" s="65" t="str">
        <f t="shared" si="85"/>
        <v>doc-x0419:6</v>
      </c>
      <c r="C5466" t="s">
        <v>10696</v>
      </c>
      <c r="D5466">
        <v>6</v>
      </c>
      <c r="E5466" t="s">
        <v>281</v>
      </c>
    </row>
    <row r="5467" spans="2:5">
      <c r="B5467" s="65" t="str">
        <f t="shared" si="85"/>
        <v>doc-x0420:1</v>
      </c>
      <c r="C5467" t="s">
        <v>6504</v>
      </c>
      <c r="D5467">
        <v>1</v>
      </c>
      <c r="E5467" t="s">
        <v>1437</v>
      </c>
    </row>
    <row r="5468" spans="2:5">
      <c r="B5468" s="65" t="str">
        <f t="shared" si="85"/>
        <v>doc-x0420:2</v>
      </c>
      <c r="C5468" t="s">
        <v>6504</v>
      </c>
      <c r="D5468">
        <v>2</v>
      </c>
      <c r="E5468" t="s">
        <v>1349</v>
      </c>
    </row>
    <row r="5469" spans="2:5">
      <c r="B5469" s="65" t="str">
        <f t="shared" si="85"/>
        <v>doc-x0420:3</v>
      </c>
      <c r="C5469" t="s">
        <v>6504</v>
      </c>
      <c r="D5469">
        <v>3</v>
      </c>
      <c r="E5469" t="s">
        <v>281</v>
      </c>
    </row>
    <row r="5470" spans="2:5">
      <c r="B5470" s="65" t="str">
        <f t="shared" si="85"/>
        <v>doc-x0426:1</v>
      </c>
      <c r="C5470" t="s">
        <v>10697</v>
      </c>
      <c r="D5470">
        <v>1</v>
      </c>
      <c r="E5470" t="s">
        <v>2704</v>
      </c>
    </row>
    <row r="5471" spans="2:5">
      <c r="B5471" s="65" t="str">
        <f t="shared" si="85"/>
        <v>doc-x0426:2</v>
      </c>
      <c r="C5471" t="s">
        <v>10697</v>
      </c>
      <c r="D5471">
        <v>2</v>
      </c>
      <c r="E5471" t="s">
        <v>1619</v>
      </c>
    </row>
    <row r="5472" spans="2:5">
      <c r="B5472" s="65" t="str">
        <f t="shared" si="85"/>
        <v>doc-x0426:3</v>
      </c>
      <c r="C5472" t="s">
        <v>10697</v>
      </c>
      <c r="D5472">
        <v>3</v>
      </c>
      <c r="E5472" t="s">
        <v>2664</v>
      </c>
    </row>
    <row r="5473" spans="2:5">
      <c r="B5473" s="65" t="str">
        <f t="shared" si="85"/>
        <v>doc-x0429:1</v>
      </c>
      <c r="C5473" t="s">
        <v>10698</v>
      </c>
      <c r="D5473">
        <v>1</v>
      </c>
      <c r="E5473" t="s">
        <v>1833</v>
      </c>
    </row>
    <row r="5474" spans="2:5">
      <c r="B5474" s="65" t="str">
        <f t="shared" si="85"/>
        <v>doc-x0429:2</v>
      </c>
      <c r="C5474" t="s">
        <v>10698</v>
      </c>
      <c r="D5474">
        <v>2</v>
      </c>
      <c r="E5474" t="s">
        <v>2101</v>
      </c>
    </row>
    <row r="5475" spans="2:5">
      <c r="B5475" s="65" t="str">
        <f t="shared" si="85"/>
        <v>doc-x0430:1</v>
      </c>
      <c r="C5475" t="s">
        <v>10699</v>
      </c>
      <c r="D5475">
        <v>1</v>
      </c>
      <c r="E5475" t="s">
        <v>2836</v>
      </c>
    </row>
    <row r="5476" spans="2:5">
      <c r="B5476" s="65" t="str">
        <f t="shared" si="85"/>
        <v>doc-x0430:2</v>
      </c>
      <c r="C5476" t="s">
        <v>10699</v>
      </c>
      <c r="D5476">
        <v>2</v>
      </c>
      <c r="E5476" t="s">
        <v>2847</v>
      </c>
    </row>
    <row r="5477" spans="2:5">
      <c r="B5477" s="65" t="str">
        <f t="shared" si="85"/>
        <v>doc-x0430:3</v>
      </c>
      <c r="C5477" t="s">
        <v>10699</v>
      </c>
      <c r="D5477">
        <v>3</v>
      </c>
      <c r="E5477" t="s">
        <v>2849</v>
      </c>
    </row>
    <row r="5478" spans="2:5">
      <c r="B5478" s="65" t="str">
        <f t="shared" si="85"/>
        <v>doc-x0431:1</v>
      </c>
      <c r="C5478" t="s">
        <v>6509</v>
      </c>
      <c r="D5478">
        <v>1</v>
      </c>
      <c r="E5478" t="s">
        <v>2095</v>
      </c>
    </row>
    <row r="5479" spans="2:5">
      <c r="B5479" s="65" t="str">
        <f t="shared" si="85"/>
        <v>doc-x0431:2</v>
      </c>
      <c r="C5479" t="s">
        <v>6509</v>
      </c>
      <c r="D5479">
        <v>2</v>
      </c>
      <c r="E5479" t="s">
        <v>2324</v>
      </c>
    </row>
    <row r="5480" spans="2:5">
      <c r="B5480" s="65" t="str">
        <f t="shared" si="85"/>
        <v>doc-x0431:3</v>
      </c>
      <c r="C5480" t="s">
        <v>6509</v>
      </c>
      <c r="D5480">
        <v>3</v>
      </c>
      <c r="E5480" t="s">
        <v>2422</v>
      </c>
    </row>
    <row r="5481" spans="2:5">
      <c r="B5481" s="65" t="str">
        <f t="shared" si="85"/>
        <v>doc-x0431:4</v>
      </c>
      <c r="C5481" t="s">
        <v>6509</v>
      </c>
      <c r="D5481">
        <v>4</v>
      </c>
      <c r="E5481" t="s">
        <v>2428</v>
      </c>
    </row>
    <row r="5482" spans="2:5">
      <c r="B5482" s="65" t="str">
        <f t="shared" si="85"/>
        <v>doc-x0434:1</v>
      </c>
      <c r="C5482" t="s">
        <v>10700</v>
      </c>
      <c r="D5482">
        <v>1</v>
      </c>
      <c r="E5482" t="s">
        <v>2954</v>
      </c>
    </row>
    <row r="5483" spans="2:5">
      <c r="B5483" s="65" t="str">
        <f t="shared" si="85"/>
        <v>doc-x0434:2</v>
      </c>
      <c r="C5483" t="s">
        <v>10700</v>
      </c>
      <c r="D5483">
        <v>2</v>
      </c>
      <c r="E5483" t="s">
        <v>2967</v>
      </c>
    </row>
    <row r="5484" spans="2:5">
      <c r="B5484" s="65" t="str">
        <f t="shared" si="85"/>
        <v>doc-x0434:3</v>
      </c>
      <c r="C5484" t="s">
        <v>10700</v>
      </c>
      <c r="D5484">
        <v>3</v>
      </c>
      <c r="E5484" t="s">
        <v>299</v>
      </c>
    </row>
    <row r="5485" spans="2:5">
      <c r="B5485" s="65" t="str">
        <f t="shared" si="85"/>
        <v>doc-x0436:1</v>
      </c>
      <c r="C5485" t="s">
        <v>6515</v>
      </c>
      <c r="D5485">
        <v>1</v>
      </c>
      <c r="E5485" t="s">
        <v>2604</v>
      </c>
    </row>
    <row r="5486" spans="2:5">
      <c r="B5486" s="65" t="str">
        <f t="shared" si="85"/>
        <v>doc-x0436:2</v>
      </c>
      <c r="C5486" t="s">
        <v>6515</v>
      </c>
      <c r="D5486">
        <v>2</v>
      </c>
      <c r="E5486" t="s">
        <v>2605</v>
      </c>
    </row>
    <row r="5487" spans="2:5">
      <c r="B5487" s="65" t="str">
        <f t="shared" si="85"/>
        <v>doc-x0436:3</v>
      </c>
      <c r="C5487" t="s">
        <v>6515</v>
      </c>
      <c r="D5487">
        <v>3</v>
      </c>
      <c r="E5487" t="s">
        <v>2717</v>
      </c>
    </row>
    <row r="5488" spans="2:5">
      <c r="B5488" s="65" t="str">
        <f t="shared" si="85"/>
        <v>doc-x0436:4</v>
      </c>
      <c r="C5488" t="s">
        <v>6515</v>
      </c>
      <c r="D5488">
        <v>4</v>
      </c>
      <c r="E5488" t="s">
        <v>1699</v>
      </c>
    </row>
    <row r="5489" spans="2:5">
      <c r="B5489" s="65" t="str">
        <f t="shared" si="85"/>
        <v>doc-x0436:5</v>
      </c>
      <c r="C5489" t="s">
        <v>6515</v>
      </c>
      <c r="D5489">
        <v>5</v>
      </c>
      <c r="E5489" t="s">
        <v>2667</v>
      </c>
    </row>
    <row r="5490" spans="2:5">
      <c r="B5490" s="65" t="str">
        <f t="shared" si="85"/>
        <v>doc-x0436:6</v>
      </c>
      <c r="C5490" t="s">
        <v>6515</v>
      </c>
      <c r="D5490">
        <v>6</v>
      </c>
      <c r="E5490" t="s">
        <v>2673</v>
      </c>
    </row>
    <row r="5491" spans="2:5">
      <c r="B5491" s="65" t="str">
        <f t="shared" si="85"/>
        <v>doc-x0444:1</v>
      </c>
      <c r="C5491" t="s">
        <v>10701</v>
      </c>
      <c r="D5491">
        <v>1</v>
      </c>
      <c r="E5491" t="s">
        <v>1813</v>
      </c>
    </row>
    <row r="5492" spans="2:5">
      <c r="B5492" s="65" t="str">
        <f t="shared" si="85"/>
        <v>doc-x0444:2</v>
      </c>
      <c r="C5492" t="s">
        <v>10701</v>
      </c>
      <c r="D5492">
        <v>2</v>
      </c>
      <c r="E5492" t="s">
        <v>1880</v>
      </c>
    </row>
    <row r="5493" spans="2:5">
      <c r="B5493" s="65" t="str">
        <f t="shared" si="85"/>
        <v>doc-x0444:3</v>
      </c>
      <c r="C5493" t="s">
        <v>10701</v>
      </c>
      <c r="D5493">
        <v>3</v>
      </c>
      <c r="E5493" t="s">
        <v>1911</v>
      </c>
    </row>
    <row r="5494" spans="2:5">
      <c r="B5494" s="65" t="str">
        <f t="shared" si="85"/>
        <v>doc-x0444:4</v>
      </c>
      <c r="C5494" t="s">
        <v>10701</v>
      </c>
      <c r="D5494">
        <v>4</v>
      </c>
      <c r="E5494" t="s">
        <v>2983</v>
      </c>
    </row>
    <row r="5495" spans="2:5">
      <c r="B5495" s="65" t="str">
        <f t="shared" si="85"/>
        <v>doc-x0445:1</v>
      </c>
      <c r="C5495" t="s">
        <v>10702</v>
      </c>
      <c r="D5495">
        <v>1</v>
      </c>
      <c r="E5495" t="s">
        <v>2633</v>
      </c>
    </row>
    <row r="5496" spans="2:5">
      <c r="B5496" s="65" t="str">
        <f t="shared" si="85"/>
        <v>doc-x0445:2</v>
      </c>
      <c r="C5496" t="s">
        <v>10702</v>
      </c>
      <c r="D5496">
        <v>2</v>
      </c>
      <c r="E5496" t="s">
        <v>1982</v>
      </c>
    </row>
    <row r="5497" spans="2:5">
      <c r="B5497" s="65" t="str">
        <f t="shared" si="85"/>
        <v>doc-x0445:3</v>
      </c>
      <c r="C5497" t="s">
        <v>10702</v>
      </c>
      <c r="D5497">
        <v>3</v>
      </c>
      <c r="E5497" t="s">
        <v>1941</v>
      </c>
    </row>
    <row r="5498" spans="2:5">
      <c r="B5498" s="65" t="str">
        <f t="shared" si="85"/>
        <v>doc-x0445:4</v>
      </c>
      <c r="C5498" t="s">
        <v>10702</v>
      </c>
      <c r="D5498">
        <v>4</v>
      </c>
      <c r="E5498" t="s">
        <v>1994</v>
      </c>
    </row>
    <row r="5499" spans="2:5">
      <c r="B5499" s="65" t="str">
        <f t="shared" si="85"/>
        <v>doc-x0448:1</v>
      </c>
      <c r="C5499" t="s">
        <v>6521</v>
      </c>
      <c r="D5499">
        <v>1</v>
      </c>
      <c r="E5499" t="s">
        <v>2336</v>
      </c>
    </row>
    <row r="5500" spans="2:5">
      <c r="B5500" s="65" t="str">
        <f t="shared" si="85"/>
        <v>doc-x0448:2</v>
      </c>
      <c r="C5500" t="s">
        <v>6521</v>
      </c>
      <c r="D5500">
        <v>2</v>
      </c>
      <c r="E5500" t="s">
        <v>1804</v>
      </c>
    </row>
    <row r="5501" spans="2:5">
      <c r="B5501" s="65" t="str">
        <f t="shared" si="85"/>
        <v>doc-x0448:3</v>
      </c>
      <c r="C5501" t="s">
        <v>6521</v>
      </c>
      <c r="D5501">
        <v>3</v>
      </c>
      <c r="E5501" t="s">
        <v>281</v>
      </c>
    </row>
    <row r="5502" spans="2:5">
      <c r="B5502" s="65" t="str">
        <f t="shared" si="85"/>
        <v>doc-x0453:1</v>
      </c>
      <c r="C5502" t="s">
        <v>10703</v>
      </c>
      <c r="D5502">
        <v>1</v>
      </c>
      <c r="E5502" t="s">
        <v>2023</v>
      </c>
    </row>
    <row r="5503" spans="2:5">
      <c r="B5503" s="65" t="str">
        <f t="shared" si="85"/>
        <v>doc-x0453:2</v>
      </c>
      <c r="C5503" t="s">
        <v>10703</v>
      </c>
      <c r="D5503">
        <v>2</v>
      </c>
      <c r="E5503" t="s">
        <v>1911</v>
      </c>
    </row>
    <row r="5504" spans="2:5">
      <c r="B5504" s="65" t="str">
        <f t="shared" si="85"/>
        <v>doc-x0453:3</v>
      </c>
      <c r="C5504" t="s">
        <v>10703</v>
      </c>
      <c r="D5504">
        <v>3</v>
      </c>
      <c r="E5504" t="s">
        <v>296</v>
      </c>
    </row>
    <row r="5505" spans="2:5">
      <c r="B5505" s="65" t="str">
        <f t="shared" si="85"/>
        <v>doc-x0456:1</v>
      </c>
      <c r="C5505" t="s">
        <v>10704</v>
      </c>
      <c r="D5505">
        <v>1</v>
      </c>
      <c r="E5505" t="s">
        <v>1221</v>
      </c>
    </row>
    <row r="5506" spans="2:5">
      <c r="B5506" s="65" t="str">
        <f t="shared" si="85"/>
        <v>doc-x0456:2</v>
      </c>
      <c r="C5506" t="s">
        <v>10704</v>
      </c>
      <c r="D5506">
        <v>2</v>
      </c>
      <c r="E5506" t="s">
        <v>1227</v>
      </c>
    </row>
    <row r="5507" spans="2:5">
      <c r="B5507" s="65" t="str">
        <f t="shared" si="85"/>
        <v>doc-x0456:3</v>
      </c>
      <c r="C5507" t="s">
        <v>10704</v>
      </c>
      <c r="D5507">
        <v>3</v>
      </c>
      <c r="E5507" t="s">
        <v>1203</v>
      </c>
    </row>
    <row r="5508" spans="2:5">
      <c r="B5508" s="65" t="str">
        <f t="shared" ref="B5508:B5571" si="86">$C5508&amp;":"&amp;$D5508</f>
        <v>doc-x0457:1</v>
      </c>
      <c r="C5508" t="s">
        <v>10705</v>
      </c>
      <c r="D5508">
        <v>1</v>
      </c>
      <c r="E5508" t="s">
        <v>2915</v>
      </c>
    </row>
    <row r="5509" spans="2:5">
      <c r="B5509" s="65" t="str">
        <f t="shared" si="86"/>
        <v>doc-x0457:2</v>
      </c>
      <c r="C5509" t="s">
        <v>10705</v>
      </c>
      <c r="D5509">
        <v>2</v>
      </c>
      <c r="E5509" t="s">
        <v>73</v>
      </c>
    </row>
    <row r="5510" spans="2:5">
      <c r="B5510" s="65" t="str">
        <f t="shared" si="86"/>
        <v>doc-x0457:3</v>
      </c>
      <c r="C5510" t="s">
        <v>10705</v>
      </c>
      <c r="D5510">
        <v>3</v>
      </c>
      <c r="E5510" t="s">
        <v>1476</v>
      </c>
    </row>
    <row r="5511" spans="2:5">
      <c r="B5511" s="65" t="str">
        <f t="shared" si="86"/>
        <v>doc-x0457:4</v>
      </c>
      <c r="C5511" t="s">
        <v>10705</v>
      </c>
      <c r="D5511">
        <v>4</v>
      </c>
      <c r="E5511" t="s">
        <v>299</v>
      </c>
    </row>
    <row r="5512" spans="2:5">
      <c r="B5512" s="65" t="str">
        <f t="shared" si="86"/>
        <v>doc-x0457:5</v>
      </c>
      <c r="C5512" t="s">
        <v>10705</v>
      </c>
      <c r="D5512">
        <v>5</v>
      </c>
      <c r="E5512" t="s">
        <v>1119</v>
      </c>
    </row>
    <row r="5513" spans="2:5">
      <c r="B5513" s="65" t="str">
        <f t="shared" si="86"/>
        <v>doc-x0457:6</v>
      </c>
      <c r="C5513" t="s">
        <v>10705</v>
      </c>
      <c r="D5513">
        <v>6</v>
      </c>
      <c r="E5513" t="s">
        <v>1685</v>
      </c>
    </row>
    <row r="5514" spans="2:5">
      <c r="B5514" s="65" t="str">
        <f t="shared" si="86"/>
        <v>doc-x0458:1</v>
      </c>
      <c r="C5514" t="s">
        <v>10706</v>
      </c>
      <c r="D5514">
        <v>1</v>
      </c>
      <c r="E5514" t="s">
        <v>2847</v>
      </c>
    </row>
    <row r="5515" spans="2:5">
      <c r="B5515" s="65" t="str">
        <f t="shared" si="86"/>
        <v>doc-x0458:2</v>
      </c>
      <c r="C5515" t="s">
        <v>10706</v>
      </c>
      <c r="D5515">
        <v>2</v>
      </c>
      <c r="E5515" t="s">
        <v>2831</v>
      </c>
    </row>
    <row r="5516" spans="2:5">
      <c r="B5516" s="65" t="str">
        <f t="shared" si="86"/>
        <v>doc-x0458:3</v>
      </c>
      <c r="C5516" t="s">
        <v>10706</v>
      </c>
      <c r="D5516">
        <v>3</v>
      </c>
      <c r="E5516" t="s">
        <v>2849</v>
      </c>
    </row>
    <row r="5517" spans="2:5">
      <c r="B5517" s="65" t="str">
        <f t="shared" si="86"/>
        <v>doc-x0460:1</v>
      </c>
      <c r="C5517" t="s">
        <v>6525</v>
      </c>
      <c r="D5517">
        <v>1</v>
      </c>
      <c r="E5517" t="s">
        <v>1412</v>
      </c>
    </row>
    <row r="5518" spans="2:5">
      <c r="B5518" s="65" t="str">
        <f t="shared" si="86"/>
        <v>doc-x0460:2</v>
      </c>
      <c r="C5518" t="s">
        <v>6525</v>
      </c>
      <c r="D5518">
        <v>2</v>
      </c>
      <c r="E5518" t="s">
        <v>1407</v>
      </c>
    </row>
    <row r="5519" spans="2:5">
      <c r="B5519" s="65" t="str">
        <f t="shared" si="86"/>
        <v>doc-x0460:3</v>
      </c>
      <c r="C5519" t="s">
        <v>6525</v>
      </c>
      <c r="D5519">
        <v>3</v>
      </c>
      <c r="E5519" t="s">
        <v>1663</v>
      </c>
    </row>
    <row r="5520" spans="2:5">
      <c r="B5520" s="65" t="str">
        <f t="shared" si="86"/>
        <v>doc-x0460:4</v>
      </c>
      <c r="C5520" t="s">
        <v>6525</v>
      </c>
      <c r="D5520">
        <v>4</v>
      </c>
      <c r="E5520" t="s">
        <v>2664</v>
      </c>
    </row>
    <row r="5521" spans="2:5">
      <c r="B5521" s="65" t="str">
        <f t="shared" si="86"/>
        <v>doc-x0460:5</v>
      </c>
      <c r="C5521" t="s">
        <v>6525</v>
      </c>
      <c r="D5521">
        <v>5</v>
      </c>
      <c r="E5521" t="s">
        <v>2698</v>
      </c>
    </row>
    <row r="5522" spans="2:5">
      <c r="B5522" s="65" t="str">
        <f t="shared" si="86"/>
        <v>doc-x0461:1</v>
      </c>
      <c r="C5522" t="s">
        <v>6531</v>
      </c>
      <c r="D5522">
        <v>1</v>
      </c>
      <c r="E5522" t="s">
        <v>2176</v>
      </c>
    </row>
    <row r="5523" spans="2:5">
      <c r="B5523" s="65" t="str">
        <f t="shared" si="86"/>
        <v>doc-x0461:2</v>
      </c>
      <c r="C5523" t="s">
        <v>6531</v>
      </c>
      <c r="D5523">
        <v>2</v>
      </c>
      <c r="E5523" t="s">
        <v>2121</v>
      </c>
    </row>
    <row r="5524" spans="2:5">
      <c r="B5524" s="65" t="str">
        <f t="shared" si="86"/>
        <v>doc-x0461:3</v>
      </c>
      <c r="C5524" t="s">
        <v>6531</v>
      </c>
      <c r="D5524">
        <v>3</v>
      </c>
      <c r="E5524" t="s">
        <v>2179</v>
      </c>
    </row>
    <row r="5525" spans="2:5">
      <c r="B5525" s="65" t="str">
        <f t="shared" si="86"/>
        <v>doc-x0466:1</v>
      </c>
      <c r="C5525" t="s">
        <v>10707</v>
      </c>
      <c r="D5525">
        <v>1</v>
      </c>
      <c r="E5525" t="s">
        <v>2915</v>
      </c>
    </row>
    <row r="5526" spans="2:5">
      <c r="B5526" s="65" t="str">
        <f t="shared" si="86"/>
        <v>doc-x0466:2</v>
      </c>
      <c r="C5526" t="s">
        <v>10707</v>
      </c>
      <c r="D5526">
        <v>2</v>
      </c>
      <c r="E5526" t="s">
        <v>2731</v>
      </c>
    </row>
    <row r="5527" spans="2:5">
      <c r="B5527" s="65" t="str">
        <f t="shared" si="86"/>
        <v>doc-x0466:3</v>
      </c>
      <c r="C5527" t="s">
        <v>10707</v>
      </c>
      <c r="D5527">
        <v>3</v>
      </c>
      <c r="E5527" t="s">
        <v>299</v>
      </c>
    </row>
    <row r="5528" spans="2:5">
      <c r="B5528" s="65" t="str">
        <f t="shared" si="86"/>
        <v>doc-x0466:4</v>
      </c>
      <c r="C5528" t="s">
        <v>10707</v>
      </c>
      <c r="D5528">
        <v>4</v>
      </c>
      <c r="E5528" t="s">
        <v>2664</v>
      </c>
    </row>
    <row r="5529" spans="2:5">
      <c r="B5529" s="65" t="str">
        <f t="shared" si="86"/>
        <v>doc-x0469:1</v>
      </c>
      <c r="C5529" t="s">
        <v>10708</v>
      </c>
      <c r="D5529">
        <v>1</v>
      </c>
      <c r="E5529" t="s">
        <v>2003</v>
      </c>
    </row>
    <row r="5530" spans="2:5">
      <c r="B5530" s="65" t="str">
        <f t="shared" si="86"/>
        <v>doc-x0469:2</v>
      </c>
      <c r="C5530" t="s">
        <v>10708</v>
      </c>
      <c r="D5530">
        <v>2</v>
      </c>
      <c r="E5530" t="s">
        <v>1985</v>
      </c>
    </row>
    <row r="5531" spans="2:5">
      <c r="B5531" s="65" t="str">
        <f t="shared" si="86"/>
        <v>doc-x0469:3</v>
      </c>
      <c r="C5531" t="s">
        <v>10708</v>
      </c>
      <c r="D5531">
        <v>3</v>
      </c>
      <c r="E5531" t="s">
        <v>1861</v>
      </c>
    </row>
    <row r="5532" spans="2:5">
      <c r="B5532" s="65" t="str">
        <f t="shared" si="86"/>
        <v>doc-x0469:4</v>
      </c>
      <c r="C5532" t="s">
        <v>10708</v>
      </c>
      <c r="D5532">
        <v>4</v>
      </c>
      <c r="E5532" t="s">
        <v>1982</v>
      </c>
    </row>
    <row r="5533" spans="2:5">
      <c r="B5533" s="65" t="str">
        <f t="shared" si="86"/>
        <v>doc-x0469:5</v>
      </c>
      <c r="C5533" t="s">
        <v>10708</v>
      </c>
      <c r="D5533">
        <v>5</v>
      </c>
      <c r="E5533" t="s">
        <v>1916</v>
      </c>
    </row>
    <row r="5534" spans="2:5">
      <c r="B5534" s="65" t="str">
        <f t="shared" si="86"/>
        <v>doc-x0469:6</v>
      </c>
      <c r="C5534" t="s">
        <v>10708</v>
      </c>
      <c r="D5534">
        <v>6</v>
      </c>
      <c r="E5534" t="s">
        <v>1872</v>
      </c>
    </row>
    <row r="5535" spans="2:5">
      <c r="B5535" s="65" t="str">
        <f t="shared" si="86"/>
        <v>doc-x0474:1</v>
      </c>
      <c r="C5535" t="s">
        <v>10709</v>
      </c>
      <c r="D5535">
        <v>1</v>
      </c>
      <c r="E5535" t="s">
        <v>3080</v>
      </c>
    </row>
    <row r="5536" spans="2:5">
      <c r="B5536" s="65" t="str">
        <f t="shared" si="86"/>
        <v>doc-x0474:2</v>
      </c>
      <c r="C5536" t="s">
        <v>10709</v>
      </c>
      <c r="D5536">
        <v>2</v>
      </c>
      <c r="E5536" t="s">
        <v>1941</v>
      </c>
    </row>
    <row r="5537" spans="2:5">
      <c r="B5537" s="65" t="str">
        <f t="shared" si="86"/>
        <v>doc-x0474:3</v>
      </c>
      <c r="C5537" t="s">
        <v>10709</v>
      </c>
      <c r="D5537">
        <v>3</v>
      </c>
      <c r="E5537" t="s">
        <v>3075</v>
      </c>
    </row>
    <row r="5538" spans="2:5">
      <c r="B5538" s="65" t="str">
        <f t="shared" si="86"/>
        <v>doc-x0474:4</v>
      </c>
      <c r="C5538" t="s">
        <v>10709</v>
      </c>
      <c r="D5538">
        <v>4</v>
      </c>
      <c r="E5538" t="s">
        <v>3076</v>
      </c>
    </row>
    <row r="5539" spans="2:5">
      <c r="B5539" s="65" t="str">
        <f t="shared" si="86"/>
        <v>doc-x0478:1</v>
      </c>
      <c r="C5539" t="s">
        <v>10710</v>
      </c>
      <c r="D5539">
        <v>1</v>
      </c>
      <c r="E5539" t="s">
        <v>2148</v>
      </c>
    </row>
    <row r="5540" spans="2:5">
      <c r="B5540" s="65" t="str">
        <f t="shared" si="86"/>
        <v>doc-x0478:2</v>
      </c>
      <c r="C5540" t="s">
        <v>10710</v>
      </c>
      <c r="D5540">
        <v>2</v>
      </c>
      <c r="E5540" t="s">
        <v>1813</v>
      </c>
    </row>
    <row r="5541" spans="2:5">
      <c r="B5541" s="65" t="str">
        <f t="shared" si="86"/>
        <v>doc-x0478:3</v>
      </c>
      <c r="C5541" t="s">
        <v>10710</v>
      </c>
      <c r="D5541">
        <v>3</v>
      </c>
      <c r="E5541" t="s">
        <v>2064</v>
      </c>
    </row>
    <row r="5542" spans="2:5">
      <c r="B5542" s="65" t="str">
        <f t="shared" si="86"/>
        <v>doc-x0480:1</v>
      </c>
      <c r="C5542" t="s">
        <v>10711</v>
      </c>
      <c r="D5542">
        <v>1</v>
      </c>
      <c r="E5542" t="s">
        <v>3092</v>
      </c>
    </row>
    <row r="5543" spans="2:5">
      <c r="B5543" s="65" t="str">
        <f t="shared" si="86"/>
        <v>doc-x0480:2</v>
      </c>
      <c r="C5543" t="s">
        <v>10711</v>
      </c>
      <c r="D5543">
        <v>2</v>
      </c>
      <c r="E5543" t="s">
        <v>2402</v>
      </c>
    </row>
    <row r="5544" spans="2:5">
      <c r="B5544" s="65" t="str">
        <f t="shared" si="86"/>
        <v>doc-x0482:1</v>
      </c>
      <c r="C5544" t="s">
        <v>10712</v>
      </c>
      <c r="D5544">
        <v>1</v>
      </c>
      <c r="E5544" t="s">
        <v>2720</v>
      </c>
    </row>
    <row r="5545" spans="2:5">
      <c r="B5545" s="65" t="str">
        <f t="shared" si="86"/>
        <v>doc-x0482:2</v>
      </c>
      <c r="C5545" t="s">
        <v>10712</v>
      </c>
      <c r="D5545">
        <v>2</v>
      </c>
      <c r="E5545" t="s">
        <v>2633</v>
      </c>
    </row>
    <row r="5546" spans="2:5">
      <c r="B5546" s="65" t="str">
        <f t="shared" si="86"/>
        <v>doc-x0482:3</v>
      </c>
      <c r="C5546" t="s">
        <v>10712</v>
      </c>
      <c r="D5546">
        <v>3</v>
      </c>
      <c r="E5546" t="s">
        <v>2664</v>
      </c>
    </row>
    <row r="5547" spans="2:5">
      <c r="B5547" s="65" t="str">
        <f t="shared" si="86"/>
        <v>doc-x0483:1</v>
      </c>
      <c r="C5547" t="s">
        <v>10713</v>
      </c>
      <c r="D5547">
        <v>1</v>
      </c>
      <c r="E5547" t="s">
        <v>2349</v>
      </c>
    </row>
    <row r="5548" spans="2:5">
      <c r="B5548" s="65" t="str">
        <f t="shared" si="86"/>
        <v>doc-x0483:2</v>
      </c>
      <c r="C5548" t="s">
        <v>10713</v>
      </c>
      <c r="D5548">
        <v>2</v>
      </c>
      <c r="E5548" t="s">
        <v>2720</v>
      </c>
    </row>
    <row r="5549" spans="2:5">
      <c r="B5549" s="65" t="str">
        <f t="shared" si="86"/>
        <v>doc-x0483:3</v>
      </c>
      <c r="C5549" t="s">
        <v>10713</v>
      </c>
      <c r="D5549">
        <v>3</v>
      </c>
      <c r="E5549" t="s">
        <v>2356</v>
      </c>
    </row>
    <row r="5550" spans="2:5">
      <c r="B5550" s="65" t="str">
        <f t="shared" si="86"/>
        <v>doc-x0484:1</v>
      </c>
      <c r="C5550" t="s">
        <v>10714</v>
      </c>
      <c r="D5550">
        <v>1</v>
      </c>
      <c r="E5550" t="s">
        <v>2633</v>
      </c>
    </row>
    <row r="5551" spans="2:5">
      <c r="B5551" s="65" t="str">
        <f t="shared" si="86"/>
        <v>doc-x0484:2</v>
      </c>
      <c r="C5551" t="s">
        <v>10714</v>
      </c>
      <c r="D5551">
        <v>2</v>
      </c>
      <c r="E5551" t="s">
        <v>2720</v>
      </c>
    </row>
    <row r="5552" spans="2:5">
      <c r="B5552" s="65" t="str">
        <f t="shared" si="86"/>
        <v>doc-x0484:3</v>
      </c>
      <c r="C5552" t="s">
        <v>10714</v>
      </c>
      <c r="D5552">
        <v>3</v>
      </c>
      <c r="E5552" t="s">
        <v>2664</v>
      </c>
    </row>
    <row r="5553" spans="2:5">
      <c r="B5553" s="65" t="str">
        <f t="shared" si="86"/>
        <v>doc-x0486:1</v>
      </c>
      <c r="C5553" t="s">
        <v>10715</v>
      </c>
      <c r="D5553">
        <v>1</v>
      </c>
      <c r="E5553" t="s">
        <v>2903</v>
      </c>
    </row>
    <row r="5554" spans="2:5">
      <c r="B5554" s="65" t="str">
        <f t="shared" si="86"/>
        <v>doc-x0486:2</v>
      </c>
      <c r="C5554" t="s">
        <v>10715</v>
      </c>
      <c r="D5554">
        <v>2</v>
      </c>
      <c r="E5554" t="s">
        <v>2911</v>
      </c>
    </row>
    <row r="5555" spans="2:5">
      <c r="B5555" s="65" t="str">
        <f t="shared" si="86"/>
        <v>doc-x0486:3</v>
      </c>
      <c r="C5555" t="s">
        <v>10715</v>
      </c>
      <c r="D5555">
        <v>3</v>
      </c>
      <c r="E5555" t="s">
        <v>1866</v>
      </c>
    </row>
    <row r="5556" spans="2:5">
      <c r="B5556" s="65" t="str">
        <f t="shared" si="86"/>
        <v>doc-x0486:4</v>
      </c>
      <c r="C5556" t="s">
        <v>10715</v>
      </c>
      <c r="D5556">
        <v>4</v>
      </c>
      <c r="E5556" t="s">
        <v>2849</v>
      </c>
    </row>
    <row r="5557" spans="2:5">
      <c r="B5557" s="65" t="str">
        <f t="shared" si="86"/>
        <v>doc-x0486:5</v>
      </c>
      <c r="C5557" t="s">
        <v>10715</v>
      </c>
      <c r="D5557">
        <v>5</v>
      </c>
      <c r="E5557" t="s">
        <v>3010</v>
      </c>
    </row>
    <row r="5558" spans="2:5">
      <c r="B5558" s="65" t="str">
        <f t="shared" si="86"/>
        <v>doc-x0486:6</v>
      </c>
      <c r="C5558" t="s">
        <v>10715</v>
      </c>
      <c r="D5558">
        <v>6</v>
      </c>
      <c r="E5558" t="s">
        <v>2854</v>
      </c>
    </row>
    <row r="5559" spans="2:5">
      <c r="B5559" s="65" t="str">
        <f t="shared" si="86"/>
        <v>doc-x0487:1</v>
      </c>
      <c r="C5559" t="s">
        <v>10716</v>
      </c>
      <c r="D5559">
        <v>1</v>
      </c>
      <c r="E5559" t="s">
        <v>3061</v>
      </c>
    </row>
    <row r="5560" spans="2:5">
      <c r="B5560" s="65" t="str">
        <f t="shared" si="86"/>
        <v>doc-x0487:2</v>
      </c>
      <c r="C5560" t="s">
        <v>10716</v>
      </c>
      <c r="D5560">
        <v>2</v>
      </c>
      <c r="E5560" t="s">
        <v>2455</v>
      </c>
    </row>
    <row r="5561" spans="2:5">
      <c r="B5561" s="65" t="str">
        <f t="shared" si="86"/>
        <v>doc-x0487:3</v>
      </c>
      <c r="C5561" t="s">
        <v>10716</v>
      </c>
      <c r="D5561">
        <v>3</v>
      </c>
      <c r="E5561" t="s">
        <v>79</v>
      </c>
    </row>
    <row r="5562" spans="2:5">
      <c r="B5562" s="65" t="str">
        <f t="shared" si="86"/>
        <v>doc-x0487:4</v>
      </c>
      <c r="C5562" t="s">
        <v>10716</v>
      </c>
      <c r="D5562">
        <v>4</v>
      </c>
      <c r="E5562" t="s">
        <v>3058</v>
      </c>
    </row>
    <row r="5563" spans="2:5">
      <c r="B5563" s="65" t="str">
        <f t="shared" si="86"/>
        <v>doc-x0492:1</v>
      </c>
      <c r="C5563" t="s">
        <v>10717</v>
      </c>
      <c r="D5563">
        <v>1</v>
      </c>
      <c r="E5563" t="s">
        <v>1844</v>
      </c>
    </row>
    <row r="5564" spans="2:5">
      <c r="B5564" s="65" t="str">
        <f t="shared" si="86"/>
        <v>doc-x0492:2</v>
      </c>
      <c r="C5564" t="s">
        <v>10717</v>
      </c>
      <c r="D5564">
        <v>2</v>
      </c>
      <c r="E5564" t="s">
        <v>1813</v>
      </c>
    </row>
    <row r="5565" spans="2:5">
      <c r="B5565" s="65" t="str">
        <f t="shared" si="86"/>
        <v>doc-x0492:3</v>
      </c>
      <c r="C5565" t="s">
        <v>10717</v>
      </c>
      <c r="D5565">
        <v>3</v>
      </c>
      <c r="E5565" t="s">
        <v>1941</v>
      </c>
    </row>
    <row r="5566" spans="2:5">
      <c r="B5566" s="65" t="str">
        <f t="shared" si="86"/>
        <v>doc-x0497:1</v>
      </c>
      <c r="C5566" t="s">
        <v>10718</v>
      </c>
      <c r="D5566">
        <v>1</v>
      </c>
      <c r="E5566" t="s">
        <v>1813</v>
      </c>
    </row>
    <row r="5567" spans="2:5">
      <c r="B5567" s="65" t="str">
        <f t="shared" si="86"/>
        <v>doc-x0497:2</v>
      </c>
      <c r="C5567" t="s">
        <v>10718</v>
      </c>
      <c r="D5567">
        <v>2</v>
      </c>
      <c r="E5567" t="s">
        <v>1880</v>
      </c>
    </row>
    <row r="5568" spans="2:5">
      <c r="B5568" s="65" t="str">
        <f t="shared" si="86"/>
        <v>doc-x0497:3</v>
      </c>
      <c r="C5568" t="s">
        <v>10718</v>
      </c>
      <c r="D5568">
        <v>3</v>
      </c>
      <c r="E5568" t="s">
        <v>1911</v>
      </c>
    </row>
    <row r="5569" spans="2:5">
      <c r="B5569" s="65" t="str">
        <f t="shared" si="86"/>
        <v>doc-x0497:4</v>
      </c>
      <c r="C5569" t="s">
        <v>10718</v>
      </c>
      <c r="D5569">
        <v>4</v>
      </c>
      <c r="E5569" t="s">
        <v>2983</v>
      </c>
    </row>
    <row r="5570" spans="2:5">
      <c r="B5570" s="65" t="str">
        <f t="shared" si="86"/>
        <v>doc-x0499:1</v>
      </c>
      <c r="C5570" t="s">
        <v>10719</v>
      </c>
      <c r="D5570">
        <v>1</v>
      </c>
      <c r="E5570" t="s">
        <v>92</v>
      </c>
    </row>
    <row r="5571" spans="2:5">
      <c r="B5571" s="65" t="str">
        <f t="shared" si="86"/>
        <v>doc-x0499:2</v>
      </c>
      <c r="C5571" t="s">
        <v>10719</v>
      </c>
      <c r="D5571">
        <v>2</v>
      </c>
      <c r="E5571" t="s">
        <v>85</v>
      </c>
    </row>
    <row r="5572" spans="2:5">
      <c r="B5572" s="65" t="str">
        <f t="shared" ref="B5572:B5635" si="87">$C5572&amp;":"&amp;$D5572</f>
        <v>doc-x0499:3</v>
      </c>
      <c r="C5572" t="s">
        <v>10719</v>
      </c>
      <c r="D5572">
        <v>3</v>
      </c>
      <c r="E5572" t="s">
        <v>1854</v>
      </c>
    </row>
    <row r="5573" spans="2:5">
      <c r="B5573" s="65" t="str">
        <f t="shared" si="87"/>
        <v>doc-x0499:4</v>
      </c>
      <c r="C5573" t="s">
        <v>10719</v>
      </c>
      <c r="D5573">
        <v>4</v>
      </c>
      <c r="E5573" t="s">
        <v>1968</v>
      </c>
    </row>
    <row r="5574" spans="2:5">
      <c r="B5574" s="65" t="str">
        <f t="shared" si="87"/>
        <v>doc-x0499:5</v>
      </c>
      <c r="C5574" t="s">
        <v>10719</v>
      </c>
      <c r="D5574">
        <v>5</v>
      </c>
      <c r="E5574" t="s">
        <v>2003</v>
      </c>
    </row>
    <row r="5575" spans="2:5">
      <c r="B5575" s="65" t="str">
        <f t="shared" si="87"/>
        <v>doc-x0501:1</v>
      </c>
      <c r="C5575" t="s">
        <v>6535</v>
      </c>
      <c r="D5575">
        <v>1</v>
      </c>
      <c r="E5575" t="s">
        <v>2162</v>
      </c>
    </row>
    <row r="5576" spans="2:5">
      <c r="B5576" s="65" t="str">
        <f t="shared" si="87"/>
        <v>doc-x0501:2</v>
      </c>
      <c r="C5576" t="s">
        <v>6535</v>
      </c>
      <c r="D5576">
        <v>2</v>
      </c>
      <c r="E5576" t="s">
        <v>2176</v>
      </c>
    </row>
    <row r="5577" spans="2:5">
      <c r="B5577" s="65" t="str">
        <f t="shared" si="87"/>
        <v>doc-x0501:3</v>
      </c>
      <c r="C5577" t="s">
        <v>6535</v>
      </c>
      <c r="D5577">
        <v>3</v>
      </c>
      <c r="E5577" t="s">
        <v>2115</v>
      </c>
    </row>
    <row r="5578" spans="2:5">
      <c r="B5578" s="65" t="str">
        <f t="shared" si="87"/>
        <v>doc-x0501:4</v>
      </c>
      <c r="C5578" t="s">
        <v>6535</v>
      </c>
      <c r="D5578">
        <v>4</v>
      </c>
      <c r="E5578" t="s">
        <v>2121</v>
      </c>
    </row>
    <row r="5579" spans="2:5">
      <c r="B5579" s="65" t="str">
        <f t="shared" si="87"/>
        <v>doc-x0502:1</v>
      </c>
      <c r="C5579" t="s">
        <v>10720</v>
      </c>
      <c r="D5579">
        <v>1</v>
      </c>
      <c r="E5579" t="s">
        <v>2336</v>
      </c>
    </row>
    <row r="5580" spans="2:5">
      <c r="B5580" s="65" t="str">
        <f t="shared" si="87"/>
        <v>doc-x0502:2</v>
      </c>
      <c r="C5580" t="s">
        <v>10720</v>
      </c>
      <c r="D5580">
        <v>2</v>
      </c>
      <c r="E5580" t="s">
        <v>1804</v>
      </c>
    </row>
    <row r="5581" spans="2:5">
      <c r="B5581" s="65" t="str">
        <f t="shared" si="87"/>
        <v>doc-x0502:3</v>
      </c>
      <c r="C5581" t="s">
        <v>10720</v>
      </c>
      <c r="D5581">
        <v>3</v>
      </c>
      <c r="E5581" t="s">
        <v>281</v>
      </c>
    </row>
    <row r="5582" spans="2:5">
      <c r="B5582" s="65" t="str">
        <f t="shared" si="87"/>
        <v>doc-x0506:1</v>
      </c>
      <c r="C5582" t="s">
        <v>10721</v>
      </c>
      <c r="D5582">
        <v>1</v>
      </c>
      <c r="E5582" t="s">
        <v>2485</v>
      </c>
    </row>
    <row r="5583" spans="2:5">
      <c r="B5583" s="65" t="str">
        <f t="shared" si="87"/>
        <v>doc-x0506:2</v>
      </c>
      <c r="C5583" t="s">
        <v>10721</v>
      </c>
      <c r="D5583">
        <v>2</v>
      </c>
      <c r="E5583" t="s">
        <v>2422</v>
      </c>
    </row>
    <row r="5584" spans="2:5">
      <c r="B5584" s="65" t="str">
        <f t="shared" si="87"/>
        <v>doc-x0506:3</v>
      </c>
      <c r="C5584" t="s">
        <v>10721</v>
      </c>
      <c r="D5584">
        <v>3</v>
      </c>
      <c r="E5584" t="s">
        <v>1968</v>
      </c>
    </row>
    <row r="5585" spans="2:5">
      <c r="B5585" s="65" t="str">
        <f t="shared" si="87"/>
        <v>doc-x0506:4</v>
      </c>
      <c r="C5585" t="s">
        <v>10721</v>
      </c>
      <c r="D5585">
        <v>4</v>
      </c>
      <c r="E5585" t="s">
        <v>1856</v>
      </c>
    </row>
    <row r="5586" spans="2:5">
      <c r="B5586" s="65" t="str">
        <f t="shared" si="87"/>
        <v>doc-x0506:5</v>
      </c>
      <c r="C5586" t="s">
        <v>10721</v>
      </c>
      <c r="D5586">
        <v>5</v>
      </c>
      <c r="E5586" t="s">
        <v>1760</v>
      </c>
    </row>
    <row r="5587" spans="2:5">
      <c r="B5587" s="65" t="str">
        <f t="shared" si="87"/>
        <v>doc-x0506:6</v>
      </c>
      <c r="C5587" t="s">
        <v>10721</v>
      </c>
      <c r="D5587">
        <v>6</v>
      </c>
      <c r="E5587" t="s">
        <v>1737</v>
      </c>
    </row>
    <row r="5588" spans="2:5">
      <c r="B5588" s="65" t="str">
        <f t="shared" si="87"/>
        <v>doc-x0506:7</v>
      </c>
      <c r="C5588" t="s">
        <v>10721</v>
      </c>
      <c r="D5588">
        <v>7</v>
      </c>
      <c r="E5588" t="s">
        <v>2425</v>
      </c>
    </row>
    <row r="5589" spans="2:5">
      <c r="B5589" s="65" t="str">
        <f t="shared" si="87"/>
        <v>doc-x0507:1</v>
      </c>
      <c r="C5589" t="s">
        <v>10722</v>
      </c>
      <c r="D5589">
        <v>1</v>
      </c>
      <c r="E5589" t="s">
        <v>92</v>
      </c>
    </row>
    <row r="5590" spans="2:5">
      <c r="B5590" s="65" t="str">
        <f t="shared" si="87"/>
        <v>doc-x0507:2</v>
      </c>
      <c r="C5590" t="s">
        <v>10722</v>
      </c>
      <c r="D5590">
        <v>2</v>
      </c>
      <c r="E5590" t="s">
        <v>101</v>
      </c>
    </row>
    <row r="5591" spans="2:5">
      <c r="B5591" s="65" t="str">
        <f t="shared" si="87"/>
        <v>doc-x0507:3</v>
      </c>
      <c r="C5591" t="s">
        <v>10722</v>
      </c>
      <c r="D5591">
        <v>3</v>
      </c>
      <c r="E5591" t="s">
        <v>85</v>
      </c>
    </row>
    <row r="5592" spans="2:5">
      <c r="B5592" s="65" t="str">
        <f t="shared" si="87"/>
        <v>doc-x0509:1</v>
      </c>
      <c r="C5592" t="s">
        <v>10723</v>
      </c>
      <c r="D5592">
        <v>1</v>
      </c>
      <c r="E5592" t="s">
        <v>1485</v>
      </c>
    </row>
    <row r="5593" spans="2:5">
      <c r="B5593" s="65" t="str">
        <f t="shared" si="87"/>
        <v>doc-x0509:2</v>
      </c>
      <c r="C5593" t="s">
        <v>10723</v>
      </c>
      <c r="D5593">
        <v>2</v>
      </c>
      <c r="E5593" t="s">
        <v>1944</v>
      </c>
    </row>
    <row r="5594" spans="2:5">
      <c r="B5594" s="65" t="str">
        <f t="shared" si="87"/>
        <v>doc-x0509:3</v>
      </c>
      <c r="C5594" t="s">
        <v>10723</v>
      </c>
      <c r="D5594">
        <v>3</v>
      </c>
      <c r="E5594" t="s">
        <v>1488</v>
      </c>
    </row>
    <row r="5595" spans="2:5">
      <c r="B5595" s="65" t="str">
        <f t="shared" si="87"/>
        <v>doc-x0509:4</v>
      </c>
      <c r="C5595" t="s">
        <v>10723</v>
      </c>
      <c r="D5595">
        <v>4</v>
      </c>
      <c r="E5595" t="s">
        <v>1911</v>
      </c>
    </row>
    <row r="5596" spans="2:5">
      <c r="B5596" s="65" t="str">
        <f t="shared" si="87"/>
        <v>doc-x0512:1</v>
      </c>
      <c r="C5596" t="s">
        <v>10724</v>
      </c>
      <c r="D5596">
        <v>1</v>
      </c>
      <c r="E5596" t="s">
        <v>2148</v>
      </c>
    </row>
    <row r="5597" spans="2:5">
      <c r="B5597" s="65" t="str">
        <f t="shared" si="87"/>
        <v>doc-x0512:2</v>
      </c>
      <c r="C5597" t="s">
        <v>10724</v>
      </c>
      <c r="D5597">
        <v>2</v>
      </c>
      <c r="E5597" t="s">
        <v>1988</v>
      </c>
    </row>
    <row r="5598" spans="2:5">
      <c r="B5598" s="65" t="str">
        <f t="shared" si="87"/>
        <v>doc-x0512:3</v>
      </c>
      <c r="C5598" t="s">
        <v>10724</v>
      </c>
      <c r="D5598">
        <v>3</v>
      </c>
      <c r="E5598" t="s">
        <v>2064</v>
      </c>
    </row>
    <row r="5599" spans="2:5">
      <c r="B5599" s="65" t="str">
        <f t="shared" si="87"/>
        <v>doc-x0512:4</v>
      </c>
      <c r="C5599" t="s">
        <v>10724</v>
      </c>
      <c r="D5599">
        <v>4</v>
      </c>
      <c r="E5599" t="s">
        <v>1813</v>
      </c>
    </row>
    <row r="5600" spans="2:5">
      <c r="B5600" s="65" t="str">
        <f t="shared" si="87"/>
        <v>doc-x0523:1</v>
      </c>
      <c r="C5600" t="s">
        <v>10725</v>
      </c>
      <c r="D5600">
        <v>1</v>
      </c>
      <c r="E5600" t="s">
        <v>92</v>
      </c>
    </row>
    <row r="5601" spans="2:5">
      <c r="B5601" s="65" t="str">
        <f t="shared" si="87"/>
        <v>doc-x0523:2</v>
      </c>
      <c r="C5601" t="s">
        <v>10725</v>
      </c>
      <c r="D5601">
        <v>2</v>
      </c>
      <c r="E5601" t="s">
        <v>1747</v>
      </c>
    </row>
    <row r="5602" spans="2:5">
      <c r="B5602" s="65" t="str">
        <f t="shared" si="87"/>
        <v>doc-x0523:3</v>
      </c>
      <c r="C5602" t="s">
        <v>10725</v>
      </c>
      <c r="D5602">
        <v>3</v>
      </c>
      <c r="E5602" t="s">
        <v>101</v>
      </c>
    </row>
    <row r="5603" spans="2:5">
      <c r="B5603" s="65" t="str">
        <f t="shared" si="87"/>
        <v>doc-x0523:4</v>
      </c>
      <c r="C5603" t="s">
        <v>10725</v>
      </c>
      <c r="D5603">
        <v>4</v>
      </c>
      <c r="E5603" t="s">
        <v>1737</v>
      </c>
    </row>
    <row r="5604" spans="2:5">
      <c r="B5604" s="65" t="str">
        <f t="shared" si="87"/>
        <v>doc-x0524:1</v>
      </c>
      <c r="C5604" t="s">
        <v>10726</v>
      </c>
      <c r="D5604">
        <v>1</v>
      </c>
      <c r="E5604" t="s">
        <v>2915</v>
      </c>
    </row>
    <row r="5605" spans="2:5">
      <c r="B5605" s="65" t="str">
        <f t="shared" si="87"/>
        <v>doc-x0524:2</v>
      </c>
      <c r="C5605" t="s">
        <v>10726</v>
      </c>
      <c r="D5605">
        <v>2</v>
      </c>
      <c r="E5605" t="s">
        <v>2941</v>
      </c>
    </row>
    <row r="5606" spans="2:5">
      <c r="B5606" s="65" t="str">
        <f t="shared" si="87"/>
        <v>doc-x0524:3</v>
      </c>
      <c r="C5606" t="s">
        <v>10726</v>
      </c>
      <c r="D5606">
        <v>3</v>
      </c>
      <c r="E5606" t="s">
        <v>299</v>
      </c>
    </row>
    <row r="5607" spans="2:5">
      <c r="B5607" s="65" t="str">
        <f t="shared" si="87"/>
        <v>doc-x0524:4</v>
      </c>
      <c r="C5607" t="s">
        <v>10726</v>
      </c>
      <c r="D5607">
        <v>4</v>
      </c>
      <c r="E5607" t="s">
        <v>2960</v>
      </c>
    </row>
    <row r="5608" spans="2:5">
      <c r="B5608" s="65" t="str">
        <f t="shared" si="87"/>
        <v>doc-x0524:5</v>
      </c>
      <c r="C5608" t="s">
        <v>10726</v>
      </c>
      <c r="D5608">
        <v>5</v>
      </c>
      <c r="E5608" t="s">
        <v>2731</v>
      </c>
    </row>
    <row r="5609" spans="2:5">
      <c r="B5609" s="65" t="str">
        <f t="shared" si="87"/>
        <v>doc-x0524:6</v>
      </c>
      <c r="C5609" t="s">
        <v>10726</v>
      </c>
      <c r="D5609">
        <v>6</v>
      </c>
      <c r="E5609" t="s">
        <v>2664</v>
      </c>
    </row>
    <row r="5610" spans="2:5">
      <c r="B5610" s="65" t="str">
        <f t="shared" si="87"/>
        <v>doc-x0524:7</v>
      </c>
      <c r="C5610" t="s">
        <v>10726</v>
      </c>
      <c r="D5610">
        <v>7</v>
      </c>
      <c r="E5610" t="s">
        <v>1119</v>
      </c>
    </row>
    <row r="5611" spans="2:5">
      <c r="B5611" s="65" t="str">
        <f t="shared" si="87"/>
        <v>doc-x0525:1</v>
      </c>
      <c r="C5611" t="s">
        <v>10727</v>
      </c>
      <c r="D5611">
        <v>1</v>
      </c>
      <c r="E5611" t="s">
        <v>2023</v>
      </c>
    </row>
    <row r="5612" spans="2:5">
      <c r="B5612" s="65" t="str">
        <f t="shared" si="87"/>
        <v>doc-x0525:2</v>
      </c>
      <c r="C5612" t="s">
        <v>10727</v>
      </c>
      <c r="D5612">
        <v>2</v>
      </c>
      <c r="E5612" t="s">
        <v>2847</v>
      </c>
    </row>
    <row r="5613" spans="2:5">
      <c r="B5613" s="65" t="str">
        <f t="shared" si="87"/>
        <v>doc-x0525:3</v>
      </c>
      <c r="C5613" t="s">
        <v>10727</v>
      </c>
      <c r="D5613">
        <v>3</v>
      </c>
      <c r="E5613" t="s">
        <v>1994</v>
      </c>
    </row>
    <row r="5614" spans="2:5">
      <c r="B5614" s="65" t="str">
        <f t="shared" si="87"/>
        <v>doc-x0525:4</v>
      </c>
      <c r="C5614" t="s">
        <v>10727</v>
      </c>
      <c r="D5614">
        <v>4</v>
      </c>
      <c r="E5614" t="s">
        <v>2849</v>
      </c>
    </row>
    <row r="5615" spans="2:5">
      <c r="B5615" s="65" t="str">
        <f t="shared" si="87"/>
        <v>doc-x0528:1</v>
      </c>
      <c r="C5615" t="s">
        <v>10728</v>
      </c>
      <c r="D5615">
        <v>1</v>
      </c>
      <c r="E5615" t="s">
        <v>2501</v>
      </c>
    </row>
    <row r="5616" spans="2:5">
      <c r="B5616" s="65" t="str">
        <f t="shared" si="87"/>
        <v>doc-x0528:2</v>
      </c>
      <c r="C5616" t="s">
        <v>10728</v>
      </c>
      <c r="D5616">
        <v>2</v>
      </c>
      <c r="E5616" t="s">
        <v>2435</v>
      </c>
    </row>
    <row r="5617" spans="2:5">
      <c r="B5617" s="65" t="str">
        <f t="shared" si="87"/>
        <v>doc-x0528:3</v>
      </c>
      <c r="C5617" t="s">
        <v>10728</v>
      </c>
      <c r="D5617">
        <v>3</v>
      </c>
      <c r="E5617" t="s">
        <v>2422</v>
      </c>
    </row>
    <row r="5618" spans="2:5">
      <c r="B5618" s="65" t="str">
        <f t="shared" si="87"/>
        <v>doc-x0534:1</v>
      </c>
      <c r="C5618" t="s">
        <v>10729</v>
      </c>
      <c r="D5618">
        <v>1</v>
      </c>
      <c r="E5618" t="s">
        <v>2425</v>
      </c>
    </row>
    <row r="5619" spans="2:5">
      <c r="B5619" s="65" t="str">
        <f t="shared" si="87"/>
        <v>doc-x0535:1</v>
      </c>
      <c r="C5619" t="s">
        <v>6541</v>
      </c>
      <c r="D5619">
        <v>1</v>
      </c>
      <c r="E5619" t="s">
        <v>3014</v>
      </c>
    </row>
    <row r="5620" spans="2:5">
      <c r="B5620" s="65" t="str">
        <f t="shared" si="87"/>
        <v>doc-x0535:2</v>
      </c>
      <c r="C5620" t="s">
        <v>6541</v>
      </c>
      <c r="D5620">
        <v>2</v>
      </c>
      <c r="E5620" t="s">
        <v>2992</v>
      </c>
    </row>
    <row r="5621" spans="2:5">
      <c r="B5621" s="65" t="str">
        <f t="shared" si="87"/>
        <v>doc-x0535:3</v>
      </c>
      <c r="C5621" t="s">
        <v>6541</v>
      </c>
      <c r="D5621">
        <v>3</v>
      </c>
      <c r="E5621" t="s">
        <v>2980</v>
      </c>
    </row>
    <row r="5622" spans="2:5">
      <c r="B5622" s="65" t="str">
        <f t="shared" si="87"/>
        <v>doc-x0535:4</v>
      </c>
      <c r="C5622" t="s">
        <v>6541</v>
      </c>
      <c r="D5622">
        <v>4</v>
      </c>
      <c r="E5622" t="s">
        <v>1171</v>
      </c>
    </row>
    <row r="5623" spans="2:5">
      <c r="B5623" s="65" t="str">
        <f t="shared" si="87"/>
        <v>doc-x0535:5</v>
      </c>
      <c r="C5623" t="s">
        <v>6541</v>
      </c>
      <c r="D5623">
        <v>5</v>
      </c>
      <c r="E5623" t="s">
        <v>1944</v>
      </c>
    </row>
    <row r="5624" spans="2:5">
      <c r="B5624" s="65" t="str">
        <f t="shared" si="87"/>
        <v>doc-x0536:1</v>
      </c>
      <c r="C5624" t="s">
        <v>10730</v>
      </c>
      <c r="D5624">
        <v>1</v>
      </c>
      <c r="E5624" t="s">
        <v>2892</v>
      </c>
    </row>
    <row r="5625" spans="2:5">
      <c r="B5625" s="65" t="str">
        <f t="shared" si="87"/>
        <v>doc-x0536:2</v>
      </c>
      <c r="C5625" t="s">
        <v>10730</v>
      </c>
      <c r="D5625">
        <v>2</v>
      </c>
      <c r="E5625" t="s">
        <v>2515</v>
      </c>
    </row>
    <row r="5626" spans="2:5">
      <c r="B5626" s="65" t="str">
        <f t="shared" si="87"/>
        <v>doc-x0536:3</v>
      </c>
      <c r="C5626" t="s">
        <v>10730</v>
      </c>
      <c r="D5626">
        <v>3</v>
      </c>
      <c r="E5626" t="s">
        <v>2860</v>
      </c>
    </row>
    <row r="5627" spans="2:5">
      <c r="B5627" s="65" t="str">
        <f t="shared" si="87"/>
        <v>doc-x0542:1</v>
      </c>
      <c r="C5627" t="s">
        <v>10731</v>
      </c>
      <c r="D5627">
        <v>1</v>
      </c>
      <c r="E5627" t="s">
        <v>2310</v>
      </c>
    </row>
    <row r="5628" spans="2:5">
      <c r="B5628" s="65" t="str">
        <f t="shared" si="87"/>
        <v>doc-x0542:2</v>
      </c>
      <c r="C5628" t="s">
        <v>10731</v>
      </c>
      <c r="D5628">
        <v>2</v>
      </c>
      <c r="E5628" t="s">
        <v>1395</v>
      </c>
    </row>
    <row r="5629" spans="2:5">
      <c r="B5629" s="65" t="str">
        <f t="shared" si="87"/>
        <v>doc-x0542:3</v>
      </c>
      <c r="C5629" t="s">
        <v>10731</v>
      </c>
      <c r="D5629">
        <v>3</v>
      </c>
      <c r="E5629" t="s">
        <v>87</v>
      </c>
    </row>
    <row r="5630" spans="2:5">
      <c r="B5630" s="65" t="str">
        <f t="shared" si="87"/>
        <v>doc-x0542:4</v>
      </c>
      <c r="C5630" t="s">
        <v>10731</v>
      </c>
      <c r="D5630">
        <v>4</v>
      </c>
      <c r="E5630" t="s">
        <v>1349</v>
      </c>
    </row>
    <row r="5631" spans="2:5">
      <c r="B5631" s="65" t="str">
        <f t="shared" si="87"/>
        <v>doc-x0542:5</v>
      </c>
      <c r="C5631" t="s">
        <v>10731</v>
      </c>
      <c r="D5631">
        <v>5</v>
      </c>
      <c r="E5631" t="s">
        <v>1108</v>
      </c>
    </row>
    <row r="5632" spans="2:5">
      <c r="B5632" s="65" t="str">
        <f t="shared" si="87"/>
        <v>doc-x0542:6</v>
      </c>
      <c r="C5632" t="s">
        <v>10731</v>
      </c>
      <c r="D5632">
        <v>6</v>
      </c>
      <c r="E5632" t="s">
        <v>281</v>
      </c>
    </row>
    <row r="5633" spans="2:5">
      <c r="B5633" s="65" t="str">
        <f t="shared" si="87"/>
        <v>doc-x0542:7</v>
      </c>
      <c r="C5633" t="s">
        <v>10731</v>
      </c>
      <c r="D5633">
        <v>7</v>
      </c>
      <c r="E5633" t="s">
        <v>73</v>
      </c>
    </row>
    <row r="5634" spans="2:5">
      <c r="B5634" s="65" t="str">
        <f t="shared" si="87"/>
        <v>doc-x0543:1</v>
      </c>
      <c r="C5634" t="s">
        <v>10732</v>
      </c>
      <c r="D5634">
        <v>1</v>
      </c>
      <c r="E5634" t="s">
        <v>1539</v>
      </c>
    </row>
    <row r="5635" spans="2:5">
      <c r="B5635" s="65" t="str">
        <f t="shared" si="87"/>
        <v>doc-x0543:2</v>
      </c>
      <c r="C5635" t="s">
        <v>10732</v>
      </c>
      <c r="D5635">
        <v>2</v>
      </c>
      <c r="E5635" t="s">
        <v>1527</v>
      </c>
    </row>
    <row r="5636" spans="2:5">
      <c r="B5636" s="65" t="str">
        <f t="shared" ref="B5636:B5699" si="88">$C5636&amp;":"&amp;$D5636</f>
        <v>doc-x0543:3</v>
      </c>
      <c r="C5636" t="s">
        <v>10732</v>
      </c>
      <c r="D5636">
        <v>3</v>
      </c>
      <c r="E5636" t="s">
        <v>1536</v>
      </c>
    </row>
    <row r="5637" spans="2:5">
      <c r="B5637" s="65" t="str">
        <f t="shared" si="88"/>
        <v>doc-x0543:4</v>
      </c>
      <c r="C5637" t="s">
        <v>10732</v>
      </c>
      <c r="D5637">
        <v>4</v>
      </c>
      <c r="E5637" t="s">
        <v>1521</v>
      </c>
    </row>
    <row r="5638" spans="2:5">
      <c r="B5638" s="65" t="str">
        <f t="shared" si="88"/>
        <v>doc-x0543:5</v>
      </c>
      <c r="C5638" t="s">
        <v>10732</v>
      </c>
      <c r="D5638">
        <v>5</v>
      </c>
      <c r="E5638" t="s">
        <v>1530</v>
      </c>
    </row>
    <row r="5639" spans="2:5">
      <c r="B5639" s="65" t="str">
        <f t="shared" si="88"/>
        <v>doc-x0544:1</v>
      </c>
      <c r="C5639" t="s">
        <v>10733</v>
      </c>
      <c r="D5639">
        <v>1</v>
      </c>
      <c r="E5639" t="s">
        <v>1877</v>
      </c>
    </row>
    <row r="5640" spans="2:5">
      <c r="B5640" s="65" t="str">
        <f t="shared" si="88"/>
        <v>doc-x0544:2</v>
      </c>
      <c r="C5640" t="s">
        <v>10733</v>
      </c>
      <c r="D5640">
        <v>2</v>
      </c>
      <c r="E5640" t="s">
        <v>1866</v>
      </c>
    </row>
    <row r="5641" spans="2:5">
      <c r="B5641" s="65" t="str">
        <f t="shared" si="88"/>
        <v>doc-x0544:3</v>
      </c>
      <c r="C5641" t="s">
        <v>10733</v>
      </c>
      <c r="D5641">
        <v>3</v>
      </c>
      <c r="E5641" t="s">
        <v>2027</v>
      </c>
    </row>
    <row r="5642" spans="2:5">
      <c r="B5642" s="65" t="str">
        <f t="shared" si="88"/>
        <v>doc-x0544:4</v>
      </c>
      <c r="C5642" t="s">
        <v>10733</v>
      </c>
      <c r="D5642">
        <v>4</v>
      </c>
      <c r="E5642" t="s">
        <v>1929</v>
      </c>
    </row>
    <row r="5643" spans="2:5">
      <c r="B5643" s="65" t="str">
        <f t="shared" si="88"/>
        <v>doc-x0544:5</v>
      </c>
      <c r="C5643" t="s">
        <v>10733</v>
      </c>
      <c r="D5643">
        <v>5</v>
      </c>
      <c r="E5643" t="s">
        <v>1856</v>
      </c>
    </row>
    <row r="5644" spans="2:5">
      <c r="B5644" s="65" t="str">
        <f t="shared" si="88"/>
        <v>doc-x0548:1</v>
      </c>
      <c r="C5644" t="s">
        <v>10734</v>
      </c>
      <c r="D5644">
        <v>1</v>
      </c>
      <c r="E5644" t="s">
        <v>3100</v>
      </c>
    </row>
    <row r="5645" spans="2:5">
      <c r="B5645" s="65" t="str">
        <f t="shared" si="88"/>
        <v>doc-x0548:2</v>
      </c>
      <c r="C5645" t="s">
        <v>10734</v>
      </c>
      <c r="D5645">
        <v>2</v>
      </c>
      <c r="E5645" t="s">
        <v>1877</v>
      </c>
    </row>
    <row r="5646" spans="2:5">
      <c r="B5646" s="65" t="str">
        <f t="shared" si="88"/>
        <v>doc-x0548:3</v>
      </c>
      <c r="C5646" t="s">
        <v>10734</v>
      </c>
      <c r="D5646">
        <v>3</v>
      </c>
      <c r="E5646" t="s">
        <v>2061</v>
      </c>
    </row>
    <row r="5647" spans="2:5">
      <c r="B5647" s="65" t="str">
        <f t="shared" si="88"/>
        <v>doc-x0548:4</v>
      </c>
      <c r="C5647" t="s">
        <v>10734</v>
      </c>
      <c r="D5647">
        <v>4</v>
      </c>
      <c r="E5647" t="s">
        <v>1905</v>
      </c>
    </row>
    <row r="5648" spans="2:5">
      <c r="B5648" s="65" t="str">
        <f t="shared" si="88"/>
        <v>doc-x0551:1</v>
      </c>
      <c r="C5648" t="s">
        <v>10735</v>
      </c>
      <c r="D5648">
        <v>1</v>
      </c>
      <c r="E5648" t="s">
        <v>2933</v>
      </c>
    </row>
    <row r="5649" spans="2:5">
      <c r="B5649" s="65" t="str">
        <f t="shared" si="88"/>
        <v>doc-x0551:2</v>
      </c>
      <c r="C5649" t="s">
        <v>10735</v>
      </c>
      <c r="D5649">
        <v>2</v>
      </c>
      <c r="E5649" t="s">
        <v>299</v>
      </c>
    </row>
    <row r="5650" spans="2:5">
      <c r="B5650" s="65" t="str">
        <f t="shared" si="88"/>
        <v>doc-x0551:3</v>
      </c>
      <c r="C5650" t="s">
        <v>10735</v>
      </c>
      <c r="D5650">
        <v>3</v>
      </c>
      <c r="E5650" t="s">
        <v>2954</v>
      </c>
    </row>
    <row r="5651" spans="2:5">
      <c r="B5651" s="65" t="str">
        <f t="shared" si="88"/>
        <v>doc-x0551:4</v>
      </c>
      <c r="C5651" t="s">
        <v>10735</v>
      </c>
      <c r="D5651">
        <v>4</v>
      </c>
      <c r="E5651" t="s">
        <v>1417</v>
      </c>
    </row>
    <row r="5652" spans="2:5">
      <c r="B5652" s="65" t="str">
        <f t="shared" si="88"/>
        <v>doc-x0552:1</v>
      </c>
      <c r="C5652" t="s">
        <v>10736</v>
      </c>
      <c r="D5652">
        <v>1</v>
      </c>
      <c r="E5652" t="s">
        <v>2411</v>
      </c>
    </row>
    <row r="5653" spans="2:5">
      <c r="B5653" s="65" t="str">
        <f t="shared" si="88"/>
        <v>doc-x0552:2</v>
      </c>
      <c r="C5653" t="s">
        <v>10736</v>
      </c>
      <c r="D5653">
        <v>2</v>
      </c>
      <c r="E5653" t="s">
        <v>2414</v>
      </c>
    </row>
    <row r="5654" spans="2:5">
      <c r="B5654" s="65" t="str">
        <f t="shared" si="88"/>
        <v>doc-x0559:1</v>
      </c>
      <c r="C5654" t="s">
        <v>6547</v>
      </c>
      <c r="D5654">
        <v>1</v>
      </c>
      <c r="E5654" t="s">
        <v>2059</v>
      </c>
    </row>
    <row r="5655" spans="2:5">
      <c r="B5655" s="65" t="str">
        <f t="shared" si="88"/>
        <v>doc-x0559:2</v>
      </c>
      <c r="C5655" t="s">
        <v>6547</v>
      </c>
      <c r="D5655">
        <v>2</v>
      </c>
      <c r="E5655" t="s">
        <v>2092</v>
      </c>
    </row>
    <row r="5656" spans="2:5">
      <c r="B5656" s="65" t="str">
        <f t="shared" si="88"/>
        <v>doc-x0559:3</v>
      </c>
      <c r="C5656" t="s">
        <v>6547</v>
      </c>
      <c r="D5656">
        <v>3</v>
      </c>
      <c r="E5656" t="s">
        <v>2137</v>
      </c>
    </row>
    <row r="5657" spans="2:5">
      <c r="B5657" s="65" t="str">
        <f t="shared" si="88"/>
        <v>doc-x0560:1</v>
      </c>
      <c r="C5657" t="s">
        <v>10737</v>
      </c>
      <c r="D5657">
        <v>1</v>
      </c>
      <c r="E5657" t="s">
        <v>1099</v>
      </c>
    </row>
    <row r="5658" spans="2:5">
      <c r="B5658" s="65" t="str">
        <f t="shared" si="88"/>
        <v>doc-x0560:2</v>
      </c>
      <c r="C5658" t="s">
        <v>10737</v>
      </c>
      <c r="D5658">
        <v>2</v>
      </c>
      <c r="E5658" t="s">
        <v>1916</v>
      </c>
    </row>
    <row r="5659" spans="2:5">
      <c r="B5659" s="65" t="str">
        <f t="shared" si="88"/>
        <v>doc-x0560:3</v>
      </c>
      <c r="C5659" t="s">
        <v>10737</v>
      </c>
      <c r="D5659">
        <v>3</v>
      </c>
      <c r="E5659" t="s">
        <v>1854</v>
      </c>
    </row>
    <row r="5660" spans="2:5">
      <c r="B5660" s="65" t="str">
        <f t="shared" si="88"/>
        <v>doc-x0560:4</v>
      </c>
      <c r="C5660" t="s">
        <v>10737</v>
      </c>
      <c r="D5660">
        <v>4</v>
      </c>
      <c r="E5660" t="s">
        <v>2003</v>
      </c>
    </row>
    <row r="5661" spans="2:5">
      <c r="B5661" s="65" t="str">
        <f t="shared" si="88"/>
        <v>doc-x0568:1</v>
      </c>
      <c r="C5661" t="s">
        <v>6551</v>
      </c>
      <c r="D5661">
        <v>1</v>
      </c>
      <c r="E5661" t="s">
        <v>2617</v>
      </c>
    </row>
    <row r="5662" spans="2:5">
      <c r="B5662" s="65" t="str">
        <f t="shared" si="88"/>
        <v>doc-x0568:2</v>
      </c>
      <c r="C5662" t="s">
        <v>6551</v>
      </c>
      <c r="D5662">
        <v>2</v>
      </c>
      <c r="E5662" t="s">
        <v>2717</v>
      </c>
    </row>
    <row r="5663" spans="2:5">
      <c r="B5663" s="65" t="str">
        <f t="shared" si="88"/>
        <v>doc-x0568:3</v>
      </c>
      <c r="C5663" t="s">
        <v>6551</v>
      </c>
      <c r="D5663">
        <v>3</v>
      </c>
      <c r="E5663" t="s">
        <v>2667</v>
      </c>
    </row>
    <row r="5664" spans="2:5">
      <c r="B5664" s="65" t="str">
        <f t="shared" si="88"/>
        <v>doc-x0572:1</v>
      </c>
      <c r="C5664" t="s">
        <v>10738</v>
      </c>
      <c r="D5664">
        <v>1</v>
      </c>
      <c r="E5664" t="s">
        <v>1844</v>
      </c>
    </row>
    <row r="5665" spans="2:5">
      <c r="B5665" s="65" t="str">
        <f t="shared" si="88"/>
        <v>doc-x0572:2</v>
      </c>
      <c r="C5665" t="s">
        <v>10738</v>
      </c>
      <c r="D5665">
        <v>2</v>
      </c>
      <c r="E5665" t="s">
        <v>2283</v>
      </c>
    </row>
    <row r="5666" spans="2:5">
      <c r="B5666" s="65" t="str">
        <f t="shared" si="88"/>
        <v>doc-x0572:3</v>
      </c>
      <c r="C5666" t="s">
        <v>10738</v>
      </c>
      <c r="D5666">
        <v>3</v>
      </c>
      <c r="E5666" t="s">
        <v>2244</v>
      </c>
    </row>
    <row r="5667" spans="2:5">
      <c r="B5667" s="65" t="str">
        <f t="shared" si="88"/>
        <v>doc-x0572:4</v>
      </c>
      <c r="C5667" t="s">
        <v>10738</v>
      </c>
      <c r="D5667">
        <v>4</v>
      </c>
      <c r="E5667" t="s">
        <v>2761</v>
      </c>
    </row>
    <row r="5668" spans="2:5">
      <c r="B5668" s="65" t="str">
        <f t="shared" si="88"/>
        <v>doc-x0572:5</v>
      </c>
      <c r="C5668" t="s">
        <v>10738</v>
      </c>
      <c r="D5668">
        <v>5</v>
      </c>
      <c r="E5668" t="s">
        <v>1372</v>
      </c>
    </row>
    <row r="5669" spans="2:5">
      <c r="B5669" s="65" t="str">
        <f t="shared" si="88"/>
        <v>doc-x0574:1</v>
      </c>
      <c r="C5669" t="s">
        <v>6558</v>
      </c>
      <c r="D5669">
        <v>1</v>
      </c>
      <c r="E5669" t="s">
        <v>2194</v>
      </c>
    </row>
    <row r="5670" spans="2:5">
      <c r="B5670" s="65" t="str">
        <f t="shared" si="88"/>
        <v>doc-x0574:2</v>
      </c>
      <c r="C5670" t="s">
        <v>6558</v>
      </c>
      <c r="D5670">
        <v>2</v>
      </c>
      <c r="E5670" t="s">
        <v>1343</v>
      </c>
    </row>
    <row r="5671" spans="2:5">
      <c r="B5671" s="65" t="str">
        <f t="shared" si="88"/>
        <v>doc-x0575:1</v>
      </c>
      <c r="C5671" t="s">
        <v>6564</v>
      </c>
      <c r="D5671">
        <v>1</v>
      </c>
      <c r="E5671" t="s">
        <v>2103</v>
      </c>
    </row>
    <row r="5672" spans="2:5">
      <c r="B5672" s="65" t="str">
        <f t="shared" si="88"/>
        <v>doc-x0575:2</v>
      </c>
      <c r="C5672" t="s">
        <v>6564</v>
      </c>
      <c r="D5672">
        <v>2</v>
      </c>
      <c r="E5672" t="s">
        <v>2080</v>
      </c>
    </row>
    <row r="5673" spans="2:5">
      <c r="B5673" s="65" t="str">
        <f t="shared" si="88"/>
        <v>doc-x0575:3</v>
      </c>
      <c r="C5673" t="s">
        <v>6564</v>
      </c>
      <c r="D5673">
        <v>3</v>
      </c>
      <c r="E5673" t="s">
        <v>2121</v>
      </c>
    </row>
    <row r="5674" spans="2:5">
      <c r="B5674" s="65" t="str">
        <f t="shared" si="88"/>
        <v>doc-x0581:1</v>
      </c>
      <c r="C5674" t="s">
        <v>10739</v>
      </c>
      <c r="D5674">
        <v>1</v>
      </c>
      <c r="E5674" t="s">
        <v>1777</v>
      </c>
    </row>
    <row r="5675" spans="2:5">
      <c r="B5675" s="65" t="str">
        <f t="shared" si="88"/>
        <v>doc-x0581:2</v>
      </c>
      <c r="C5675" t="s">
        <v>10739</v>
      </c>
      <c r="D5675">
        <v>2</v>
      </c>
      <c r="E5675" t="s">
        <v>1941</v>
      </c>
    </row>
    <row r="5676" spans="2:5">
      <c r="B5676" s="65" t="str">
        <f t="shared" si="88"/>
        <v>doc-x0581:3</v>
      </c>
      <c r="C5676" t="s">
        <v>10739</v>
      </c>
      <c r="D5676">
        <v>3</v>
      </c>
      <c r="E5676" t="s">
        <v>2954</v>
      </c>
    </row>
    <row r="5677" spans="2:5">
      <c r="B5677" s="65" t="str">
        <f t="shared" si="88"/>
        <v>doc-x0581:4</v>
      </c>
      <c r="C5677" t="s">
        <v>10739</v>
      </c>
      <c r="D5677">
        <v>4</v>
      </c>
      <c r="E5677" t="s">
        <v>1482</v>
      </c>
    </row>
    <row r="5678" spans="2:5">
      <c r="B5678" s="65" t="str">
        <f t="shared" si="88"/>
        <v>doc-x0586:1</v>
      </c>
      <c r="C5678" t="s">
        <v>10740</v>
      </c>
      <c r="D5678">
        <v>1</v>
      </c>
      <c r="E5678" t="s">
        <v>2944</v>
      </c>
    </row>
    <row r="5679" spans="2:5">
      <c r="B5679" s="65" t="str">
        <f t="shared" si="88"/>
        <v>doc-x0586:2</v>
      </c>
      <c r="C5679" t="s">
        <v>10740</v>
      </c>
      <c r="D5679">
        <v>2</v>
      </c>
      <c r="E5679" t="s">
        <v>2943</v>
      </c>
    </row>
    <row r="5680" spans="2:5">
      <c r="B5680" s="65" t="str">
        <f t="shared" si="88"/>
        <v>doc-x0586:3</v>
      </c>
      <c r="C5680" t="s">
        <v>10740</v>
      </c>
      <c r="D5680">
        <v>3</v>
      </c>
      <c r="E5680" t="s">
        <v>1795</v>
      </c>
    </row>
    <row r="5681" spans="2:5">
      <c r="B5681" s="65" t="str">
        <f t="shared" si="88"/>
        <v>doc-x0586:4</v>
      </c>
      <c r="C5681" t="s">
        <v>10740</v>
      </c>
      <c r="D5681">
        <v>4</v>
      </c>
      <c r="E5681" t="s">
        <v>254</v>
      </c>
    </row>
    <row r="5682" spans="2:5">
      <c r="B5682" s="65" t="str">
        <f t="shared" si="88"/>
        <v>doc-x0586:5</v>
      </c>
      <c r="C5682" t="s">
        <v>10740</v>
      </c>
      <c r="D5682">
        <v>5</v>
      </c>
      <c r="E5682" t="s">
        <v>1321</v>
      </c>
    </row>
    <row r="5683" spans="2:5">
      <c r="B5683" s="65" t="str">
        <f t="shared" si="88"/>
        <v>doc-x0586:6</v>
      </c>
      <c r="C5683" t="s">
        <v>10740</v>
      </c>
      <c r="D5683">
        <v>6</v>
      </c>
      <c r="E5683" t="s">
        <v>1461</v>
      </c>
    </row>
    <row r="5684" spans="2:5">
      <c r="B5684" s="65" t="str">
        <f t="shared" si="88"/>
        <v>doc-x0588:1</v>
      </c>
      <c r="C5684" t="s">
        <v>10741</v>
      </c>
      <c r="D5684">
        <v>1</v>
      </c>
      <c r="E5684" t="s">
        <v>1401</v>
      </c>
    </row>
    <row r="5685" spans="2:5">
      <c r="B5685" s="65" t="str">
        <f t="shared" si="88"/>
        <v>doc-x0588:2</v>
      </c>
      <c r="C5685" t="s">
        <v>10741</v>
      </c>
      <c r="D5685">
        <v>2</v>
      </c>
      <c r="E5685" t="s">
        <v>2347</v>
      </c>
    </row>
    <row r="5686" spans="2:5">
      <c r="B5686" s="65" t="str">
        <f t="shared" si="88"/>
        <v>doc-x0588:3</v>
      </c>
      <c r="C5686" t="s">
        <v>10741</v>
      </c>
      <c r="D5686">
        <v>3</v>
      </c>
      <c r="E5686" t="s">
        <v>2560</v>
      </c>
    </row>
    <row r="5687" spans="2:5">
      <c r="B5687" s="65" t="str">
        <f t="shared" si="88"/>
        <v>doc-x0588:4</v>
      </c>
      <c r="C5687" t="s">
        <v>10741</v>
      </c>
      <c r="D5687">
        <v>4</v>
      </c>
      <c r="E5687" t="s">
        <v>2054</v>
      </c>
    </row>
    <row r="5688" spans="2:5">
      <c r="B5688" s="65" t="str">
        <f t="shared" si="88"/>
        <v>doc-x0588:5</v>
      </c>
      <c r="C5688" t="s">
        <v>10741</v>
      </c>
      <c r="D5688">
        <v>5</v>
      </c>
      <c r="E5688" t="s">
        <v>1434</v>
      </c>
    </row>
    <row r="5689" spans="2:5">
      <c r="B5689" s="65" t="str">
        <f t="shared" si="88"/>
        <v>doc-x0594:1</v>
      </c>
      <c r="C5689" t="s">
        <v>10742</v>
      </c>
      <c r="D5689">
        <v>1</v>
      </c>
      <c r="E5689" t="s">
        <v>2784</v>
      </c>
    </row>
    <row r="5690" spans="2:5">
      <c r="B5690" s="65" t="str">
        <f t="shared" si="88"/>
        <v>doc-x0600:1</v>
      </c>
      <c r="C5690" t="s">
        <v>10743</v>
      </c>
      <c r="D5690">
        <v>1</v>
      </c>
      <c r="E5690" t="s">
        <v>1352</v>
      </c>
    </row>
    <row r="5691" spans="2:5">
      <c r="B5691" s="65" t="str">
        <f t="shared" si="88"/>
        <v>doc-x0600:2</v>
      </c>
      <c r="C5691" t="s">
        <v>10743</v>
      </c>
      <c r="D5691">
        <v>2</v>
      </c>
      <c r="E5691" t="s">
        <v>1343</v>
      </c>
    </row>
    <row r="5692" spans="2:5">
      <c r="B5692" s="65" t="str">
        <f t="shared" si="88"/>
        <v>doc-x0600:3</v>
      </c>
      <c r="C5692" t="s">
        <v>10743</v>
      </c>
      <c r="D5692">
        <v>3</v>
      </c>
      <c r="E5692" t="s">
        <v>1773</v>
      </c>
    </row>
    <row r="5693" spans="2:5">
      <c r="B5693" s="65" t="str">
        <f t="shared" si="88"/>
        <v>doc-x0600:4</v>
      </c>
      <c r="C5693" t="s">
        <v>10743</v>
      </c>
      <c r="D5693">
        <v>4</v>
      </c>
      <c r="E5693" t="s">
        <v>101</v>
      </c>
    </row>
    <row r="5694" spans="2:5">
      <c r="B5694" s="65" t="str">
        <f t="shared" si="88"/>
        <v>doc-x0600:5</v>
      </c>
      <c r="C5694" t="s">
        <v>10743</v>
      </c>
      <c r="D5694">
        <v>5</v>
      </c>
      <c r="E5694" t="s">
        <v>92</v>
      </c>
    </row>
    <row r="5695" spans="2:5">
      <c r="B5695" s="65" t="str">
        <f t="shared" si="88"/>
        <v>doc-x0604:1</v>
      </c>
      <c r="C5695" t="s">
        <v>10744</v>
      </c>
      <c r="D5695">
        <v>1</v>
      </c>
      <c r="E5695" t="s">
        <v>76</v>
      </c>
    </row>
    <row r="5696" spans="2:5">
      <c r="B5696" s="65" t="str">
        <f t="shared" si="88"/>
        <v>doc-x0604:2</v>
      </c>
      <c r="C5696" t="s">
        <v>10744</v>
      </c>
      <c r="D5696">
        <v>2</v>
      </c>
      <c r="E5696" t="s">
        <v>90</v>
      </c>
    </row>
    <row r="5697" spans="2:5">
      <c r="B5697" s="65" t="str">
        <f t="shared" si="88"/>
        <v>doc-x0604:3</v>
      </c>
      <c r="C5697" t="s">
        <v>10744</v>
      </c>
      <c r="D5697">
        <v>3</v>
      </c>
      <c r="E5697" t="s">
        <v>73</v>
      </c>
    </row>
    <row r="5698" spans="2:5">
      <c r="B5698" s="65" t="str">
        <f t="shared" si="88"/>
        <v>doc-x0604:4</v>
      </c>
      <c r="C5698" t="s">
        <v>10744</v>
      </c>
      <c r="D5698">
        <v>4</v>
      </c>
      <c r="E5698" t="s">
        <v>2954</v>
      </c>
    </row>
    <row r="5699" spans="2:5">
      <c r="B5699" s="65" t="str">
        <f t="shared" si="88"/>
        <v>doc-x0604:5</v>
      </c>
      <c r="C5699" t="s">
        <v>10744</v>
      </c>
      <c r="D5699">
        <v>5</v>
      </c>
      <c r="E5699" t="s">
        <v>2003</v>
      </c>
    </row>
    <row r="5700" spans="2:5">
      <c r="B5700" s="65" t="str">
        <f t="shared" ref="B5700:B5763" si="89">$C5700&amp;":"&amp;$D5700</f>
        <v>doc-x0604:6</v>
      </c>
      <c r="C5700" t="s">
        <v>10744</v>
      </c>
      <c r="D5700">
        <v>6</v>
      </c>
      <c r="E5700" t="s">
        <v>107</v>
      </c>
    </row>
    <row r="5701" spans="2:5">
      <c r="B5701" s="65" t="str">
        <f t="shared" si="89"/>
        <v>doc-x0605:1</v>
      </c>
      <c r="C5701" t="s">
        <v>10745</v>
      </c>
      <c r="D5701">
        <v>1</v>
      </c>
      <c r="E5701" t="s">
        <v>1266</v>
      </c>
    </row>
    <row r="5702" spans="2:5">
      <c r="B5702" s="65" t="str">
        <f t="shared" si="89"/>
        <v>doc-x0605:2</v>
      </c>
      <c r="C5702" t="s">
        <v>10745</v>
      </c>
      <c r="D5702">
        <v>2</v>
      </c>
      <c r="E5702" t="s">
        <v>2027</v>
      </c>
    </row>
    <row r="5703" spans="2:5">
      <c r="B5703" s="65" t="str">
        <f t="shared" si="89"/>
        <v>doc-x0605:3</v>
      </c>
      <c r="C5703" t="s">
        <v>10745</v>
      </c>
      <c r="D5703">
        <v>3</v>
      </c>
      <c r="E5703" t="s">
        <v>2000</v>
      </c>
    </row>
    <row r="5704" spans="2:5">
      <c r="B5704" s="65" t="str">
        <f t="shared" si="89"/>
        <v>doc-x0605:4</v>
      </c>
      <c r="C5704" t="s">
        <v>10745</v>
      </c>
      <c r="D5704">
        <v>4</v>
      </c>
      <c r="E5704" t="s">
        <v>1312</v>
      </c>
    </row>
    <row r="5705" spans="2:5">
      <c r="B5705" s="65" t="str">
        <f t="shared" si="89"/>
        <v>doc-x0606:1</v>
      </c>
      <c r="C5705" t="s">
        <v>6570</v>
      </c>
      <c r="D5705">
        <v>1</v>
      </c>
      <c r="E5705" t="s">
        <v>2179</v>
      </c>
    </row>
    <row r="5706" spans="2:5">
      <c r="B5706" s="65" t="str">
        <f t="shared" si="89"/>
        <v>doc-x0606:2</v>
      </c>
      <c r="C5706" t="s">
        <v>6570</v>
      </c>
      <c r="D5706">
        <v>2</v>
      </c>
      <c r="E5706" t="s">
        <v>2121</v>
      </c>
    </row>
    <row r="5707" spans="2:5">
      <c r="B5707" s="65" t="str">
        <f t="shared" si="89"/>
        <v>doc-x0609:1</v>
      </c>
      <c r="C5707" t="s">
        <v>6576</v>
      </c>
      <c r="D5707">
        <v>1</v>
      </c>
      <c r="E5707" t="s">
        <v>3046</v>
      </c>
    </row>
    <row r="5708" spans="2:5">
      <c r="B5708" s="65" t="str">
        <f t="shared" si="89"/>
        <v>doc-x0609:2</v>
      </c>
      <c r="C5708" t="s">
        <v>6576</v>
      </c>
      <c r="D5708">
        <v>2</v>
      </c>
      <c r="E5708" t="s">
        <v>3056</v>
      </c>
    </row>
    <row r="5709" spans="2:5">
      <c r="B5709" s="65" t="str">
        <f t="shared" si="89"/>
        <v>doc-x0609:3</v>
      </c>
      <c r="C5709" t="s">
        <v>6576</v>
      </c>
      <c r="D5709">
        <v>3</v>
      </c>
      <c r="E5709" t="s">
        <v>1127</v>
      </c>
    </row>
    <row r="5710" spans="2:5">
      <c r="B5710" s="65" t="str">
        <f t="shared" si="89"/>
        <v>doc-x0612:1</v>
      </c>
      <c r="C5710" t="s">
        <v>10746</v>
      </c>
      <c r="D5710">
        <v>1</v>
      </c>
      <c r="E5710" t="s">
        <v>1360</v>
      </c>
    </row>
    <row r="5711" spans="2:5">
      <c r="B5711" s="65" t="str">
        <f t="shared" si="89"/>
        <v>doc-x0612:2</v>
      </c>
      <c r="C5711" t="s">
        <v>10746</v>
      </c>
      <c r="D5711">
        <v>2</v>
      </c>
      <c r="E5711" t="s">
        <v>1425</v>
      </c>
    </row>
    <row r="5712" spans="2:5">
      <c r="B5712" s="65" t="str">
        <f t="shared" si="89"/>
        <v>doc-x0612:3</v>
      </c>
      <c r="C5712" t="s">
        <v>10746</v>
      </c>
      <c r="D5712">
        <v>3</v>
      </c>
      <c r="E5712" t="s">
        <v>1763</v>
      </c>
    </row>
    <row r="5713" spans="2:5">
      <c r="B5713" s="65" t="str">
        <f t="shared" si="89"/>
        <v>doc-x0612:4</v>
      </c>
      <c r="C5713" t="s">
        <v>10746</v>
      </c>
      <c r="D5713">
        <v>4</v>
      </c>
      <c r="E5713" t="s">
        <v>2515</v>
      </c>
    </row>
    <row r="5714" spans="2:5">
      <c r="B5714" s="65" t="str">
        <f t="shared" si="89"/>
        <v>doc-x0613:1</v>
      </c>
      <c r="C5714" t="s">
        <v>10747</v>
      </c>
      <c r="D5714">
        <v>1</v>
      </c>
      <c r="E5714" t="s">
        <v>1795</v>
      </c>
    </row>
    <row r="5715" spans="2:5">
      <c r="B5715" s="65" t="str">
        <f t="shared" si="89"/>
        <v>doc-x0613:2</v>
      </c>
      <c r="C5715" t="s">
        <v>10747</v>
      </c>
      <c r="D5715">
        <v>2</v>
      </c>
      <c r="E5715" t="s">
        <v>1941</v>
      </c>
    </row>
    <row r="5716" spans="2:5">
      <c r="B5716" s="65" t="str">
        <f t="shared" si="89"/>
        <v>doc-x0614:1</v>
      </c>
      <c r="C5716" t="s">
        <v>10748</v>
      </c>
      <c r="D5716">
        <v>1</v>
      </c>
      <c r="E5716" t="s">
        <v>1702</v>
      </c>
    </row>
    <row r="5717" spans="2:5">
      <c r="B5717" s="65" t="str">
        <f t="shared" si="89"/>
        <v>doc-x0614:2</v>
      </c>
      <c r="C5717" t="s">
        <v>10748</v>
      </c>
      <c r="D5717">
        <v>2</v>
      </c>
      <c r="E5717" t="s">
        <v>1705</v>
      </c>
    </row>
    <row r="5718" spans="2:5">
      <c r="B5718" s="65" t="str">
        <f t="shared" si="89"/>
        <v>doc-x0614:3</v>
      </c>
      <c r="C5718" t="s">
        <v>10748</v>
      </c>
      <c r="D5718">
        <v>3</v>
      </c>
      <c r="E5718" t="s">
        <v>1941</v>
      </c>
    </row>
    <row r="5719" spans="2:5">
      <c r="B5719" s="65" t="str">
        <f t="shared" si="89"/>
        <v>doc-x0617:1</v>
      </c>
      <c r="C5719" t="s">
        <v>10749</v>
      </c>
      <c r="D5719">
        <v>1</v>
      </c>
      <c r="E5719" t="s">
        <v>1833</v>
      </c>
    </row>
    <row r="5720" spans="2:5">
      <c r="B5720" s="65" t="str">
        <f t="shared" si="89"/>
        <v>doc-x0617:2</v>
      </c>
      <c r="C5720" t="s">
        <v>10749</v>
      </c>
      <c r="D5720">
        <v>2</v>
      </c>
      <c r="E5720" t="s">
        <v>2954</v>
      </c>
    </row>
    <row r="5721" spans="2:5">
      <c r="B5721" s="65" t="str">
        <f t="shared" si="89"/>
        <v>doc-x0617:3</v>
      </c>
      <c r="C5721" t="s">
        <v>10749</v>
      </c>
      <c r="D5721">
        <v>3</v>
      </c>
      <c r="E5721" t="s">
        <v>2960</v>
      </c>
    </row>
    <row r="5722" spans="2:5">
      <c r="B5722" s="65" t="str">
        <f t="shared" si="89"/>
        <v>doc-x0617:4</v>
      </c>
      <c r="C5722" t="s">
        <v>10749</v>
      </c>
      <c r="D5722">
        <v>4</v>
      </c>
      <c r="E5722" t="s">
        <v>2926</v>
      </c>
    </row>
    <row r="5723" spans="2:5">
      <c r="B5723" s="65" t="str">
        <f t="shared" si="89"/>
        <v>doc-x0617:5</v>
      </c>
      <c r="C5723" t="s">
        <v>10749</v>
      </c>
      <c r="D5723">
        <v>5</v>
      </c>
      <c r="E5723" t="s">
        <v>299</v>
      </c>
    </row>
    <row r="5724" spans="2:5">
      <c r="B5724" s="65" t="str">
        <f t="shared" si="89"/>
        <v>doc-x0617:6</v>
      </c>
      <c r="C5724" t="s">
        <v>10749</v>
      </c>
      <c r="D5724">
        <v>6</v>
      </c>
      <c r="E5724" t="s">
        <v>2664</v>
      </c>
    </row>
    <row r="5725" spans="2:5">
      <c r="B5725" s="65" t="str">
        <f t="shared" si="89"/>
        <v>doc-x0617:7</v>
      </c>
      <c r="C5725" t="s">
        <v>10749</v>
      </c>
      <c r="D5725">
        <v>7</v>
      </c>
      <c r="E5725" t="s">
        <v>1108</v>
      </c>
    </row>
    <row r="5726" spans="2:5">
      <c r="B5726" s="65" t="str">
        <f t="shared" si="89"/>
        <v>doc-x0624:1</v>
      </c>
      <c r="C5726" t="s">
        <v>10750</v>
      </c>
      <c r="D5726">
        <v>1</v>
      </c>
      <c r="E5726" t="s">
        <v>2823</v>
      </c>
    </row>
    <row r="5727" spans="2:5">
      <c r="B5727" s="65" t="str">
        <f t="shared" si="89"/>
        <v>doc-x0624:2</v>
      </c>
      <c r="C5727" t="s">
        <v>10750</v>
      </c>
      <c r="D5727">
        <v>2</v>
      </c>
      <c r="E5727" t="s">
        <v>2799</v>
      </c>
    </row>
    <row r="5728" spans="2:5">
      <c r="B5728" s="65" t="str">
        <f t="shared" si="89"/>
        <v>doc-x0624:3</v>
      </c>
      <c r="C5728" t="s">
        <v>10750</v>
      </c>
      <c r="D5728">
        <v>3</v>
      </c>
      <c r="E5728" t="s">
        <v>2779</v>
      </c>
    </row>
    <row r="5729" spans="2:5">
      <c r="B5729" s="65" t="str">
        <f t="shared" si="89"/>
        <v>doc-x0625:1</v>
      </c>
      <c r="C5729" t="s">
        <v>10751</v>
      </c>
      <c r="D5729">
        <v>1</v>
      </c>
      <c r="E5729" t="s">
        <v>90</v>
      </c>
    </row>
    <row r="5730" spans="2:5">
      <c r="B5730" s="65" t="str">
        <f t="shared" si="89"/>
        <v>doc-x0625:2</v>
      </c>
      <c r="C5730" t="s">
        <v>10751</v>
      </c>
      <c r="D5730">
        <v>2</v>
      </c>
      <c r="E5730" t="s">
        <v>2967</v>
      </c>
    </row>
    <row r="5731" spans="2:5">
      <c r="B5731" s="65" t="str">
        <f t="shared" si="89"/>
        <v>doc-x0625:3</v>
      </c>
      <c r="C5731" t="s">
        <v>10751</v>
      </c>
      <c r="D5731">
        <v>3</v>
      </c>
      <c r="E5731" t="s">
        <v>299</v>
      </c>
    </row>
    <row r="5732" spans="2:5">
      <c r="B5732" s="65" t="str">
        <f t="shared" si="89"/>
        <v>doc-x0626:1</v>
      </c>
      <c r="C5732" t="s">
        <v>10752</v>
      </c>
      <c r="D5732">
        <v>1</v>
      </c>
      <c r="E5732" t="s">
        <v>2506</v>
      </c>
    </row>
    <row r="5733" spans="2:5">
      <c r="B5733" s="65" t="str">
        <f t="shared" si="89"/>
        <v>doc-x0626:2</v>
      </c>
      <c r="C5733" t="s">
        <v>10752</v>
      </c>
      <c r="D5733">
        <v>2</v>
      </c>
      <c r="E5733" t="s">
        <v>1880</v>
      </c>
    </row>
    <row r="5734" spans="2:5">
      <c r="B5734" s="65" t="str">
        <f t="shared" si="89"/>
        <v>doc-x0626:3</v>
      </c>
      <c r="C5734" t="s">
        <v>10752</v>
      </c>
      <c r="D5734">
        <v>3</v>
      </c>
      <c r="E5734" t="s">
        <v>2983</v>
      </c>
    </row>
    <row r="5735" spans="2:5">
      <c r="B5735" s="65" t="str">
        <f t="shared" si="89"/>
        <v>doc-x0627:1</v>
      </c>
      <c r="C5735" t="s">
        <v>10753</v>
      </c>
      <c r="D5735">
        <v>1</v>
      </c>
      <c r="E5735" t="s">
        <v>2411</v>
      </c>
    </row>
    <row r="5736" spans="2:5">
      <c r="B5736" s="65" t="str">
        <f t="shared" si="89"/>
        <v>doc-x0627:2</v>
      </c>
      <c r="C5736" t="s">
        <v>10753</v>
      </c>
      <c r="D5736">
        <v>2</v>
      </c>
      <c r="E5736" t="s">
        <v>1941</v>
      </c>
    </row>
    <row r="5737" spans="2:5">
      <c r="B5737" s="65" t="str">
        <f t="shared" si="89"/>
        <v>doc-x0628:1</v>
      </c>
      <c r="C5737" t="s">
        <v>10754</v>
      </c>
      <c r="D5737">
        <v>1</v>
      </c>
      <c r="E5737" t="s">
        <v>2744</v>
      </c>
    </row>
    <row r="5738" spans="2:5">
      <c r="B5738" s="65" t="str">
        <f t="shared" si="89"/>
        <v>doc-x0628:2</v>
      </c>
      <c r="C5738" t="s">
        <v>10754</v>
      </c>
      <c r="D5738">
        <v>2</v>
      </c>
      <c r="E5738" t="s">
        <v>1985</v>
      </c>
    </row>
    <row r="5739" spans="2:5">
      <c r="B5739" s="65" t="str">
        <f t="shared" si="89"/>
        <v>doc-x0628:3</v>
      </c>
      <c r="C5739" t="s">
        <v>10754</v>
      </c>
      <c r="D5739">
        <v>3</v>
      </c>
      <c r="E5739" t="s">
        <v>2003</v>
      </c>
    </row>
    <row r="5740" spans="2:5">
      <c r="B5740" s="65" t="str">
        <f t="shared" si="89"/>
        <v>doc-x0628:4</v>
      </c>
      <c r="C5740" t="s">
        <v>10754</v>
      </c>
      <c r="D5740">
        <v>4</v>
      </c>
      <c r="E5740" t="s">
        <v>2673</v>
      </c>
    </row>
    <row r="5741" spans="2:5">
      <c r="B5741" s="65" t="str">
        <f t="shared" si="89"/>
        <v>doc-x0628:5</v>
      </c>
      <c r="C5741" t="s">
        <v>10754</v>
      </c>
      <c r="D5741">
        <v>5</v>
      </c>
      <c r="E5741" t="s">
        <v>2667</v>
      </c>
    </row>
    <row r="5742" spans="2:5">
      <c r="B5742" s="65" t="str">
        <f t="shared" si="89"/>
        <v>doc-x0630:1</v>
      </c>
      <c r="C5742" t="s">
        <v>10755</v>
      </c>
      <c r="D5742">
        <v>1</v>
      </c>
      <c r="E5742" t="s">
        <v>2720</v>
      </c>
    </row>
    <row r="5743" spans="2:5">
      <c r="B5743" s="65" t="str">
        <f t="shared" si="89"/>
        <v>doc-x0630:2</v>
      </c>
      <c r="C5743" t="s">
        <v>10755</v>
      </c>
      <c r="D5743">
        <v>2</v>
      </c>
      <c r="E5743" t="s">
        <v>2600</v>
      </c>
    </row>
    <row r="5744" spans="2:5">
      <c r="B5744" s="65" t="str">
        <f t="shared" si="89"/>
        <v>doc-x0630:3</v>
      </c>
      <c r="C5744" t="s">
        <v>10755</v>
      </c>
      <c r="D5744">
        <v>3</v>
      </c>
      <c r="E5744" t="s">
        <v>2651</v>
      </c>
    </row>
    <row r="5745" spans="2:5">
      <c r="B5745" s="65" t="str">
        <f t="shared" si="89"/>
        <v>doc-x0630:4</v>
      </c>
      <c r="C5745" t="s">
        <v>10755</v>
      </c>
      <c r="D5745">
        <v>4</v>
      </c>
      <c r="E5745" t="s">
        <v>2670</v>
      </c>
    </row>
    <row r="5746" spans="2:5">
      <c r="B5746" s="65" t="str">
        <f t="shared" si="89"/>
        <v>doc-x0630:5</v>
      </c>
      <c r="C5746" t="s">
        <v>10755</v>
      </c>
      <c r="D5746">
        <v>5</v>
      </c>
      <c r="E5746" t="s">
        <v>2664</v>
      </c>
    </row>
    <row r="5747" spans="2:5">
      <c r="B5747" s="65" t="str">
        <f t="shared" si="89"/>
        <v>doc-x0632:1</v>
      </c>
      <c r="C5747" t="s">
        <v>10756</v>
      </c>
      <c r="D5747">
        <v>1</v>
      </c>
      <c r="E5747" t="s">
        <v>1962</v>
      </c>
    </row>
    <row r="5748" spans="2:5">
      <c r="B5748" s="65" t="str">
        <f t="shared" si="89"/>
        <v>doc-x0632:2</v>
      </c>
      <c r="C5748" t="s">
        <v>10756</v>
      </c>
      <c r="D5748">
        <v>2</v>
      </c>
      <c r="E5748" t="s">
        <v>1959</v>
      </c>
    </row>
    <row r="5749" spans="2:5">
      <c r="B5749" s="65" t="str">
        <f t="shared" si="89"/>
        <v>doc-x0634:1</v>
      </c>
      <c r="C5749" t="s">
        <v>10757</v>
      </c>
      <c r="D5749">
        <v>1</v>
      </c>
      <c r="E5749" t="s">
        <v>2073</v>
      </c>
    </row>
    <row r="5750" spans="2:5">
      <c r="B5750" s="65" t="str">
        <f t="shared" si="89"/>
        <v>doc-x0634:2</v>
      </c>
      <c r="C5750" t="s">
        <v>10757</v>
      </c>
      <c r="D5750">
        <v>2</v>
      </c>
      <c r="E5750" t="s">
        <v>2179</v>
      </c>
    </row>
    <row r="5751" spans="2:5">
      <c r="B5751" s="65" t="str">
        <f t="shared" si="89"/>
        <v>doc-x0634:3</v>
      </c>
      <c r="C5751" t="s">
        <v>10757</v>
      </c>
      <c r="D5751">
        <v>3</v>
      </c>
      <c r="E5751" t="s">
        <v>2121</v>
      </c>
    </row>
    <row r="5752" spans="2:5">
      <c r="B5752" s="65" t="str">
        <f t="shared" si="89"/>
        <v>doc-x0635:1</v>
      </c>
      <c r="C5752" t="s">
        <v>6582</v>
      </c>
      <c r="D5752">
        <v>1</v>
      </c>
      <c r="E5752" t="s">
        <v>2073</v>
      </c>
    </row>
    <row r="5753" spans="2:5">
      <c r="B5753" s="65" t="str">
        <f t="shared" si="89"/>
        <v>doc-x0635:2</v>
      </c>
      <c r="C5753" t="s">
        <v>6582</v>
      </c>
      <c r="D5753">
        <v>2</v>
      </c>
      <c r="E5753" t="s">
        <v>2179</v>
      </c>
    </row>
    <row r="5754" spans="2:5">
      <c r="B5754" s="65" t="str">
        <f t="shared" si="89"/>
        <v>doc-x0635:3</v>
      </c>
      <c r="C5754" t="s">
        <v>6582</v>
      </c>
      <c r="D5754">
        <v>3</v>
      </c>
      <c r="E5754" t="s">
        <v>2121</v>
      </c>
    </row>
    <row r="5755" spans="2:5">
      <c r="B5755" s="65" t="str">
        <f t="shared" si="89"/>
        <v>doc-x0638:1</v>
      </c>
      <c r="C5755" t="s">
        <v>10758</v>
      </c>
      <c r="D5755">
        <v>1</v>
      </c>
      <c r="E5755" t="s">
        <v>2407</v>
      </c>
    </row>
    <row r="5756" spans="2:5">
      <c r="B5756" s="65" t="str">
        <f t="shared" si="89"/>
        <v>doc-x0638:2</v>
      </c>
      <c r="C5756" t="s">
        <v>10758</v>
      </c>
      <c r="D5756">
        <v>2</v>
      </c>
      <c r="E5756" t="s">
        <v>2411</v>
      </c>
    </row>
    <row r="5757" spans="2:5">
      <c r="B5757" s="65" t="str">
        <f t="shared" si="89"/>
        <v>doc-x0640:1</v>
      </c>
      <c r="C5757" t="s">
        <v>10759</v>
      </c>
      <c r="D5757">
        <v>1</v>
      </c>
      <c r="E5757" t="s">
        <v>2810</v>
      </c>
    </row>
    <row r="5758" spans="2:5">
      <c r="B5758" s="65" t="str">
        <f t="shared" si="89"/>
        <v>doc-x0640:2</v>
      </c>
      <c r="C5758" t="s">
        <v>10759</v>
      </c>
      <c r="D5758">
        <v>2</v>
      </c>
      <c r="E5758" t="s">
        <v>2805</v>
      </c>
    </row>
    <row r="5759" spans="2:5">
      <c r="B5759" s="65" t="str">
        <f t="shared" si="89"/>
        <v>doc-x0640:3</v>
      </c>
      <c r="C5759" t="s">
        <v>10759</v>
      </c>
      <c r="D5759">
        <v>3</v>
      </c>
      <c r="E5759" t="s">
        <v>2799</v>
      </c>
    </row>
    <row r="5760" spans="2:5">
      <c r="B5760" s="65" t="str">
        <f t="shared" si="89"/>
        <v>doc-x0640:4</v>
      </c>
      <c r="C5760" t="s">
        <v>10759</v>
      </c>
      <c r="D5760">
        <v>4</v>
      </c>
      <c r="E5760" t="s">
        <v>2803</v>
      </c>
    </row>
    <row r="5761" spans="2:5">
      <c r="B5761" s="65" t="str">
        <f t="shared" si="89"/>
        <v>doc-x0640:5</v>
      </c>
      <c r="C5761" t="s">
        <v>10759</v>
      </c>
      <c r="D5761">
        <v>5</v>
      </c>
      <c r="E5761" t="s">
        <v>2776</v>
      </c>
    </row>
    <row r="5762" spans="2:5">
      <c r="B5762" s="65" t="str">
        <f t="shared" si="89"/>
        <v>doc-x0640:6</v>
      </c>
      <c r="C5762" t="s">
        <v>10759</v>
      </c>
      <c r="D5762">
        <v>6</v>
      </c>
      <c r="E5762" t="s">
        <v>1941</v>
      </c>
    </row>
    <row r="5763" spans="2:5">
      <c r="B5763" s="65" t="str">
        <f t="shared" si="89"/>
        <v>doc-x0647:1</v>
      </c>
      <c r="C5763" t="s">
        <v>6588</v>
      </c>
      <c r="D5763">
        <v>1</v>
      </c>
      <c r="E5763" t="s">
        <v>1944</v>
      </c>
    </row>
    <row r="5764" spans="2:5">
      <c r="B5764" s="65" t="str">
        <f t="shared" ref="B5764:B5827" si="90">$C5764&amp;":"&amp;$D5764</f>
        <v>doc-x0647:2</v>
      </c>
      <c r="C5764" t="s">
        <v>6588</v>
      </c>
      <c r="D5764">
        <v>2</v>
      </c>
      <c r="E5764" t="s">
        <v>1844</v>
      </c>
    </row>
    <row r="5765" spans="2:5">
      <c r="B5765" s="65" t="str">
        <f t="shared" si="90"/>
        <v>doc-x0647:3</v>
      </c>
      <c r="C5765" t="s">
        <v>6588</v>
      </c>
      <c r="D5765">
        <v>3</v>
      </c>
      <c r="E5765" t="s">
        <v>1941</v>
      </c>
    </row>
    <row r="5766" spans="2:5">
      <c r="B5766" s="65" t="str">
        <f t="shared" si="90"/>
        <v>doc-x0648:1</v>
      </c>
      <c r="C5766" t="s">
        <v>6592</v>
      </c>
      <c r="D5766">
        <v>1</v>
      </c>
      <c r="E5766" t="s">
        <v>2073</v>
      </c>
    </row>
    <row r="5767" spans="2:5">
      <c r="B5767" s="65" t="str">
        <f t="shared" si="90"/>
        <v>doc-x0648:2</v>
      </c>
      <c r="C5767" t="s">
        <v>6592</v>
      </c>
      <c r="D5767">
        <v>2</v>
      </c>
      <c r="E5767" t="s">
        <v>2179</v>
      </c>
    </row>
    <row r="5768" spans="2:5">
      <c r="B5768" s="65" t="str">
        <f t="shared" si="90"/>
        <v>doc-x0648:3</v>
      </c>
      <c r="C5768" t="s">
        <v>6592</v>
      </c>
      <c r="D5768">
        <v>3</v>
      </c>
      <c r="E5768" t="s">
        <v>2121</v>
      </c>
    </row>
    <row r="5769" spans="2:5">
      <c r="B5769" s="65" t="str">
        <f t="shared" si="90"/>
        <v>doc-x0653:1</v>
      </c>
      <c r="C5769" t="s">
        <v>10760</v>
      </c>
      <c r="D5769">
        <v>1</v>
      </c>
      <c r="E5769" t="s">
        <v>2720</v>
      </c>
    </row>
    <row r="5770" spans="2:5">
      <c r="B5770" s="65" t="str">
        <f t="shared" si="90"/>
        <v>doc-x0653:2</v>
      </c>
      <c r="C5770" t="s">
        <v>10760</v>
      </c>
      <c r="D5770">
        <v>2</v>
      </c>
      <c r="E5770" t="s">
        <v>2664</v>
      </c>
    </row>
    <row r="5771" spans="2:5">
      <c r="B5771" s="65" t="str">
        <f t="shared" si="90"/>
        <v>doc-x0653:3</v>
      </c>
      <c r="C5771" t="s">
        <v>10760</v>
      </c>
      <c r="D5771">
        <v>3</v>
      </c>
      <c r="E5771" t="s">
        <v>1833</v>
      </c>
    </row>
    <row r="5772" spans="2:5">
      <c r="B5772" s="65" t="str">
        <f t="shared" si="90"/>
        <v>doc-x0653:4</v>
      </c>
      <c r="C5772" t="s">
        <v>10760</v>
      </c>
      <c r="D5772">
        <v>4</v>
      </c>
      <c r="E5772" t="s">
        <v>1982</v>
      </c>
    </row>
    <row r="5773" spans="2:5">
      <c r="B5773" s="65" t="str">
        <f t="shared" si="90"/>
        <v>doc-x0657:1</v>
      </c>
      <c r="C5773" t="s">
        <v>10761</v>
      </c>
      <c r="D5773">
        <v>1</v>
      </c>
      <c r="E5773" t="s">
        <v>2686</v>
      </c>
    </row>
    <row r="5774" spans="2:5">
      <c r="B5774" s="65" t="str">
        <f t="shared" si="90"/>
        <v>doc-x0657:2</v>
      </c>
      <c r="C5774" t="s">
        <v>10761</v>
      </c>
      <c r="D5774">
        <v>2</v>
      </c>
      <c r="E5774" t="s">
        <v>2756</v>
      </c>
    </row>
    <row r="5775" spans="2:5">
      <c r="B5775" s="65" t="str">
        <f t="shared" si="90"/>
        <v>doc-x0657:3</v>
      </c>
      <c r="C5775" t="s">
        <v>10761</v>
      </c>
      <c r="D5775">
        <v>3</v>
      </c>
      <c r="E5775" t="s">
        <v>2589</v>
      </c>
    </row>
    <row r="5776" spans="2:5">
      <c r="B5776" s="65" t="str">
        <f t="shared" si="90"/>
        <v>doc-x0657:4</v>
      </c>
      <c r="C5776" t="s">
        <v>10761</v>
      </c>
      <c r="D5776">
        <v>4</v>
      </c>
      <c r="E5776" t="s">
        <v>2664</v>
      </c>
    </row>
    <row r="5777" spans="2:5">
      <c r="B5777" s="65" t="str">
        <f t="shared" si="90"/>
        <v>doc-x0657:5</v>
      </c>
      <c r="C5777" t="s">
        <v>10761</v>
      </c>
      <c r="D5777">
        <v>5</v>
      </c>
      <c r="E5777" t="s">
        <v>2759</v>
      </c>
    </row>
    <row r="5778" spans="2:5">
      <c r="B5778" s="65" t="str">
        <f t="shared" si="90"/>
        <v>doc-x0660:1</v>
      </c>
      <c r="C5778" t="s">
        <v>10762</v>
      </c>
      <c r="D5778">
        <v>1</v>
      </c>
      <c r="E5778" t="s">
        <v>92</v>
      </c>
    </row>
    <row r="5779" spans="2:5">
      <c r="B5779" s="65" t="str">
        <f t="shared" si="90"/>
        <v>doc-x0660:2</v>
      </c>
      <c r="C5779" t="s">
        <v>10762</v>
      </c>
      <c r="D5779">
        <v>2</v>
      </c>
      <c r="E5779" t="s">
        <v>101</v>
      </c>
    </row>
    <row r="5780" spans="2:5">
      <c r="B5780" s="65" t="str">
        <f t="shared" si="90"/>
        <v>doc-x0661:1</v>
      </c>
      <c r="C5780" t="s">
        <v>10763</v>
      </c>
      <c r="D5780">
        <v>1</v>
      </c>
      <c r="E5780" t="s">
        <v>1461</v>
      </c>
    </row>
    <row r="5781" spans="2:5">
      <c r="B5781" s="65" t="str">
        <f t="shared" si="90"/>
        <v>doc-x0661:2</v>
      </c>
      <c r="C5781" t="s">
        <v>10763</v>
      </c>
      <c r="D5781">
        <v>2</v>
      </c>
      <c r="E5781" t="s">
        <v>2720</v>
      </c>
    </row>
    <row r="5782" spans="2:5">
      <c r="B5782" s="65" t="str">
        <f t="shared" si="90"/>
        <v>doc-x0661:3</v>
      </c>
      <c r="C5782" t="s">
        <v>10763</v>
      </c>
      <c r="D5782">
        <v>3</v>
      </c>
      <c r="E5782" t="s">
        <v>90</v>
      </c>
    </row>
    <row r="5783" spans="2:5">
      <c r="B5783" s="65" t="str">
        <f t="shared" si="90"/>
        <v>doc-x0661:4</v>
      </c>
      <c r="C5783" t="s">
        <v>10763</v>
      </c>
      <c r="D5783">
        <v>4</v>
      </c>
      <c r="E5783" t="s">
        <v>1108</v>
      </c>
    </row>
    <row r="5784" spans="2:5">
      <c r="B5784" s="65" t="str">
        <f t="shared" si="90"/>
        <v>doc-x0661:5</v>
      </c>
      <c r="C5784" t="s">
        <v>10763</v>
      </c>
      <c r="D5784">
        <v>5</v>
      </c>
      <c r="E5784" t="s">
        <v>299</v>
      </c>
    </row>
    <row r="5785" spans="2:5">
      <c r="B5785" s="65" t="str">
        <f t="shared" si="90"/>
        <v>doc-x0661:6</v>
      </c>
      <c r="C5785" t="s">
        <v>10763</v>
      </c>
      <c r="D5785">
        <v>6</v>
      </c>
      <c r="E5785" t="s">
        <v>2960</v>
      </c>
    </row>
    <row r="5786" spans="2:5">
      <c r="B5786" s="65" t="str">
        <f t="shared" si="90"/>
        <v>doc-x0661:7</v>
      </c>
      <c r="C5786" t="s">
        <v>10763</v>
      </c>
      <c r="D5786">
        <v>7</v>
      </c>
      <c r="E5786" t="s">
        <v>1119</v>
      </c>
    </row>
    <row r="5787" spans="2:5">
      <c r="B5787" s="65" t="str">
        <f t="shared" si="90"/>
        <v>doc-x0664:1</v>
      </c>
      <c r="C5787" t="s">
        <v>6598</v>
      </c>
      <c r="D5787">
        <v>1</v>
      </c>
      <c r="E5787" t="s">
        <v>3080</v>
      </c>
    </row>
    <row r="5788" spans="2:5">
      <c r="B5788" s="65" t="str">
        <f t="shared" si="90"/>
        <v>doc-x0664:2</v>
      </c>
      <c r="C5788" t="s">
        <v>6598</v>
      </c>
      <c r="D5788">
        <v>2</v>
      </c>
      <c r="E5788" t="s">
        <v>3075</v>
      </c>
    </row>
    <row r="5789" spans="2:5">
      <c r="B5789" s="65" t="str">
        <f t="shared" si="90"/>
        <v>doc-x0668:1</v>
      </c>
      <c r="C5789" t="s">
        <v>10764</v>
      </c>
      <c r="D5789">
        <v>1</v>
      </c>
      <c r="E5789" t="s">
        <v>1872</v>
      </c>
    </row>
    <row r="5790" spans="2:5">
      <c r="B5790" s="65" t="str">
        <f t="shared" si="90"/>
        <v>doc-x0668:2</v>
      </c>
      <c r="C5790" t="s">
        <v>10764</v>
      </c>
      <c r="D5790">
        <v>2</v>
      </c>
      <c r="E5790" t="s">
        <v>1982</v>
      </c>
    </row>
    <row r="5791" spans="2:5">
      <c r="B5791" s="65" t="str">
        <f t="shared" si="90"/>
        <v>doc-x0668:3</v>
      </c>
      <c r="C5791" t="s">
        <v>10764</v>
      </c>
      <c r="D5791">
        <v>3</v>
      </c>
      <c r="E5791" t="s">
        <v>1985</v>
      </c>
    </row>
    <row r="5792" spans="2:5">
      <c r="B5792" s="65" t="str">
        <f t="shared" si="90"/>
        <v>doc-x0668:4</v>
      </c>
      <c r="C5792" t="s">
        <v>10764</v>
      </c>
      <c r="D5792">
        <v>4</v>
      </c>
      <c r="E5792" t="s">
        <v>1916</v>
      </c>
    </row>
    <row r="5793" spans="2:5">
      <c r="B5793" s="65" t="str">
        <f t="shared" si="90"/>
        <v>doc-x0668:5</v>
      </c>
      <c r="C5793" t="s">
        <v>10764</v>
      </c>
      <c r="D5793">
        <v>5</v>
      </c>
      <c r="E5793" t="s">
        <v>2003</v>
      </c>
    </row>
    <row r="5794" spans="2:5">
      <c r="B5794" s="65" t="str">
        <f t="shared" si="90"/>
        <v>doc-x0669:1</v>
      </c>
      <c r="C5794" t="s">
        <v>10765</v>
      </c>
      <c r="D5794">
        <v>1</v>
      </c>
      <c r="E5794" t="s">
        <v>1880</v>
      </c>
    </row>
    <row r="5795" spans="2:5">
      <c r="B5795" s="65" t="str">
        <f t="shared" si="90"/>
        <v>doc-x0669:2</v>
      </c>
      <c r="C5795" t="s">
        <v>10765</v>
      </c>
      <c r="D5795">
        <v>2</v>
      </c>
      <c r="E5795" t="s">
        <v>1911</v>
      </c>
    </row>
    <row r="5796" spans="2:5">
      <c r="B5796" s="65" t="str">
        <f t="shared" si="90"/>
        <v>doc-x0669:3</v>
      </c>
      <c r="C5796" t="s">
        <v>10765</v>
      </c>
      <c r="D5796">
        <v>3</v>
      </c>
      <c r="E5796" t="s">
        <v>2718</v>
      </c>
    </row>
    <row r="5797" spans="2:5">
      <c r="B5797" s="65" t="str">
        <f t="shared" si="90"/>
        <v>doc-x0670:1</v>
      </c>
      <c r="C5797" t="s">
        <v>10766</v>
      </c>
      <c r="D5797">
        <v>1</v>
      </c>
      <c r="E5797" t="s">
        <v>1856</v>
      </c>
    </row>
    <row r="5798" spans="2:5">
      <c r="B5798" s="65" t="str">
        <f t="shared" si="90"/>
        <v>doc-x0671:1</v>
      </c>
      <c r="C5798" t="s">
        <v>10767</v>
      </c>
      <c r="D5798">
        <v>1</v>
      </c>
      <c r="E5798" t="s">
        <v>1844</v>
      </c>
    </row>
    <row r="5799" spans="2:5">
      <c r="B5799" s="65" t="str">
        <f t="shared" si="90"/>
        <v>doc-x0671:2</v>
      </c>
      <c r="C5799" t="s">
        <v>10767</v>
      </c>
      <c r="D5799">
        <v>2</v>
      </c>
      <c r="E5799" t="s">
        <v>1798</v>
      </c>
    </row>
    <row r="5800" spans="2:5">
      <c r="B5800" s="65" t="str">
        <f t="shared" si="90"/>
        <v>doc-x0671:3</v>
      </c>
      <c r="C5800" t="s">
        <v>10767</v>
      </c>
      <c r="D5800">
        <v>3</v>
      </c>
      <c r="E5800" t="s">
        <v>1813</v>
      </c>
    </row>
    <row r="5801" spans="2:5">
      <c r="B5801" s="65" t="str">
        <f t="shared" si="90"/>
        <v>doc-x0671:4</v>
      </c>
      <c r="C5801" t="s">
        <v>10767</v>
      </c>
      <c r="D5801">
        <v>4</v>
      </c>
      <c r="E5801" t="s">
        <v>1941</v>
      </c>
    </row>
    <row r="5802" spans="2:5">
      <c r="B5802" s="65" t="str">
        <f t="shared" si="90"/>
        <v>doc-x0672:1</v>
      </c>
      <c r="C5802" t="s">
        <v>10768</v>
      </c>
      <c r="D5802">
        <v>1</v>
      </c>
      <c r="E5802" t="s">
        <v>1674</v>
      </c>
    </row>
    <row r="5803" spans="2:5">
      <c r="B5803" s="65" t="str">
        <f t="shared" si="90"/>
        <v>doc-x0672:2</v>
      </c>
      <c r="C5803" t="s">
        <v>10768</v>
      </c>
      <c r="D5803">
        <v>2</v>
      </c>
      <c r="E5803" t="s">
        <v>1679</v>
      </c>
    </row>
    <row r="5804" spans="2:5">
      <c r="B5804" s="65" t="str">
        <f t="shared" si="90"/>
        <v>doc-x0672:3</v>
      </c>
      <c r="C5804" t="s">
        <v>10768</v>
      </c>
      <c r="D5804">
        <v>3</v>
      </c>
      <c r="E5804" t="s">
        <v>1696</v>
      </c>
    </row>
    <row r="5805" spans="2:5">
      <c r="B5805" s="65" t="str">
        <f t="shared" si="90"/>
        <v>doc-x0673:1</v>
      </c>
      <c r="C5805" t="s">
        <v>10769</v>
      </c>
      <c r="D5805">
        <v>1</v>
      </c>
      <c r="E5805" t="s">
        <v>1856</v>
      </c>
    </row>
    <row r="5806" spans="2:5">
      <c r="B5806" s="65" t="str">
        <f t="shared" si="90"/>
        <v>doc-x0673:2</v>
      </c>
      <c r="C5806" t="s">
        <v>10769</v>
      </c>
      <c r="D5806">
        <v>2</v>
      </c>
      <c r="E5806" t="s">
        <v>92</v>
      </c>
    </row>
    <row r="5807" spans="2:5">
      <c r="B5807" s="65" t="str">
        <f t="shared" si="90"/>
        <v>doc-x0674:1</v>
      </c>
      <c r="C5807" t="s">
        <v>10770</v>
      </c>
      <c r="D5807">
        <v>1</v>
      </c>
      <c r="E5807" t="s">
        <v>2027</v>
      </c>
    </row>
    <row r="5808" spans="2:5">
      <c r="B5808" s="65" t="str">
        <f t="shared" si="90"/>
        <v>doc-x0674:2</v>
      </c>
      <c r="C5808" t="s">
        <v>10770</v>
      </c>
      <c r="D5808">
        <v>2</v>
      </c>
      <c r="E5808" t="s">
        <v>1856</v>
      </c>
    </row>
    <row r="5809" spans="2:5">
      <c r="B5809" s="65" t="str">
        <f t="shared" si="90"/>
        <v>doc-x0674:3</v>
      </c>
      <c r="C5809" t="s">
        <v>10770</v>
      </c>
      <c r="D5809">
        <v>3</v>
      </c>
      <c r="E5809" t="s">
        <v>1073</v>
      </c>
    </row>
    <row r="5810" spans="2:5">
      <c r="B5810" s="65" t="str">
        <f t="shared" si="90"/>
        <v>doc-x0674:4</v>
      </c>
      <c r="C5810" t="s">
        <v>10770</v>
      </c>
      <c r="D5810">
        <v>4</v>
      </c>
      <c r="E5810" t="s">
        <v>296</v>
      </c>
    </row>
    <row r="5811" spans="2:5">
      <c r="B5811" s="65" t="str">
        <f t="shared" si="90"/>
        <v>doc-x0677:1</v>
      </c>
      <c r="C5811" t="s">
        <v>6610</v>
      </c>
      <c r="D5811">
        <v>1</v>
      </c>
      <c r="E5811" t="s">
        <v>1950</v>
      </c>
    </row>
    <row r="5812" spans="2:5">
      <c r="B5812" s="65" t="str">
        <f t="shared" si="90"/>
        <v>doc-x0677:2</v>
      </c>
      <c r="C5812" t="s">
        <v>6610</v>
      </c>
      <c r="D5812">
        <v>2</v>
      </c>
      <c r="E5812" t="s">
        <v>1911</v>
      </c>
    </row>
    <row r="5813" spans="2:5">
      <c r="B5813" s="65" t="str">
        <f t="shared" si="90"/>
        <v>doc-x0677:3</v>
      </c>
      <c r="C5813" t="s">
        <v>6610</v>
      </c>
      <c r="D5813">
        <v>3</v>
      </c>
      <c r="E5813" t="s">
        <v>2030</v>
      </c>
    </row>
    <row r="5814" spans="2:5">
      <c r="B5814" s="65" t="str">
        <f t="shared" si="90"/>
        <v>doc-x0677:4</v>
      </c>
      <c r="C5814" t="s">
        <v>6610</v>
      </c>
      <c r="D5814">
        <v>4</v>
      </c>
      <c r="E5814" t="s">
        <v>1944</v>
      </c>
    </row>
    <row r="5815" spans="2:5">
      <c r="B5815" s="65" t="str">
        <f t="shared" si="90"/>
        <v>doc-x0678:1</v>
      </c>
      <c r="C5815" t="s">
        <v>6604</v>
      </c>
      <c r="D5815">
        <v>1</v>
      </c>
      <c r="E5815" t="s">
        <v>1950</v>
      </c>
    </row>
    <row r="5816" spans="2:5">
      <c r="B5816" s="65" t="str">
        <f t="shared" si="90"/>
        <v>doc-x0678:2</v>
      </c>
      <c r="C5816" t="s">
        <v>6604</v>
      </c>
      <c r="D5816">
        <v>2</v>
      </c>
      <c r="E5816" t="s">
        <v>1911</v>
      </c>
    </row>
    <row r="5817" spans="2:5">
      <c r="B5817" s="65" t="str">
        <f t="shared" si="90"/>
        <v>doc-x0678:3</v>
      </c>
      <c r="C5817" t="s">
        <v>6604</v>
      </c>
      <c r="D5817">
        <v>3</v>
      </c>
      <c r="E5817" t="s">
        <v>2030</v>
      </c>
    </row>
    <row r="5818" spans="2:5">
      <c r="B5818" s="65" t="str">
        <f t="shared" si="90"/>
        <v>doc-x0678:4</v>
      </c>
      <c r="C5818" t="s">
        <v>6604</v>
      </c>
      <c r="D5818">
        <v>4</v>
      </c>
      <c r="E5818" t="s">
        <v>1944</v>
      </c>
    </row>
    <row r="5819" spans="2:5">
      <c r="B5819" s="65" t="str">
        <f t="shared" si="90"/>
        <v>doc-x0685:1</v>
      </c>
      <c r="C5819" t="s">
        <v>10771</v>
      </c>
      <c r="D5819">
        <v>1</v>
      </c>
      <c r="E5819" t="s">
        <v>2230</v>
      </c>
    </row>
    <row r="5820" spans="2:5">
      <c r="B5820" s="65" t="str">
        <f t="shared" si="90"/>
        <v>doc-x0685:2</v>
      </c>
      <c r="C5820" t="s">
        <v>10771</v>
      </c>
      <c r="D5820">
        <v>2</v>
      </c>
      <c r="E5820" t="s">
        <v>1224</v>
      </c>
    </row>
    <row r="5821" spans="2:5">
      <c r="B5821" s="65" t="str">
        <f t="shared" si="90"/>
        <v>doc-x0685:3</v>
      </c>
      <c r="C5821" t="s">
        <v>10771</v>
      </c>
      <c r="D5821">
        <v>3</v>
      </c>
      <c r="E5821" t="s">
        <v>1216</v>
      </c>
    </row>
    <row r="5822" spans="2:5">
      <c r="B5822" s="65" t="str">
        <f t="shared" si="90"/>
        <v>doc-x0691:1</v>
      </c>
      <c r="C5822" t="s">
        <v>10772</v>
      </c>
      <c r="D5822">
        <v>1</v>
      </c>
      <c r="E5822" t="s">
        <v>2026</v>
      </c>
    </row>
    <row r="5823" spans="2:5">
      <c r="B5823" s="65" t="str">
        <f t="shared" si="90"/>
        <v>doc-x0691:2</v>
      </c>
      <c r="C5823" t="s">
        <v>10772</v>
      </c>
      <c r="D5823">
        <v>2</v>
      </c>
      <c r="E5823" t="s">
        <v>1941</v>
      </c>
    </row>
    <row r="5824" spans="2:5">
      <c r="B5824" s="65" t="str">
        <f t="shared" si="90"/>
        <v>doc-x0691:3</v>
      </c>
      <c r="C5824" t="s">
        <v>10772</v>
      </c>
      <c r="D5824">
        <v>3</v>
      </c>
      <c r="E5824" t="s">
        <v>1844</v>
      </c>
    </row>
    <row r="5825" spans="2:5">
      <c r="B5825" s="65" t="str">
        <f t="shared" si="90"/>
        <v>doc-x0691:4</v>
      </c>
      <c r="C5825" t="s">
        <v>10772</v>
      </c>
      <c r="D5825">
        <v>4</v>
      </c>
      <c r="E5825" t="s">
        <v>1632</v>
      </c>
    </row>
    <row r="5826" spans="2:5">
      <c r="B5826" s="65" t="str">
        <f t="shared" si="90"/>
        <v>doc-x0705:1</v>
      </c>
      <c r="C5826" t="s">
        <v>10773</v>
      </c>
      <c r="D5826">
        <v>1</v>
      </c>
      <c r="E5826" t="s">
        <v>2003</v>
      </c>
    </row>
    <row r="5827" spans="2:5">
      <c r="B5827" s="65" t="str">
        <f t="shared" si="90"/>
        <v>doc-x0705:2</v>
      </c>
      <c r="C5827" t="s">
        <v>10773</v>
      </c>
      <c r="D5827">
        <v>2</v>
      </c>
      <c r="E5827" t="s">
        <v>1985</v>
      </c>
    </row>
    <row r="5828" spans="2:5">
      <c r="B5828" s="65" t="str">
        <f t="shared" ref="B5828:B5891" si="91">$C5828&amp;":"&amp;$D5828</f>
        <v>doc-x0705:3</v>
      </c>
      <c r="C5828" t="s">
        <v>10773</v>
      </c>
      <c r="D5828">
        <v>3</v>
      </c>
      <c r="E5828" t="s">
        <v>1861</v>
      </c>
    </row>
    <row r="5829" spans="2:5">
      <c r="B5829" s="65" t="str">
        <f t="shared" si="91"/>
        <v>doc-x0705:4</v>
      </c>
      <c r="C5829" t="s">
        <v>10773</v>
      </c>
      <c r="D5829">
        <v>4</v>
      </c>
      <c r="E5829" t="s">
        <v>1982</v>
      </c>
    </row>
    <row r="5830" spans="2:5">
      <c r="B5830" s="65" t="str">
        <f t="shared" si="91"/>
        <v>doc-x0705:5</v>
      </c>
      <c r="C5830" t="s">
        <v>10773</v>
      </c>
      <c r="D5830">
        <v>5</v>
      </c>
      <c r="E5830" t="s">
        <v>1872</v>
      </c>
    </row>
    <row r="5831" spans="2:5">
      <c r="B5831" s="65" t="str">
        <f t="shared" si="91"/>
        <v>doc-x0707:1</v>
      </c>
      <c r="C5831" t="s">
        <v>10774</v>
      </c>
      <c r="D5831">
        <v>1</v>
      </c>
      <c r="E5831" t="s">
        <v>1315</v>
      </c>
    </row>
    <row r="5832" spans="2:5">
      <c r="B5832" s="65" t="str">
        <f t="shared" si="91"/>
        <v>doc-x0707:2</v>
      </c>
      <c r="C5832" t="s">
        <v>10774</v>
      </c>
      <c r="D5832">
        <v>2</v>
      </c>
      <c r="E5832" t="s">
        <v>1304</v>
      </c>
    </row>
    <row r="5833" spans="2:5">
      <c r="B5833" s="65" t="str">
        <f t="shared" si="91"/>
        <v>doc-x0707:3</v>
      </c>
      <c r="C5833" t="s">
        <v>10774</v>
      </c>
      <c r="D5833">
        <v>3</v>
      </c>
      <c r="E5833" t="s">
        <v>1628</v>
      </c>
    </row>
    <row r="5834" spans="2:5">
      <c r="B5834" s="65" t="str">
        <f t="shared" si="91"/>
        <v>doc-x0707:4</v>
      </c>
      <c r="C5834" t="s">
        <v>10774</v>
      </c>
      <c r="D5834">
        <v>4</v>
      </c>
      <c r="E5834" t="s">
        <v>254</v>
      </c>
    </row>
    <row r="5835" spans="2:5">
      <c r="B5835" s="65" t="str">
        <f t="shared" si="91"/>
        <v>doc-x0707:5</v>
      </c>
      <c r="C5835" t="s">
        <v>10774</v>
      </c>
      <c r="D5835">
        <v>5</v>
      </c>
      <c r="E5835" t="s">
        <v>1896</v>
      </c>
    </row>
    <row r="5836" spans="2:5">
      <c r="B5836" s="65" t="str">
        <f t="shared" si="91"/>
        <v>doc-x0707:6</v>
      </c>
      <c r="C5836" t="s">
        <v>10774</v>
      </c>
      <c r="D5836">
        <v>6</v>
      </c>
      <c r="E5836" t="s">
        <v>1941</v>
      </c>
    </row>
    <row r="5837" spans="2:5">
      <c r="B5837" s="65" t="str">
        <f t="shared" si="91"/>
        <v>doc-x0709:1</v>
      </c>
      <c r="C5837" t="s">
        <v>6611</v>
      </c>
      <c r="D5837">
        <v>1</v>
      </c>
      <c r="E5837" t="s">
        <v>2033</v>
      </c>
    </row>
    <row r="5838" spans="2:5">
      <c r="B5838" s="65" t="str">
        <f t="shared" si="91"/>
        <v>doc-x0709:2</v>
      </c>
      <c r="C5838" t="s">
        <v>6611</v>
      </c>
      <c r="D5838">
        <v>2</v>
      </c>
      <c r="E5838" t="s">
        <v>2026</v>
      </c>
    </row>
    <row r="5839" spans="2:5">
      <c r="B5839" s="65" t="str">
        <f t="shared" si="91"/>
        <v>doc-x0709:3</v>
      </c>
      <c r="C5839" t="s">
        <v>6611</v>
      </c>
      <c r="D5839">
        <v>3</v>
      </c>
      <c r="E5839" t="s">
        <v>1924</v>
      </c>
    </row>
    <row r="5840" spans="2:5">
      <c r="B5840" s="65" t="str">
        <f t="shared" si="91"/>
        <v>doc-x0709:4</v>
      </c>
      <c r="C5840" t="s">
        <v>6611</v>
      </c>
      <c r="D5840">
        <v>4</v>
      </c>
      <c r="E5840" t="s">
        <v>1864</v>
      </c>
    </row>
    <row r="5841" spans="2:5">
      <c r="B5841" s="65" t="str">
        <f t="shared" si="91"/>
        <v>doc-x0709:5</v>
      </c>
      <c r="C5841" t="s">
        <v>6611</v>
      </c>
      <c r="D5841">
        <v>5</v>
      </c>
      <c r="E5841" t="s">
        <v>1899</v>
      </c>
    </row>
    <row r="5842" spans="2:5">
      <c r="B5842" s="65" t="str">
        <f t="shared" si="91"/>
        <v>doc-x0709:6</v>
      </c>
      <c r="C5842" t="s">
        <v>6611</v>
      </c>
      <c r="D5842">
        <v>6</v>
      </c>
      <c r="E5842" t="s">
        <v>1997</v>
      </c>
    </row>
    <row r="5843" spans="2:5">
      <c r="B5843" s="65" t="str">
        <f t="shared" si="91"/>
        <v>doc-x0711:1</v>
      </c>
      <c r="C5843" t="s">
        <v>10775</v>
      </c>
      <c r="D5843">
        <v>1</v>
      </c>
      <c r="E5843" t="s">
        <v>2241</v>
      </c>
    </row>
    <row r="5844" spans="2:5">
      <c r="B5844" s="65" t="str">
        <f t="shared" si="91"/>
        <v>doc-x0711:2</v>
      </c>
      <c r="C5844" t="s">
        <v>10775</v>
      </c>
      <c r="D5844">
        <v>2</v>
      </c>
      <c r="E5844" t="s">
        <v>3183</v>
      </c>
    </row>
    <row r="5845" spans="2:5">
      <c r="B5845" s="65" t="str">
        <f t="shared" si="91"/>
        <v>doc-x0711:3</v>
      </c>
      <c r="C5845" t="s">
        <v>10775</v>
      </c>
      <c r="D5845">
        <v>3</v>
      </c>
      <c r="E5845" t="s">
        <v>2146</v>
      </c>
    </row>
    <row r="5846" spans="2:5">
      <c r="B5846" s="65" t="str">
        <f t="shared" si="91"/>
        <v>doc-x0711:4</v>
      </c>
      <c r="C5846" t="s">
        <v>10775</v>
      </c>
      <c r="D5846">
        <v>4</v>
      </c>
      <c r="E5846" t="s">
        <v>2064</v>
      </c>
    </row>
    <row r="5847" spans="2:5">
      <c r="B5847" s="65" t="str">
        <f t="shared" si="91"/>
        <v>doc-x0716:1</v>
      </c>
      <c r="C5847" t="s">
        <v>10776</v>
      </c>
      <c r="D5847">
        <v>1</v>
      </c>
      <c r="E5847" t="s">
        <v>2843</v>
      </c>
    </row>
    <row r="5848" spans="2:5">
      <c r="B5848" s="65" t="str">
        <f t="shared" si="91"/>
        <v>doc-x0716:2</v>
      </c>
      <c r="C5848" t="s">
        <v>10776</v>
      </c>
      <c r="D5848">
        <v>2</v>
      </c>
      <c r="E5848" t="s">
        <v>2847</v>
      </c>
    </row>
    <row r="5849" spans="2:5">
      <c r="B5849" s="65" t="str">
        <f t="shared" si="91"/>
        <v>doc-x0717:1</v>
      </c>
      <c r="C5849" t="s">
        <v>10777</v>
      </c>
      <c r="D5849">
        <v>1</v>
      </c>
      <c r="E5849" t="s">
        <v>1856</v>
      </c>
    </row>
    <row r="5850" spans="2:5">
      <c r="B5850" s="65" t="str">
        <f t="shared" si="91"/>
        <v>doc-x0718:1</v>
      </c>
      <c r="C5850" t="s">
        <v>10778</v>
      </c>
      <c r="D5850">
        <v>1</v>
      </c>
      <c r="E5850" t="s">
        <v>1343</v>
      </c>
    </row>
    <row r="5851" spans="2:5">
      <c r="B5851" s="65" t="str">
        <f t="shared" si="91"/>
        <v>doc-x0718:2</v>
      </c>
      <c r="C5851" t="s">
        <v>10778</v>
      </c>
      <c r="D5851">
        <v>2</v>
      </c>
      <c r="E5851" t="s">
        <v>1346</v>
      </c>
    </row>
    <row r="5852" spans="2:5">
      <c r="B5852" s="65" t="str">
        <f t="shared" si="91"/>
        <v>doc-x0718:3</v>
      </c>
      <c r="C5852" t="s">
        <v>10778</v>
      </c>
      <c r="D5852">
        <v>3</v>
      </c>
      <c r="E5852" t="s">
        <v>1352</v>
      </c>
    </row>
    <row r="5853" spans="2:5">
      <c r="B5853" s="65" t="str">
        <f t="shared" si="91"/>
        <v>doc-x0718:4</v>
      </c>
      <c r="C5853" t="s">
        <v>10778</v>
      </c>
      <c r="D5853">
        <v>4</v>
      </c>
      <c r="E5853" t="s">
        <v>1355</v>
      </c>
    </row>
    <row r="5854" spans="2:5">
      <c r="B5854" s="65" t="str">
        <f t="shared" si="91"/>
        <v>doc-x0718:5</v>
      </c>
      <c r="C5854" t="s">
        <v>10778</v>
      </c>
      <c r="D5854">
        <v>5</v>
      </c>
      <c r="E5854" t="s">
        <v>1773</v>
      </c>
    </row>
    <row r="5855" spans="2:5">
      <c r="B5855" s="65" t="str">
        <f t="shared" si="91"/>
        <v>doc-x0718:6</v>
      </c>
      <c r="C5855" t="s">
        <v>10778</v>
      </c>
      <c r="D5855">
        <v>6</v>
      </c>
      <c r="E5855" t="s">
        <v>101</v>
      </c>
    </row>
    <row r="5856" spans="2:5">
      <c r="B5856" s="65" t="str">
        <f t="shared" si="91"/>
        <v>doc-x0718:7</v>
      </c>
      <c r="C5856" t="s">
        <v>10778</v>
      </c>
      <c r="D5856">
        <v>7</v>
      </c>
      <c r="E5856" t="s">
        <v>92</v>
      </c>
    </row>
    <row r="5857" spans="2:5">
      <c r="B5857" s="65" t="str">
        <f t="shared" si="91"/>
        <v>doc-x0719:1</v>
      </c>
      <c r="C5857" t="s">
        <v>10779</v>
      </c>
      <c r="D5857">
        <v>1</v>
      </c>
      <c r="E5857" t="s">
        <v>2026</v>
      </c>
    </row>
    <row r="5858" spans="2:5">
      <c r="B5858" s="65" t="str">
        <f t="shared" si="91"/>
        <v>doc-x0719:2</v>
      </c>
      <c r="C5858" t="s">
        <v>10779</v>
      </c>
      <c r="D5858">
        <v>2</v>
      </c>
      <c r="E5858" t="s">
        <v>1941</v>
      </c>
    </row>
    <row r="5859" spans="2:5">
      <c r="B5859" s="65" t="str">
        <f t="shared" si="91"/>
        <v>doc-x0719:3</v>
      </c>
      <c r="C5859" t="s">
        <v>10779</v>
      </c>
      <c r="D5859">
        <v>3</v>
      </c>
      <c r="E5859" t="s">
        <v>1844</v>
      </c>
    </row>
    <row r="5860" spans="2:5">
      <c r="B5860" s="65" t="str">
        <f t="shared" si="91"/>
        <v>doc-x0720:1</v>
      </c>
      <c r="C5860" t="s">
        <v>10780</v>
      </c>
      <c r="D5860">
        <v>1</v>
      </c>
      <c r="E5860" t="s">
        <v>2289</v>
      </c>
    </row>
    <row r="5861" spans="2:5">
      <c r="B5861" s="65" t="str">
        <f t="shared" si="91"/>
        <v>doc-x0720:2</v>
      </c>
      <c r="C5861" t="s">
        <v>10780</v>
      </c>
      <c r="D5861">
        <v>2</v>
      </c>
      <c r="E5861" t="s">
        <v>281</v>
      </c>
    </row>
    <row r="5862" spans="2:5">
      <c r="B5862" s="65" t="str">
        <f t="shared" si="91"/>
        <v>doc-x0722:1</v>
      </c>
      <c r="C5862" t="s">
        <v>10781</v>
      </c>
      <c r="D5862">
        <v>1</v>
      </c>
      <c r="E5862" t="s">
        <v>92</v>
      </c>
    </row>
    <row r="5863" spans="2:5">
      <c r="B5863" s="65" t="str">
        <f t="shared" si="91"/>
        <v>doc-x0722:2</v>
      </c>
      <c r="C5863" t="s">
        <v>10781</v>
      </c>
      <c r="D5863">
        <v>2</v>
      </c>
      <c r="E5863" t="s">
        <v>101</v>
      </c>
    </row>
    <row r="5864" spans="2:5">
      <c r="B5864" s="65" t="str">
        <f t="shared" si="91"/>
        <v>doc-x0722:3</v>
      </c>
      <c r="C5864" t="s">
        <v>10781</v>
      </c>
      <c r="D5864">
        <v>3</v>
      </c>
      <c r="E5864" t="s">
        <v>85</v>
      </c>
    </row>
    <row r="5865" spans="2:5">
      <c r="B5865" s="65" t="str">
        <f t="shared" si="91"/>
        <v>doc-x0723:1</v>
      </c>
      <c r="C5865" t="s">
        <v>10782</v>
      </c>
      <c r="D5865">
        <v>1</v>
      </c>
      <c r="E5865" t="s">
        <v>1409</v>
      </c>
    </row>
    <row r="5866" spans="2:5">
      <c r="B5866" s="65" t="str">
        <f t="shared" si="91"/>
        <v>doc-x0723:2</v>
      </c>
      <c r="C5866" t="s">
        <v>10782</v>
      </c>
      <c r="D5866">
        <v>2</v>
      </c>
      <c r="E5866" t="s">
        <v>2009</v>
      </c>
    </row>
    <row r="5867" spans="2:5">
      <c r="B5867" s="65" t="str">
        <f t="shared" si="91"/>
        <v>doc-x0723:3</v>
      </c>
      <c r="C5867" t="s">
        <v>10782</v>
      </c>
      <c r="D5867">
        <v>3</v>
      </c>
      <c r="E5867" t="s">
        <v>1883</v>
      </c>
    </row>
    <row r="5868" spans="2:5">
      <c r="B5868" s="65" t="str">
        <f t="shared" si="91"/>
        <v>doc-x0723:4</v>
      </c>
      <c r="C5868" t="s">
        <v>10782</v>
      </c>
      <c r="D5868">
        <v>4</v>
      </c>
      <c r="E5868" t="s">
        <v>2017</v>
      </c>
    </row>
    <row r="5869" spans="2:5">
      <c r="B5869" s="65" t="str">
        <f t="shared" si="91"/>
        <v>doc-x0725:1</v>
      </c>
      <c r="C5869" t="s">
        <v>10783</v>
      </c>
      <c r="D5869">
        <v>1</v>
      </c>
      <c r="E5869" t="s">
        <v>1401</v>
      </c>
    </row>
    <row r="5870" spans="2:5">
      <c r="B5870" s="65" t="str">
        <f t="shared" si="91"/>
        <v>doc-x0725:2</v>
      </c>
      <c r="C5870" t="s">
        <v>10783</v>
      </c>
      <c r="D5870">
        <v>2</v>
      </c>
      <c r="E5870" t="s">
        <v>2560</v>
      </c>
    </row>
    <row r="5871" spans="2:5">
      <c r="B5871" s="65" t="str">
        <f t="shared" si="91"/>
        <v>doc-x0725:3</v>
      </c>
      <c r="C5871" t="s">
        <v>10783</v>
      </c>
      <c r="D5871">
        <v>3</v>
      </c>
      <c r="E5871" t="s">
        <v>1378</v>
      </c>
    </row>
    <row r="5872" spans="2:5">
      <c r="B5872" s="65" t="str">
        <f t="shared" si="91"/>
        <v>doc-x0730:1</v>
      </c>
      <c r="C5872" t="s">
        <v>10784</v>
      </c>
      <c r="D5872">
        <v>1</v>
      </c>
      <c r="E5872" t="s">
        <v>2841</v>
      </c>
    </row>
    <row r="5873" spans="2:5">
      <c r="B5873" s="65" t="str">
        <f t="shared" si="91"/>
        <v>doc-x0730:2</v>
      </c>
      <c r="C5873" t="s">
        <v>10784</v>
      </c>
      <c r="D5873">
        <v>2</v>
      </c>
      <c r="E5873" t="s">
        <v>2549</v>
      </c>
    </row>
    <row r="5874" spans="2:5">
      <c r="B5874" s="65" t="str">
        <f t="shared" si="91"/>
        <v>doc-x0730:3</v>
      </c>
      <c r="C5874" t="s">
        <v>10784</v>
      </c>
      <c r="D5874">
        <v>3</v>
      </c>
      <c r="E5874" t="s">
        <v>2849</v>
      </c>
    </row>
    <row r="5875" spans="2:5">
      <c r="B5875" s="65" t="str">
        <f t="shared" si="91"/>
        <v>doc-x0731:1</v>
      </c>
      <c r="C5875" t="s">
        <v>10785</v>
      </c>
      <c r="D5875">
        <v>1</v>
      </c>
      <c r="E5875" t="s">
        <v>2422</v>
      </c>
    </row>
    <row r="5876" spans="2:5">
      <c r="B5876" s="65" t="str">
        <f t="shared" si="91"/>
        <v>doc-x0732:1</v>
      </c>
      <c r="C5876" t="s">
        <v>10786</v>
      </c>
      <c r="D5876">
        <v>1</v>
      </c>
      <c r="E5876" t="s">
        <v>1321</v>
      </c>
    </row>
    <row r="5877" spans="2:5">
      <c r="B5877" s="65" t="str">
        <f t="shared" si="91"/>
        <v>doc-x0732:2</v>
      </c>
      <c r="C5877" t="s">
        <v>10786</v>
      </c>
      <c r="D5877">
        <v>2</v>
      </c>
      <c r="E5877" t="s">
        <v>2960</v>
      </c>
    </row>
    <row r="5878" spans="2:5">
      <c r="B5878" s="65" t="str">
        <f t="shared" si="91"/>
        <v>doc-x0732:3</v>
      </c>
      <c r="C5878" t="s">
        <v>10786</v>
      </c>
      <c r="D5878">
        <v>3</v>
      </c>
      <c r="E5878" t="s">
        <v>2915</v>
      </c>
    </row>
    <row r="5879" spans="2:5">
      <c r="B5879" s="65" t="str">
        <f t="shared" si="91"/>
        <v>doc-x0732:4</v>
      </c>
      <c r="C5879" t="s">
        <v>10786</v>
      </c>
      <c r="D5879">
        <v>4</v>
      </c>
      <c r="E5879" t="s">
        <v>2943</v>
      </c>
    </row>
    <row r="5880" spans="2:5">
      <c r="B5880" s="65" t="str">
        <f t="shared" si="91"/>
        <v>doc-x0732:5</v>
      </c>
      <c r="C5880" t="s">
        <v>10786</v>
      </c>
      <c r="D5880">
        <v>5</v>
      </c>
      <c r="E5880" t="s">
        <v>1795</v>
      </c>
    </row>
    <row r="5881" spans="2:5">
      <c r="B5881" s="65" t="str">
        <f t="shared" si="91"/>
        <v>doc-x0732:6</v>
      </c>
      <c r="C5881" t="s">
        <v>10786</v>
      </c>
      <c r="D5881">
        <v>6</v>
      </c>
      <c r="E5881" t="s">
        <v>254</v>
      </c>
    </row>
    <row r="5882" spans="2:5">
      <c r="B5882" s="65" t="str">
        <f t="shared" si="91"/>
        <v>doc-x0736:1</v>
      </c>
      <c r="C5882" t="s">
        <v>6618</v>
      </c>
      <c r="D5882">
        <v>1</v>
      </c>
      <c r="E5882" t="s">
        <v>2179</v>
      </c>
    </row>
    <row r="5883" spans="2:5">
      <c r="B5883" s="65" t="str">
        <f t="shared" si="91"/>
        <v>doc-x0736:2</v>
      </c>
      <c r="C5883" t="s">
        <v>6618</v>
      </c>
      <c r="D5883">
        <v>2</v>
      </c>
      <c r="E5883" t="s">
        <v>2026</v>
      </c>
    </row>
    <row r="5884" spans="2:5">
      <c r="B5884" s="65" t="str">
        <f t="shared" si="91"/>
        <v>doc-x0736:3</v>
      </c>
      <c r="C5884" t="s">
        <v>6618</v>
      </c>
      <c r="D5884">
        <v>3</v>
      </c>
      <c r="E5884" t="s">
        <v>1191</v>
      </c>
    </row>
    <row r="5885" spans="2:5">
      <c r="B5885" s="65" t="str">
        <f t="shared" si="91"/>
        <v>doc-x0736:4</v>
      </c>
      <c r="C5885" t="s">
        <v>6618</v>
      </c>
      <c r="D5885">
        <v>4</v>
      </c>
      <c r="E5885" t="s">
        <v>1194</v>
      </c>
    </row>
    <row r="5886" spans="2:5">
      <c r="B5886" s="65" t="str">
        <f t="shared" si="91"/>
        <v>doc-x0736:5</v>
      </c>
      <c r="C5886" t="s">
        <v>6618</v>
      </c>
      <c r="D5886">
        <v>5</v>
      </c>
      <c r="E5886" t="s">
        <v>2121</v>
      </c>
    </row>
    <row r="5887" spans="2:5">
      <c r="B5887" s="65" t="str">
        <f t="shared" si="91"/>
        <v>doc-x0739:1</v>
      </c>
      <c r="C5887" t="s">
        <v>10787</v>
      </c>
      <c r="D5887">
        <v>1</v>
      </c>
      <c r="E5887" t="s">
        <v>2722</v>
      </c>
    </row>
    <row r="5888" spans="2:5">
      <c r="B5888" s="65" t="str">
        <f t="shared" si="91"/>
        <v>doc-x0739:2</v>
      </c>
      <c r="C5888" t="s">
        <v>10787</v>
      </c>
      <c r="D5888">
        <v>2</v>
      </c>
      <c r="E5888" t="s">
        <v>2694</v>
      </c>
    </row>
    <row r="5889" spans="2:5">
      <c r="B5889" s="65" t="str">
        <f t="shared" si="91"/>
        <v>doc-x0739:3</v>
      </c>
      <c r="C5889" t="s">
        <v>10787</v>
      </c>
      <c r="D5889">
        <v>3</v>
      </c>
      <c r="E5889" t="s">
        <v>2646</v>
      </c>
    </row>
    <row r="5890" spans="2:5">
      <c r="B5890" s="65" t="str">
        <f t="shared" si="91"/>
        <v>doc-x0739:4</v>
      </c>
      <c r="C5890" t="s">
        <v>10787</v>
      </c>
      <c r="D5890">
        <v>4</v>
      </c>
      <c r="E5890" t="s">
        <v>2749</v>
      </c>
    </row>
    <row r="5891" spans="2:5">
      <c r="B5891" s="65" t="str">
        <f t="shared" si="91"/>
        <v>doc-x0739:5</v>
      </c>
      <c r="C5891" t="s">
        <v>10787</v>
      </c>
      <c r="D5891">
        <v>5</v>
      </c>
      <c r="E5891" t="s">
        <v>2664</v>
      </c>
    </row>
    <row r="5892" spans="2:5">
      <c r="B5892" s="65" t="str">
        <f t="shared" ref="B5892:B5955" si="92">$C5892&amp;":"&amp;$D5892</f>
        <v>doc-x0739:6</v>
      </c>
      <c r="C5892" t="s">
        <v>10787</v>
      </c>
      <c r="D5892">
        <v>6</v>
      </c>
      <c r="E5892" t="s">
        <v>3233</v>
      </c>
    </row>
    <row r="5893" spans="2:5">
      <c r="B5893" s="65" t="str">
        <f t="shared" si="92"/>
        <v>doc-x0743:1</v>
      </c>
      <c r="C5893" t="s">
        <v>6624</v>
      </c>
      <c r="D5893">
        <v>1</v>
      </c>
      <c r="E5893" t="s">
        <v>2148</v>
      </c>
    </row>
    <row r="5894" spans="2:5">
      <c r="B5894" s="65" t="str">
        <f t="shared" si="92"/>
        <v>doc-x0743:2</v>
      </c>
      <c r="C5894" t="s">
        <v>6624</v>
      </c>
      <c r="D5894">
        <v>2</v>
      </c>
      <c r="E5894" t="s">
        <v>1813</v>
      </c>
    </row>
    <row r="5895" spans="2:5">
      <c r="B5895" s="65" t="str">
        <f t="shared" si="92"/>
        <v>doc-x0743:3</v>
      </c>
      <c r="C5895" t="s">
        <v>6624</v>
      </c>
      <c r="D5895">
        <v>3</v>
      </c>
      <c r="E5895" t="s">
        <v>2064</v>
      </c>
    </row>
    <row r="5896" spans="2:5">
      <c r="B5896" s="65" t="str">
        <f t="shared" si="92"/>
        <v>doc-x0744:1</v>
      </c>
      <c r="C5896" t="s">
        <v>6630</v>
      </c>
      <c r="D5896">
        <v>1</v>
      </c>
      <c r="E5896" t="s">
        <v>2179</v>
      </c>
    </row>
    <row r="5897" spans="2:5">
      <c r="B5897" s="65" t="str">
        <f t="shared" si="92"/>
        <v>doc-x0744:2</v>
      </c>
      <c r="C5897" t="s">
        <v>6630</v>
      </c>
      <c r="D5897">
        <v>2</v>
      </c>
      <c r="E5897" t="s">
        <v>2121</v>
      </c>
    </row>
    <row r="5898" spans="2:5">
      <c r="B5898" s="65" t="str">
        <f t="shared" si="92"/>
        <v>doc-x0744:3</v>
      </c>
      <c r="C5898" t="s">
        <v>6630</v>
      </c>
      <c r="D5898">
        <v>3</v>
      </c>
      <c r="E5898" t="s">
        <v>2847</v>
      </c>
    </row>
    <row r="5899" spans="2:5">
      <c r="B5899" s="65" t="str">
        <f t="shared" si="92"/>
        <v>doc-x0744:4</v>
      </c>
      <c r="C5899" t="s">
        <v>6630</v>
      </c>
      <c r="D5899">
        <v>4</v>
      </c>
      <c r="E5899" t="s">
        <v>2849</v>
      </c>
    </row>
    <row r="5900" spans="2:5">
      <c r="B5900" s="65" t="str">
        <f t="shared" si="92"/>
        <v>doc-x0745:1</v>
      </c>
      <c r="C5900" t="s">
        <v>10788</v>
      </c>
      <c r="D5900">
        <v>1</v>
      </c>
      <c r="E5900" t="s">
        <v>2038</v>
      </c>
    </row>
    <row r="5901" spans="2:5">
      <c r="B5901" s="65" t="str">
        <f t="shared" si="92"/>
        <v>doc-x0745:2</v>
      </c>
      <c r="C5901" t="s">
        <v>10788</v>
      </c>
      <c r="D5901">
        <v>2</v>
      </c>
      <c r="E5901" t="s">
        <v>1880</v>
      </c>
    </row>
    <row r="5902" spans="2:5">
      <c r="B5902" s="65" t="str">
        <f t="shared" si="92"/>
        <v>doc-x0745:3</v>
      </c>
      <c r="C5902" t="s">
        <v>10788</v>
      </c>
      <c r="D5902">
        <v>3</v>
      </c>
      <c r="E5902" t="s">
        <v>1911</v>
      </c>
    </row>
    <row r="5903" spans="2:5">
      <c r="B5903" s="65" t="str">
        <f t="shared" si="92"/>
        <v>doc-x0750:1</v>
      </c>
      <c r="C5903" t="s">
        <v>10789</v>
      </c>
      <c r="D5903">
        <v>1</v>
      </c>
      <c r="E5903" t="s">
        <v>1542</v>
      </c>
    </row>
    <row r="5904" spans="2:5">
      <c r="B5904" s="65" t="str">
        <f t="shared" si="92"/>
        <v>doc-x0750:2</v>
      </c>
      <c r="C5904" t="s">
        <v>10789</v>
      </c>
      <c r="D5904">
        <v>2</v>
      </c>
      <c r="E5904" t="s">
        <v>1550</v>
      </c>
    </row>
    <row r="5905" spans="2:5">
      <c r="B5905" s="65" t="str">
        <f t="shared" si="92"/>
        <v>doc-x0750:3</v>
      </c>
      <c r="C5905" t="s">
        <v>10789</v>
      </c>
      <c r="D5905">
        <v>3</v>
      </c>
      <c r="E5905" t="s">
        <v>1575</v>
      </c>
    </row>
    <row r="5906" spans="2:5">
      <c r="B5906" s="65" t="str">
        <f t="shared" si="92"/>
        <v>doc-x0751:1</v>
      </c>
      <c r="C5906" t="s">
        <v>6636</v>
      </c>
      <c r="D5906">
        <v>1</v>
      </c>
      <c r="E5906" t="s">
        <v>2101</v>
      </c>
    </row>
    <row r="5907" spans="2:5">
      <c r="B5907" s="65" t="str">
        <f t="shared" si="92"/>
        <v>doc-x0751:2</v>
      </c>
      <c r="C5907" t="s">
        <v>6636</v>
      </c>
      <c r="D5907">
        <v>2</v>
      </c>
      <c r="E5907" t="s">
        <v>2121</v>
      </c>
    </row>
    <row r="5908" spans="2:5">
      <c r="B5908" s="65" t="str">
        <f t="shared" si="92"/>
        <v>doc-x0752:1</v>
      </c>
      <c r="C5908" t="s">
        <v>10790</v>
      </c>
      <c r="D5908">
        <v>1</v>
      </c>
      <c r="E5908" t="s">
        <v>1395</v>
      </c>
    </row>
    <row r="5909" spans="2:5">
      <c r="B5909" s="65" t="str">
        <f t="shared" si="92"/>
        <v>doc-x0752:2</v>
      </c>
      <c r="C5909" t="s">
        <v>10790</v>
      </c>
      <c r="D5909">
        <v>2</v>
      </c>
      <c r="E5909" t="s">
        <v>1904</v>
      </c>
    </row>
    <row r="5910" spans="2:5">
      <c r="B5910" s="65" t="str">
        <f t="shared" si="92"/>
        <v>doc-x0752:3</v>
      </c>
      <c r="C5910" t="s">
        <v>10790</v>
      </c>
      <c r="D5910">
        <v>3</v>
      </c>
      <c r="E5910" t="s">
        <v>1838</v>
      </c>
    </row>
    <row r="5911" spans="2:5">
      <c r="B5911" s="65" t="str">
        <f t="shared" si="92"/>
        <v>doc-x0752:4</v>
      </c>
      <c r="C5911" t="s">
        <v>10790</v>
      </c>
      <c r="D5911">
        <v>4</v>
      </c>
      <c r="E5911" t="s">
        <v>1916</v>
      </c>
    </row>
    <row r="5912" spans="2:5">
      <c r="B5912" s="65" t="str">
        <f t="shared" si="92"/>
        <v>doc-x0753:1</v>
      </c>
      <c r="C5912" t="s">
        <v>10791</v>
      </c>
      <c r="D5912">
        <v>1</v>
      </c>
      <c r="E5912" t="s">
        <v>2825</v>
      </c>
    </row>
    <row r="5913" spans="2:5">
      <c r="B5913" s="65" t="str">
        <f t="shared" si="92"/>
        <v>doc-x0753:2</v>
      </c>
      <c r="C5913" t="s">
        <v>10791</v>
      </c>
      <c r="D5913">
        <v>2</v>
      </c>
      <c r="E5913" t="s">
        <v>2833</v>
      </c>
    </row>
    <row r="5914" spans="2:5">
      <c r="B5914" s="65" t="str">
        <f t="shared" si="92"/>
        <v>doc-x0753:3</v>
      </c>
      <c r="C5914" t="s">
        <v>10791</v>
      </c>
      <c r="D5914">
        <v>3</v>
      </c>
      <c r="E5914" t="s">
        <v>2847</v>
      </c>
    </row>
    <row r="5915" spans="2:5">
      <c r="B5915" s="65" t="str">
        <f t="shared" si="92"/>
        <v>doc-x0753:4</v>
      </c>
      <c r="C5915" t="s">
        <v>10791</v>
      </c>
      <c r="D5915">
        <v>4</v>
      </c>
      <c r="E5915" t="s">
        <v>2860</v>
      </c>
    </row>
    <row r="5916" spans="2:5">
      <c r="B5916" s="65" t="str">
        <f t="shared" si="92"/>
        <v>doc-x0753:5</v>
      </c>
      <c r="C5916" t="s">
        <v>10791</v>
      </c>
      <c r="D5916">
        <v>5</v>
      </c>
      <c r="E5916" t="s">
        <v>2515</v>
      </c>
    </row>
    <row r="5917" spans="2:5">
      <c r="B5917" s="65" t="str">
        <f t="shared" si="92"/>
        <v>doc-x0754:1</v>
      </c>
      <c r="C5917" t="s">
        <v>10792</v>
      </c>
      <c r="D5917">
        <v>1</v>
      </c>
      <c r="E5917" t="s">
        <v>1321</v>
      </c>
    </row>
    <row r="5918" spans="2:5">
      <c r="B5918" s="65" t="str">
        <f t="shared" si="92"/>
        <v>doc-x0754:2</v>
      </c>
      <c r="C5918" t="s">
        <v>10792</v>
      </c>
      <c r="D5918">
        <v>2</v>
      </c>
      <c r="E5918" t="s">
        <v>2026</v>
      </c>
    </row>
    <row r="5919" spans="2:5">
      <c r="B5919" s="65" t="str">
        <f t="shared" si="92"/>
        <v>doc-x0754:3</v>
      </c>
      <c r="C5919" t="s">
        <v>10792</v>
      </c>
      <c r="D5919">
        <v>3</v>
      </c>
      <c r="E5919" t="s">
        <v>2033</v>
      </c>
    </row>
    <row r="5920" spans="2:5">
      <c r="B5920" s="65" t="str">
        <f t="shared" si="92"/>
        <v>doc-x0754:4</v>
      </c>
      <c r="C5920" t="s">
        <v>10792</v>
      </c>
      <c r="D5920">
        <v>4</v>
      </c>
      <c r="E5920" t="s">
        <v>1997</v>
      </c>
    </row>
    <row r="5921" spans="2:5">
      <c r="B5921" s="65" t="str">
        <f t="shared" si="92"/>
        <v>doc-x0754:5</v>
      </c>
      <c r="C5921" t="s">
        <v>10792</v>
      </c>
      <c r="D5921">
        <v>5</v>
      </c>
      <c r="E5921" t="s">
        <v>1632</v>
      </c>
    </row>
    <row r="5922" spans="2:5">
      <c r="B5922" s="65" t="str">
        <f t="shared" si="92"/>
        <v>doc-x0754:6</v>
      </c>
      <c r="C5922" t="s">
        <v>10792</v>
      </c>
      <c r="D5922">
        <v>6</v>
      </c>
      <c r="E5922" t="s">
        <v>2146</v>
      </c>
    </row>
    <row r="5923" spans="2:5">
      <c r="B5923" s="65" t="str">
        <f t="shared" si="92"/>
        <v>doc-x0755:1</v>
      </c>
      <c r="C5923" t="s">
        <v>10793</v>
      </c>
      <c r="D5923">
        <v>1</v>
      </c>
      <c r="E5923" t="s">
        <v>1395</v>
      </c>
    </row>
    <row r="5924" spans="2:5">
      <c r="B5924" s="65" t="str">
        <f t="shared" si="92"/>
        <v>doc-x0755:2</v>
      </c>
      <c r="C5924" t="s">
        <v>10793</v>
      </c>
      <c r="D5924">
        <v>2</v>
      </c>
      <c r="E5924" t="s">
        <v>1349</v>
      </c>
    </row>
    <row r="5925" spans="2:5">
      <c r="B5925" s="65" t="str">
        <f t="shared" si="92"/>
        <v>doc-x0756:1</v>
      </c>
      <c r="C5925" t="s">
        <v>6640</v>
      </c>
      <c r="D5925">
        <v>1</v>
      </c>
      <c r="E5925" t="s">
        <v>2731</v>
      </c>
    </row>
    <row r="5926" spans="2:5">
      <c r="B5926" s="65" t="str">
        <f t="shared" si="92"/>
        <v>doc-x0756:2</v>
      </c>
      <c r="C5926" t="s">
        <v>6640</v>
      </c>
      <c r="D5926">
        <v>2</v>
      </c>
      <c r="E5926" t="s">
        <v>1108</v>
      </c>
    </row>
    <row r="5927" spans="2:5">
      <c r="B5927" s="65" t="str">
        <f t="shared" si="92"/>
        <v>doc-x0756:3</v>
      </c>
      <c r="C5927" t="s">
        <v>6640</v>
      </c>
      <c r="D5927">
        <v>3</v>
      </c>
      <c r="E5927" t="s">
        <v>2915</v>
      </c>
    </row>
    <row r="5928" spans="2:5">
      <c r="B5928" s="65" t="str">
        <f t="shared" si="92"/>
        <v>doc-x0756:4</v>
      </c>
      <c r="C5928" t="s">
        <v>6640</v>
      </c>
      <c r="D5928">
        <v>4</v>
      </c>
      <c r="E5928" t="s">
        <v>2664</v>
      </c>
    </row>
    <row r="5929" spans="2:5">
      <c r="B5929" s="65" t="str">
        <f t="shared" si="92"/>
        <v>doc-x0756:5</v>
      </c>
      <c r="C5929" t="s">
        <v>6640</v>
      </c>
      <c r="D5929">
        <v>5</v>
      </c>
      <c r="E5929" t="s">
        <v>299</v>
      </c>
    </row>
    <row r="5930" spans="2:5">
      <c r="B5930" s="65" t="str">
        <f t="shared" si="92"/>
        <v>doc-x0759:1</v>
      </c>
      <c r="C5930" t="s">
        <v>10794</v>
      </c>
      <c r="D5930">
        <v>1</v>
      </c>
      <c r="E5930" t="s">
        <v>2710</v>
      </c>
    </row>
    <row r="5931" spans="2:5">
      <c r="B5931" s="65" t="str">
        <f t="shared" si="92"/>
        <v>doc-x0759:2</v>
      </c>
      <c r="C5931" t="s">
        <v>10794</v>
      </c>
      <c r="D5931">
        <v>2</v>
      </c>
      <c r="E5931" t="s">
        <v>2667</v>
      </c>
    </row>
    <row r="5932" spans="2:5">
      <c r="B5932" s="65" t="str">
        <f t="shared" si="92"/>
        <v>doc-x0759:3</v>
      </c>
      <c r="C5932" t="s">
        <v>10794</v>
      </c>
      <c r="D5932">
        <v>3</v>
      </c>
      <c r="E5932" t="s">
        <v>1883</v>
      </c>
    </row>
    <row r="5933" spans="2:5">
      <c r="B5933" s="65" t="str">
        <f t="shared" si="92"/>
        <v>doc-x0759:4</v>
      </c>
      <c r="C5933" t="s">
        <v>10794</v>
      </c>
      <c r="D5933">
        <v>4</v>
      </c>
      <c r="E5933" t="s">
        <v>1911</v>
      </c>
    </row>
    <row r="5934" spans="2:5">
      <c r="B5934" s="65" t="str">
        <f t="shared" si="92"/>
        <v>doc-x0759:5</v>
      </c>
      <c r="C5934" t="s">
        <v>10794</v>
      </c>
      <c r="D5934">
        <v>5</v>
      </c>
      <c r="E5934" t="s">
        <v>2386</v>
      </c>
    </row>
    <row r="5935" spans="2:5">
      <c r="B5935" s="65" t="str">
        <f t="shared" si="92"/>
        <v>doc-x0760:1</v>
      </c>
      <c r="C5935" t="s">
        <v>10795</v>
      </c>
      <c r="D5935">
        <v>1</v>
      </c>
      <c r="E5935" t="s">
        <v>1844</v>
      </c>
    </row>
    <row r="5936" spans="2:5">
      <c r="B5936" s="65" t="str">
        <f t="shared" si="92"/>
        <v>doc-x0760:2</v>
      </c>
      <c r="C5936" t="s">
        <v>10795</v>
      </c>
      <c r="D5936">
        <v>2</v>
      </c>
      <c r="E5936" t="s">
        <v>1833</v>
      </c>
    </row>
    <row r="5937" spans="2:5">
      <c r="B5937" s="65" t="str">
        <f t="shared" si="92"/>
        <v>doc-x0760:3</v>
      </c>
      <c r="C5937" t="s">
        <v>10795</v>
      </c>
      <c r="D5937">
        <v>3</v>
      </c>
      <c r="E5937" t="s">
        <v>1911</v>
      </c>
    </row>
    <row r="5938" spans="2:5">
      <c r="B5938" s="65" t="str">
        <f t="shared" si="92"/>
        <v>doc-x0760:4</v>
      </c>
      <c r="C5938" t="s">
        <v>10795</v>
      </c>
      <c r="D5938">
        <v>4</v>
      </c>
      <c r="E5938" t="s">
        <v>1994</v>
      </c>
    </row>
    <row r="5939" spans="2:5">
      <c r="B5939" s="65" t="str">
        <f t="shared" si="92"/>
        <v>doc-x0760:5</v>
      </c>
      <c r="C5939" t="s">
        <v>10795</v>
      </c>
      <c r="D5939">
        <v>5</v>
      </c>
      <c r="E5939" t="s">
        <v>1880</v>
      </c>
    </row>
    <row r="5940" spans="2:5">
      <c r="B5940" s="65" t="str">
        <f t="shared" si="92"/>
        <v>doc-x0762:1</v>
      </c>
      <c r="C5940" t="s">
        <v>10796</v>
      </c>
      <c r="D5940">
        <v>1</v>
      </c>
      <c r="E5940" t="s">
        <v>2843</v>
      </c>
    </row>
    <row r="5941" spans="2:5">
      <c r="B5941" s="65" t="str">
        <f t="shared" si="92"/>
        <v>doc-x0762:2</v>
      </c>
      <c r="C5941" t="s">
        <v>10796</v>
      </c>
      <c r="D5941">
        <v>2</v>
      </c>
      <c r="E5941" t="s">
        <v>1944</v>
      </c>
    </row>
    <row r="5942" spans="2:5">
      <c r="B5942" s="65" t="str">
        <f t="shared" si="92"/>
        <v>doc-x0762:3</v>
      </c>
      <c r="C5942" t="s">
        <v>10796</v>
      </c>
      <c r="D5942">
        <v>3</v>
      </c>
      <c r="E5942" t="s">
        <v>2847</v>
      </c>
    </row>
    <row r="5943" spans="2:5">
      <c r="B5943" s="65" t="str">
        <f t="shared" si="92"/>
        <v>doc-x0762:4</v>
      </c>
      <c r="C5943" t="s">
        <v>10796</v>
      </c>
      <c r="D5943">
        <v>4</v>
      </c>
      <c r="E5943" t="s">
        <v>2849</v>
      </c>
    </row>
    <row r="5944" spans="2:5">
      <c r="B5944" s="65" t="str">
        <f t="shared" si="92"/>
        <v>doc-x0762:5</v>
      </c>
      <c r="C5944" t="s">
        <v>10796</v>
      </c>
      <c r="D5944">
        <v>5</v>
      </c>
      <c r="E5944" t="s">
        <v>1844</v>
      </c>
    </row>
    <row r="5945" spans="2:5">
      <c r="B5945" s="65" t="str">
        <f t="shared" si="92"/>
        <v>doc-x0764:1</v>
      </c>
      <c r="C5945" t="s">
        <v>10797</v>
      </c>
      <c r="D5945">
        <v>1</v>
      </c>
      <c r="E5945" t="s">
        <v>2372</v>
      </c>
    </row>
    <row r="5946" spans="2:5">
      <c r="B5946" s="65" t="str">
        <f t="shared" si="92"/>
        <v>doc-x0764:2</v>
      </c>
      <c r="C5946" t="s">
        <v>10797</v>
      </c>
      <c r="D5946">
        <v>2</v>
      </c>
      <c r="E5946" t="s">
        <v>2810</v>
      </c>
    </row>
    <row r="5947" spans="2:5">
      <c r="B5947" s="65" t="str">
        <f t="shared" si="92"/>
        <v>doc-x0764:3</v>
      </c>
      <c r="C5947" t="s">
        <v>10797</v>
      </c>
      <c r="D5947">
        <v>3</v>
      </c>
      <c r="E5947" t="s">
        <v>2375</v>
      </c>
    </row>
    <row r="5948" spans="2:5">
      <c r="B5948" s="65" t="str">
        <f t="shared" si="92"/>
        <v>doc-x0764:4</v>
      </c>
      <c r="C5948" t="s">
        <v>10797</v>
      </c>
      <c r="D5948">
        <v>4</v>
      </c>
      <c r="E5948" t="s">
        <v>1941</v>
      </c>
    </row>
    <row r="5949" spans="2:5">
      <c r="B5949" s="65" t="str">
        <f t="shared" si="92"/>
        <v>doc-x0765:1</v>
      </c>
      <c r="C5949" t="s">
        <v>10798</v>
      </c>
      <c r="D5949">
        <v>1</v>
      </c>
      <c r="E5949" t="s">
        <v>1321</v>
      </c>
    </row>
    <row r="5950" spans="2:5">
      <c r="B5950" s="65" t="str">
        <f t="shared" si="92"/>
        <v>doc-x0765:2</v>
      </c>
      <c r="C5950" t="s">
        <v>10798</v>
      </c>
      <c r="D5950">
        <v>2</v>
      </c>
      <c r="E5950" t="s">
        <v>1275</v>
      </c>
    </row>
    <row r="5951" spans="2:5">
      <c r="B5951" s="65" t="str">
        <f t="shared" si="92"/>
        <v>doc-x0765:3</v>
      </c>
      <c r="C5951" t="s">
        <v>10798</v>
      </c>
      <c r="D5951">
        <v>3</v>
      </c>
      <c r="E5951" t="s">
        <v>254</v>
      </c>
    </row>
    <row r="5952" spans="2:5">
      <c r="B5952" s="65" t="str">
        <f t="shared" si="92"/>
        <v>doc-x0765:4</v>
      </c>
      <c r="C5952" t="s">
        <v>10798</v>
      </c>
      <c r="D5952">
        <v>4</v>
      </c>
      <c r="E5952" t="s">
        <v>1417</v>
      </c>
    </row>
    <row r="5953" spans="2:5">
      <c r="B5953" s="65" t="str">
        <f t="shared" si="92"/>
        <v>doc-x0766:1</v>
      </c>
      <c r="C5953" t="s">
        <v>10799</v>
      </c>
      <c r="D5953">
        <v>1</v>
      </c>
      <c r="E5953" t="s">
        <v>1321</v>
      </c>
    </row>
    <row r="5954" spans="2:5">
      <c r="B5954" s="65" t="str">
        <f t="shared" si="92"/>
        <v>doc-x0766:2</v>
      </c>
      <c r="C5954" t="s">
        <v>10799</v>
      </c>
      <c r="D5954">
        <v>2</v>
      </c>
      <c r="E5954" t="s">
        <v>1275</v>
      </c>
    </row>
    <row r="5955" spans="2:5">
      <c r="B5955" s="65" t="str">
        <f t="shared" si="92"/>
        <v>doc-x0766:3</v>
      </c>
      <c r="C5955" t="s">
        <v>10799</v>
      </c>
      <c r="D5955">
        <v>3</v>
      </c>
      <c r="E5955" t="s">
        <v>254</v>
      </c>
    </row>
    <row r="5956" spans="2:5">
      <c r="B5956" s="65" t="str">
        <f t="shared" ref="B5956:B6019" si="93">$C5956&amp;":"&amp;$D5956</f>
        <v>doc-x0766:4</v>
      </c>
      <c r="C5956" t="s">
        <v>10799</v>
      </c>
      <c r="D5956">
        <v>4</v>
      </c>
      <c r="E5956" t="s">
        <v>1417</v>
      </c>
    </row>
    <row r="5957" spans="2:5">
      <c r="B5957" s="65" t="str">
        <f t="shared" si="93"/>
        <v>doc-x0771:1</v>
      </c>
      <c r="C5957" t="s">
        <v>10800</v>
      </c>
      <c r="D5957">
        <v>1</v>
      </c>
      <c r="E5957" t="s">
        <v>1962</v>
      </c>
    </row>
    <row r="5958" spans="2:5">
      <c r="B5958" s="65" t="str">
        <f t="shared" si="93"/>
        <v>doc-x0771:2</v>
      </c>
      <c r="C5958" t="s">
        <v>10800</v>
      </c>
      <c r="D5958">
        <v>2</v>
      </c>
      <c r="E5958" t="s">
        <v>3075</v>
      </c>
    </row>
    <row r="5959" spans="2:5">
      <c r="B5959" s="65" t="str">
        <f t="shared" si="93"/>
        <v>doc-x0771:3</v>
      </c>
      <c r="C5959" t="s">
        <v>10800</v>
      </c>
      <c r="D5959">
        <v>3</v>
      </c>
      <c r="E5959" t="s">
        <v>3087</v>
      </c>
    </row>
    <row r="5960" spans="2:5">
      <c r="B5960" s="65" t="str">
        <f t="shared" si="93"/>
        <v>doc-x0771:4</v>
      </c>
      <c r="C5960" t="s">
        <v>10800</v>
      </c>
      <c r="D5960">
        <v>4</v>
      </c>
      <c r="E5960" t="s">
        <v>1959</v>
      </c>
    </row>
    <row r="5961" spans="2:5">
      <c r="B5961" s="65" t="str">
        <f t="shared" si="93"/>
        <v>doc-x0773:1</v>
      </c>
      <c r="C5961" t="s">
        <v>10801</v>
      </c>
      <c r="D5961">
        <v>1</v>
      </c>
      <c r="E5961" t="s">
        <v>1491</v>
      </c>
    </row>
    <row r="5962" spans="2:5">
      <c r="B5962" s="65" t="str">
        <f t="shared" si="93"/>
        <v>doc-x0773:2</v>
      </c>
      <c r="C5962" t="s">
        <v>10801</v>
      </c>
      <c r="D5962">
        <v>2</v>
      </c>
      <c r="E5962" t="s">
        <v>1905</v>
      </c>
    </row>
    <row r="5963" spans="2:5">
      <c r="B5963" s="65" t="str">
        <f t="shared" si="93"/>
        <v>doc-x0773:3</v>
      </c>
      <c r="C5963" t="s">
        <v>10801</v>
      </c>
      <c r="D5963">
        <v>3</v>
      </c>
      <c r="E5963" t="s">
        <v>1807</v>
      </c>
    </row>
    <row r="5964" spans="2:5">
      <c r="B5964" s="65" t="str">
        <f t="shared" si="93"/>
        <v>doc-x0773:4</v>
      </c>
      <c r="C5964" t="s">
        <v>10801</v>
      </c>
      <c r="D5964">
        <v>4</v>
      </c>
      <c r="E5964" t="s">
        <v>1509</v>
      </c>
    </row>
    <row r="5965" spans="2:5">
      <c r="B5965" s="65" t="str">
        <f t="shared" si="93"/>
        <v>doc-x0774:1</v>
      </c>
      <c r="C5965" t="s">
        <v>10802</v>
      </c>
      <c r="D5965">
        <v>1</v>
      </c>
      <c r="E5965" t="s">
        <v>1844</v>
      </c>
    </row>
    <row r="5966" spans="2:5">
      <c r="B5966" s="65" t="str">
        <f t="shared" si="93"/>
        <v>doc-x0774:2</v>
      </c>
      <c r="C5966" t="s">
        <v>10802</v>
      </c>
      <c r="D5966">
        <v>2</v>
      </c>
      <c r="E5966" t="s">
        <v>2003</v>
      </c>
    </row>
    <row r="5967" spans="2:5">
      <c r="B5967" s="65" t="str">
        <f t="shared" si="93"/>
        <v>doc-x0774:3</v>
      </c>
      <c r="C5967" t="s">
        <v>10802</v>
      </c>
      <c r="D5967">
        <v>3</v>
      </c>
      <c r="E5967" t="s">
        <v>1911</v>
      </c>
    </row>
    <row r="5968" spans="2:5">
      <c r="B5968" s="65" t="str">
        <f t="shared" si="93"/>
        <v>doc-x0774:4</v>
      </c>
      <c r="C5968" t="s">
        <v>10802</v>
      </c>
      <c r="D5968">
        <v>4</v>
      </c>
      <c r="E5968" t="s">
        <v>1905</v>
      </c>
    </row>
    <row r="5969" spans="2:5">
      <c r="B5969" s="65" t="str">
        <f t="shared" si="93"/>
        <v>doc-x0774:5</v>
      </c>
      <c r="C5969" t="s">
        <v>10802</v>
      </c>
      <c r="D5969">
        <v>5</v>
      </c>
      <c r="E5969" t="s">
        <v>1856</v>
      </c>
    </row>
    <row r="5970" spans="2:5">
      <c r="B5970" s="65" t="str">
        <f t="shared" si="93"/>
        <v>doc-x0779:1</v>
      </c>
      <c r="C5970" t="s">
        <v>6736</v>
      </c>
      <c r="D5970">
        <v>1</v>
      </c>
      <c r="E5970" t="s">
        <v>2799</v>
      </c>
    </row>
    <row r="5971" spans="2:5">
      <c r="B5971" s="65" t="str">
        <f t="shared" si="93"/>
        <v>doc-x0779:2</v>
      </c>
      <c r="C5971" t="s">
        <v>6736</v>
      </c>
      <c r="D5971">
        <v>2</v>
      </c>
      <c r="E5971" t="s">
        <v>2586</v>
      </c>
    </row>
    <row r="5972" spans="2:5">
      <c r="B5972" s="65" t="str">
        <f t="shared" si="93"/>
        <v>doc-x0779:3</v>
      </c>
      <c r="C5972" t="s">
        <v>6736</v>
      </c>
      <c r="D5972">
        <v>3</v>
      </c>
      <c r="E5972" t="s">
        <v>2537</v>
      </c>
    </row>
    <row r="5973" spans="2:5">
      <c r="B5973" s="65" t="str">
        <f t="shared" si="93"/>
        <v>doc-x0780:1</v>
      </c>
      <c r="C5973" t="s">
        <v>10803</v>
      </c>
      <c r="D5973">
        <v>1</v>
      </c>
      <c r="E5973" t="s">
        <v>1787</v>
      </c>
    </row>
    <row r="5974" spans="2:5">
      <c r="B5974" s="65" t="str">
        <f t="shared" si="93"/>
        <v>doc-x0780:2</v>
      </c>
      <c r="C5974" t="s">
        <v>10803</v>
      </c>
      <c r="D5974">
        <v>2</v>
      </c>
      <c r="E5974" t="s">
        <v>2003</v>
      </c>
    </row>
    <row r="5975" spans="2:5">
      <c r="B5975" s="65" t="str">
        <f t="shared" si="93"/>
        <v>doc-x0780:3</v>
      </c>
      <c r="C5975" t="s">
        <v>10803</v>
      </c>
      <c r="D5975">
        <v>3</v>
      </c>
      <c r="E5975" t="s">
        <v>1918</v>
      </c>
    </row>
    <row r="5976" spans="2:5">
      <c r="B5976" s="65" t="str">
        <f t="shared" si="93"/>
        <v>doc-x0780:4</v>
      </c>
      <c r="C5976" t="s">
        <v>10803</v>
      </c>
      <c r="D5976">
        <v>4</v>
      </c>
      <c r="E5976" t="s">
        <v>85</v>
      </c>
    </row>
    <row r="5977" spans="2:5">
      <c r="B5977" s="65" t="str">
        <f t="shared" si="93"/>
        <v>doc-x0780:5</v>
      </c>
      <c r="C5977" t="s">
        <v>10803</v>
      </c>
      <c r="D5977">
        <v>5</v>
      </c>
      <c r="E5977" t="s">
        <v>1872</v>
      </c>
    </row>
    <row r="5978" spans="2:5">
      <c r="B5978" s="65" t="str">
        <f t="shared" si="93"/>
        <v>doc-x0781:1</v>
      </c>
      <c r="C5978" t="s">
        <v>6645</v>
      </c>
      <c r="D5978">
        <v>1</v>
      </c>
      <c r="E5978" t="s">
        <v>3178</v>
      </c>
    </row>
    <row r="5979" spans="2:5">
      <c r="B5979" s="65" t="str">
        <f t="shared" si="93"/>
        <v>doc-x0781:2</v>
      </c>
      <c r="C5979" t="s">
        <v>6645</v>
      </c>
      <c r="D5979">
        <v>2</v>
      </c>
      <c r="E5979" t="s">
        <v>3176</v>
      </c>
    </row>
    <row r="5980" spans="2:5">
      <c r="B5980" s="65" t="str">
        <f t="shared" si="93"/>
        <v>doc-x0781:3</v>
      </c>
      <c r="C5980" t="s">
        <v>6645</v>
      </c>
      <c r="D5980">
        <v>3</v>
      </c>
      <c r="E5980" t="s">
        <v>2324</v>
      </c>
    </row>
    <row r="5981" spans="2:5">
      <c r="B5981" s="65" t="str">
        <f t="shared" si="93"/>
        <v>doc-x0781:4</v>
      </c>
      <c r="C5981" t="s">
        <v>6645</v>
      </c>
      <c r="D5981">
        <v>4</v>
      </c>
      <c r="E5981" t="s">
        <v>2300</v>
      </c>
    </row>
    <row r="5982" spans="2:5">
      <c r="B5982" s="65" t="str">
        <f t="shared" si="93"/>
        <v>doc-x0781:5</v>
      </c>
      <c r="C5982" t="s">
        <v>6645</v>
      </c>
      <c r="D5982">
        <v>5</v>
      </c>
      <c r="E5982" t="s">
        <v>2295</v>
      </c>
    </row>
    <row r="5983" spans="2:5">
      <c r="B5983" s="65" t="str">
        <f t="shared" si="93"/>
        <v>doc-x0784:1</v>
      </c>
      <c r="C5983" t="s">
        <v>10804</v>
      </c>
      <c r="D5983">
        <v>1</v>
      </c>
      <c r="E5983" t="s">
        <v>2717</v>
      </c>
    </row>
    <row r="5984" spans="2:5">
      <c r="B5984" s="65" t="str">
        <f t="shared" si="93"/>
        <v>doc-x0784:2</v>
      </c>
      <c r="C5984" t="s">
        <v>10804</v>
      </c>
      <c r="D5984">
        <v>2</v>
      </c>
      <c r="E5984" t="s">
        <v>2630</v>
      </c>
    </row>
    <row r="5985" spans="2:5">
      <c r="B5985" s="65" t="str">
        <f t="shared" si="93"/>
        <v>doc-x0784:3</v>
      </c>
      <c r="C5985" t="s">
        <v>10804</v>
      </c>
      <c r="D5985">
        <v>3</v>
      </c>
      <c r="E5985" t="s">
        <v>2667</v>
      </c>
    </row>
    <row r="5986" spans="2:5">
      <c r="B5986" s="65" t="str">
        <f t="shared" si="93"/>
        <v>doc-x0786:1</v>
      </c>
      <c r="C5986" t="s">
        <v>10805</v>
      </c>
      <c r="D5986">
        <v>1</v>
      </c>
      <c r="E5986" t="s">
        <v>92</v>
      </c>
    </row>
    <row r="5987" spans="2:5">
      <c r="B5987" s="65" t="str">
        <f t="shared" si="93"/>
        <v>doc-x0786:2</v>
      </c>
      <c r="C5987" t="s">
        <v>10805</v>
      </c>
      <c r="D5987">
        <v>2</v>
      </c>
      <c r="E5987" t="s">
        <v>101</v>
      </c>
    </row>
    <row r="5988" spans="2:5">
      <c r="B5988" s="65" t="str">
        <f t="shared" si="93"/>
        <v>doc-x0786:3</v>
      </c>
      <c r="C5988" t="s">
        <v>10805</v>
      </c>
      <c r="D5988">
        <v>3</v>
      </c>
      <c r="E5988" t="s">
        <v>1763</v>
      </c>
    </row>
    <row r="5989" spans="2:5">
      <c r="B5989" s="65" t="str">
        <f t="shared" si="93"/>
        <v>doc-x0788:1</v>
      </c>
      <c r="C5989" t="s">
        <v>10806</v>
      </c>
      <c r="D5989">
        <v>1</v>
      </c>
      <c r="E5989" t="s">
        <v>1833</v>
      </c>
    </row>
    <row r="5990" spans="2:5">
      <c r="B5990" s="65" t="str">
        <f t="shared" si="93"/>
        <v>doc-x0788:2</v>
      </c>
      <c r="C5990" t="s">
        <v>10806</v>
      </c>
      <c r="D5990">
        <v>2</v>
      </c>
      <c r="E5990" t="s">
        <v>1737</v>
      </c>
    </row>
    <row r="5991" spans="2:5">
      <c r="B5991" s="65" t="str">
        <f t="shared" si="93"/>
        <v>doc-x0788:3</v>
      </c>
      <c r="C5991" t="s">
        <v>10806</v>
      </c>
      <c r="D5991">
        <v>3</v>
      </c>
      <c r="E5991" t="s">
        <v>1744</v>
      </c>
    </row>
    <row r="5992" spans="2:5">
      <c r="B5992" s="65" t="str">
        <f t="shared" si="93"/>
        <v>doc-x0788:4</v>
      </c>
      <c r="C5992" t="s">
        <v>10806</v>
      </c>
      <c r="D5992">
        <v>4</v>
      </c>
      <c r="E5992" t="s">
        <v>2494</v>
      </c>
    </row>
    <row r="5993" spans="2:5">
      <c r="B5993" s="65" t="str">
        <f t="shared" si="93"/>
        <v>doc-x0788:5</v>
      </c>
      <c r="C5993" t="s">
        <v>10806</v>
      </c>
      <c r="D5993">
        <v>5</v>
      </c>
      <c r="E5993" t="s">
        <v>1968</v>
      </c>
    </row>
    <row r="5994" spans="2:5">
      <c r="B5994" s="65" t="str">
        <f t="shared" si="93"/>
        <v>doc-x0789:1</v>
      </c>
      <c r="C5994" t="s">
        <v>10807</v>
      </c>
      <c r="D5994">
        <v>1</v>
      </c>
      <c r="E5994" t="s">
        <v>2003</v>
      </c>
    </row>
    <row r="5995" spans="2:5">
      <c r="B5995" s="65" t="str">
        <f t="shared" si="93"/>
        <v>doc-x0789:2</v>
      </c>
      <c r="C5995" t="s">
        <v>10807</v>
      </c>
      <c r="D5995">
        <v>2</v>
      </c>
      <c r="E5995" t="s">
        <v>1861</v>
      </c>
    </row>
    <row r="5996" spans="2:5">
      <c r="B5996" s="65" t="str">
        <f t="shared" si="93"/>
        <v>doc-x0789:3</v>
      </c>
      <c r="C5996" t="s">
        <v>10807</v>
      </c>
      <c r="D5996">
        <v>3</v>
      </c>
      <c r="E5996" t="s">
        <v>1982</v>
      </c>
    </row>
    <row r="5997" spans="2:5">
      <c r="B5997" s="65" t="str">
        <f t="shared" si="93"/>
        <v>doc-x0789:4</v>
      </c>
      <c r="C5997" t="s">
        <v>10807</v>
      </c>
      <c r="D5997">
        <v>4</v>
      </c>
      <c r="E5997" t="s">
        <v>1895</v>
      </c>
    </row>
    <row r="5998" spans="2:5">
      <c r="B5998" s="65" t="str">
        <f t="shared" si="93"/>
        <v>doc-x0789:5</v>
      </c>
      <c r="C5998" t="s">
        <v>10807</v>
      </c>
      <c r="D5998">
        <v>5</v>
      </c>
      <c r="E5998" t="s">
        <v>1872</v>
      </c>
    </row>
    <row r="5999" spans="2:5">
      <c r="B5999" s="65" t="str">
        <f t="shared" si="93"/>
        <v>doc-x0794:1</v>
      </c>
      <c r="C5999" t="s">
        <v>10808</v>
      </c>
      <c r="D5999">
        <v>1</v>
      </c>
      <c r="E5999" t="s">
        <v>1844</v>
      </c>
    </row>
    <row r="6000" spans="2:5">
      <c r="B6000" s="65" t="str">
        <f t="shared" si="93"/>
        <v>doc-x0794:2</v>
      </c>
      <c r="C6000" t="s">
        <v>10808</v>
      </c>
      <c r="D6000">
        <v>2</v>
      </c>
      <c r="E6000" t="s">
        <v>1833</v>
      </c>
    </row>
    <row r="6001" spans="2:5">
      <c r="B6001" s="65" t="str">
        <f t="shared" si="93"/>
        <v>doc-x0796:1</v>
      </c>
      <c r="C6001" t="s">
        <v>10809</v>
      </c>
      <c r="D6001">
        <v>1</v>
      </c>
      <c r="E6001" t="s">
        <v>2810</v>
      </c>
    </row>
    <row r="6002" spans="2:5">
      <c r="B6002" s="65" t="str">
        <f t="shared" si="93"/>
        <v>doc-x0796:2</v>
      </c>
      <c r="C6002" t="s">
        <v>10809</v>
      </c>
      <c r="D6002">
        <v>2</v>
      </c>
      <c r="E6002" t="s">
        <v>3088</v>
      </c>
    </row>
    <row r="6003" spans="2:5">
      <c r="B6003" s="65" t="str">
        <f t="shared" si="93"/>
        <v>doc-x0796:3</v>
      </c>
      <c r="C6003" t="s">
        <v>10809</v>
      </c>
      <c r="D6003">
        <v>3</v>
      </c>
      <c r="E6003" t="s">
        <v>2805</v>
      </c>
    </row>
    <row r="6004" spans="2:5">
      <c r="B6004" s="65" t="str">
        <f t="shared" si="93"/>
        <v>doc-x0796:4</v>
      </c>
      <c r="C6004" t="s">
        <v>10809</v>
      </c>
      <c r="D6004">
        <v>4</v>
      </c>
      <c r="E6004" t="s">
        <v>1630</v>
      </c>
    </row>
    <row r="6005" spans="2:5">
      <c r="B6005" s="65" t="str">
        <f t="shared" si="93"/>
        <v>doc-x0798:1</v>
      </c>
      <c r="C6005" t="s">
        <v>10810</v>
      </c>
      <c r="D6005">
        <v>1</v>
      </c>
      <c r="E6005" t="s">
        <v>2710</v>
      </c>
    </row>
    <row r="6006" spans="2:5">
      <c r="B6006" s="65" t="str">
        <f t="shared" si="93"/>
        <v>doc-x0798:2</v>
      </c>
      <c r="C6006" t="s">
        <v>10810</v>
      </c>
      <c r="D6006">
        <v>2</v>
      </c>
      <c r="E6006" t="s">
        <v>2667</v>
      </c>
    </row>
    <row r="6007" spans="2:5">
      <c r="B6007" s="65" t="str">
        <f t="shared" si="93"/>
        <v>doc-x0798:3</v>
      </c>
      <c r="C6007" t="s">
        <v>10810</v>
      </c>
      <c r="D6007">
        <v>3</v>
      </c>
      <c r="E6007" t="s">
        <v>1883</v>
      </c>
    </row>
    <row r="6008" spans="2:5">
      <c r="B6008" s="65" t="str">
        <f t="shared" si="93"/>
        <v>doc-x0798:4</v>
      </c>
      <c r="C6008" t="s">
        <v>10810</v>
      </c>
      <c r="D6008">
        <v>4</v>
      </c>
      <c r="E6008" t="s">
        <v>1911</v>
      </c>
    </row>
    <row r="6009" spans="2:5">
      <c r="B6009" s="65" t="str">
        <f t="shared" si="93"/>
        <v>doc-x0798:5</v>
      </c>
      <c r="C6009" t="s">
        <v>10810</v>
      </c>
      <c r="D6009">
        <v>5</v>
      </c>
      <c r="E6009" t="s">
        <v>2386</v>
      </c>
    </row>
    <row r="6010" spans="2:5">
      <c r="B6010" s="65" t="str">
        <f t="shared" si="93"/>
        <v>doc-x0803:1</v>
      </c>
      <c r="C6010" t="s">
        <v>10811</v>
      </c>
      <c r="D6010">
        <v>1</v>
      </c>
      <c r="E6010" t="s">
        <v>1343</v>
      </c>
    </row>
    <row r="6011" spans="2:5">
      <c r="B6011" s="65" t="str">
        <f t="shared" si="93"/>
        <v>doc-x0803:2</v>
      </c>
      <c r="C6011" t="s">
        <v>10811</v>
      </c>
      <c r="D6011">
        <v>2</v>
      </c>
      <c r="E6011" t="s">
        <v>1346</v>
      </c>
    </row>
    <row r="6012" spans="2:5">
      <c r="B6012" s="65" t="str">
        <f t="shared" si="93"/>
        <v>doc-x0803:3</v>
      </c>
      <c r="C6012" t="s">
        <v>10811</v>
      </c>
      <c r="D6012">
        <v>3</v>
      </c>
      <c r="E6012" t="s">
        <v>1352</v>
      </c>
    </row>
    <row r="6013" spans="2:5">
      <c r="B6013" s="65" t="str">
        <f t="shared" si="93"/>
        <v>doc-x0803:4</v>
      </c>
      <c r="C6013" t="s">
        <v>10811</v>
      </c>
      <c r="D6013">
        <v>4</v>
      </c>
      <c r="E6013" t="s">
        <v>1355</v>
      </c>
    </row>
    <row r="6014" spans="2:5">
      <c r="B6014" s="65" t="str">
        <f t="shared" si="93"/>
        <v>doc-x0803:5</v>
      </c>
      <c r="C6014" t="s">
        <v>10811</v>
      </c>
      <c r="D6014">
        <v>5</v>
      </c>
      <c r="E6014" t="s">
        <v>92</v>
      </c>
    </row>
    <row r="6015" spans="2:5">
      <c r="B6015" s="65" t="str">
        <f t="shared" si="93"/>
        <v>doc-x0803:6</v>
      </c>
      <c r="C6015" t="s">
        <v>10811</v>
      </c>
      <c r="D6015">
        <v>6</v>
      </c>
      <c r="E6015" t="s">
        <v>1773</v>
      </c>
    </row>
    <row r="6016" spans="2:5">
      <c r="B6016" s="65" t="str">
        <f t="shared" si="93"/>
        <v>doc-x0803:7</v>
      </c>
      <c r="C6016" t="s">
        <v>10811</v>
      </c>
      <c r="D6016">
        <v>7</v>
      </c>
      <c r="E6016" t="s">
        <v>101</v>
      </c>
    </row>
    <row r="6017" spans="2:5">
      <c r="B6017" s="65" t="str">
        <f t="shared" si="93"/>
        <v>doc-x0806:1</v>
      </c>
      <c r="C6017" t="s">
        <v>10812</v>
      </c>
      <c r="D6017">
        <v>1</v>
      </c>
      <c r="E6017" t="s">
        <v>2615</v>
      </c>
    </row>
    <row r="6018" spans="2:5">
      <c r="B6018" s="65" t="str">
        <f t="shared" si="93"/>
        <v>doc-x0806:2</v>
      </c>
      <c r="C6018" t="s">
        <v>10812</v>
      </c>
      <c r="D6018">
        <v>2</v>
      </c>
      <c r="E6018" t="s">
        <v>1911</v>
      </c>
    </row>
    <row r="6019" spans="2:5">
      <c r="B6019" s="65" t="str">
        <f t="shared" si="93"/>
        <v>doc-x0806:3</v>
      </c>
      <c r="C6019" t="s">
        <v>10812</v>
      </c>
      <c r="D6019">
        <v>3</v>
      </c>
      <c r="E6019" t="s">
        <v>1994</v>
      </c>
    </row>
    <row r="6020" spans="2:5">
      <c r="B6020" s="65" t="str">
        <f t="shared" ref="B6020:B6083" si="94">$C6020&amp;":"&amp;$D6020</f>
        <v>doc-x0806:4</v>
      </c>
      <c r="C6020" t="s">
        <v>10812</v>
      </c>
      <c r="D6020">
        <v>4</v>
      </c>
      <c r="E6020" t="s">
        <v>2038</v>
      </c>
    </row>
    <row r="6021" spans="2:5">
      <c r="B6021" s="65" t="str">
        <f t="shared" si="94"/>
        <v>doc-x0806:5</v>
      </c>
      <c r="C6021" t="s">
        <v>10812</v>
      </c>
      <c r="D6021">
        <v>5</v>
      </c>
      <c r="E6021" t="s">
        <v>1880</v>
      </c>
    </row>
    <row r="6022" spans="2:5">
      <c r="B6022" s="65" t="str">
        <f t="shared" si="94"/>
        <v>doc-x0809:1</v>
      </c>
      <c r="C6022" t="s">
        <v>10813</v>
      </c>
      <c r="D6022">
        <v>1</v>
      </c>
      <c r="E6022" t="s">
        <v>1451</v>
      </c>
    </row>
    <row r="6023" spans="2:5">
      <c r="B6023" s="65" t="str">
        <f t="shared" si="94"/>
        <v>doc-x0809:2</v>
      </c>
      <c r="C6023" t="s">
        <v>10813</v>
      </c>
      <c r="D6023">
        <v>2</v>
      </c>
      <c r="E6023" t="s">
        <v>2026</v>
      </c>
    </row>
    <row r="6024" spans="2:5">
      <c r="B6024" s="65" t="str">
        <f t="shared" si="94"/>
        <v>doc-x0809:3</v>
      </c>
      <c r="C6024" t="s">
        <v>10813</v>
      </c>
      <c r="D6024">
        <v>3</v>
      </c>
      <c r="E6024" t="s">
        <v>2033</v>
      </c>
    </row>
    <row r="6025" spans="2:5">
      <c r="B6025" s="65" t="str">
        <f t="shared" si="94"/>
        <v>doc-x0809:4</v>
      </c>
      <c r="C6025" t="s">
        <v>10813</v>
      </c>
      <c r="D6025">
        <v>4</v>
      </c>
      <c r="E6025" t="s">
        <v>1899</v>
      </c>
    </row>
    <row r="6026" spans="2:5">
      <c r="B6026" s="65" t="str">
        <f t="shared" si="94"/>
        <v>doc-x0809:5</v>
      </c>
      <c r="C6026" t="s">
        <v>10813</v>
      </c>
      <c r="D6026">
        <v>5</v>
      </c>
      <c r="E6026" t="s">
        <v>2020</v>
      </c>
    </row>
    <row r="6027" spans="2:5">
      <c r="B6027" s="65" t="str">
        <f t="shared" si="94"/>
        <v>doc-x0812:1</v>
      </c>
      <c r="C6027" t="s">
        <v>10814</v>
      </c>
      <c r="D6027">
        <v>1</v>
      </c>
      <c r="E6027" t="s">
        <v>3097</v>
      </c>
    </row>
    <row r="6028" spans="2:5">
      <c r="B6028" s="65" t="str">
        <f t="shared" si="94"/>
        <v>doc-x0812:2</v>
      </c>
      <c r="C6028" t="s">
        <v>10814</v>
      </c>
      <c r="D6028">
        <v>2</v>
      </c>
      <c r="E6028" t="s">
        <v>1905</v>
      </c>
    </row>
    <row r="6029" spans="2:5">
      <c r="B6029" s="65" t="str">
        <f t="shared" si="94"/>
        <v>doc-x0814:1</v>
      </c>
      <c r="C6029" t="s">
        <v>6651</v>
      </c>
      <c r="D6029">
        <v>1</v>
      </c>
      <c r="E6029" t="s">
        <v>2954</v>
      </c>
    </row>
    <row r="6030" spans="2:5">
      <c r="B6030" s="65" t="str">
        <f t="shared" si="94"/>
        <v>doc-x0814:2</v>
      </c>
      <c r="C6030" t="s">
        <v>6651</v>
      </c>
      <c r="D6030">
        <v>2</v>
      </c>
      <c r="E6030" t="s">
        <v>2967</v>
      </c>
    </row>
    <row r="6031" spans="2:5">
      <c r="B6031" s="65" t="str">
        <f t="shared" si="94"/>
        <v>doc-x0814:3</v>
      </c>
      <c r="C6031" t="s">
        <v>6651</v>
      </c>
      <c r="D6031">
        <v>3</v>
      </c>
      <c r="E6031" t="s">
        <v>299</v>
      </c>
    </row>
    <row r="6032" spans="2:5">
      <c r="B6032" s="65" t="str">
        <f t="shared" si="94"/>
        <v>doc-x0814:4</v>
      </c>
      <c r="C6032" t="s">
        <v>6651</v>
      </c>
      <c r="D6032">
        <v>4</v>
      </c>
      <c r="E6032" t="s">
        <v>254</v>
      </c>
    </row>
    <row r="6033" spans="2:5">
      <c r="B6033" s="65" t="str">
        <f t="shared" si="94"/>
        <v>doc-x0817:1</v>
      </c>
      <c r="C6033" t="s">
        <v>10815</v>
      </c>
      <c r="D6033">
        <v>1</v>
      </c>
      <c r="E6033" t="s">
        <v>1224</v>
      </c>
    </row>
    <row r="6034" spans="2:5">
      <c r="B6034" s="65" t="str">
        <f t="shared" si="94"/>
        <v>doc-x0817:2</v>
      </c>
      <c r="C6034" t="s">
        <v>10815</v>
      </c>
      <c r="D6034">
        <v>2</v>
      </c>
      <c r="E6034" t="s">
        <v>1216</v>
      </c>
    </row>
    <row r="6035" spans="2:5">
      <c r="B6035" s="65" t="str">
        <f t="shared" si="94"/>
        <v>doc-x0817:3</v>
      </c>
      <c r="C6035" t="s">
        <v>10815</v>
      </c>
      <c r="D6035">
        <v>3</v>
      </c>
      <c r="E6035" t="s">
        <v>1227</v>
      </c>
    </row>
    <row r="6036" spans="2:5">
      <c r="B6036" s="65" t="str">
        <f t="shared" si="94"/>
        <v>doc-x0817:4</v>
      </c>
      <c r="C6036" t="s">
        <v>10815</v>
      </c>
      <c r="D6036">
        <v>4</v>
      </c>
      <c r="E6036" t="s">
        <v>1219</v>
      </c>
    </row>
    <row r="6037" spans="2:5">
      <c r="B6037" s="65" t="str">
        <f t="shared" si="94"/>
        <v>doc-x0818:1</v>
      </c>
      <c r="C6037" t="s">
        <v>10816</v>
      </c>
      <c r="D6037">
        <v>1</v>
      </c>
      <c r="E6037" t="s">
        <v>1844</v>
      </c>
    </row>
    <row r="6038" spans="2:5">
      <c r="B6038" s="65" t="str">
        <f t="shared" si="94"/>
        <v>doc-x0818:2</v>
      </c>
      <c r="C6038" t="s">
        <v>10816</v>
      </c>
      <c r="D6038">
        <v>2</v>
      </c>
      <c r="E6038" t="s">
        <v>1768</v>
      </c>
    </row>
    <row r="6039" spans="2:5">
      <c r="B6039" s="65" t="str">
        <f t="shared" si="94"/>
        <v>doc-x0818:3</v>
      </c>
      <c r="C6039" t="s">
        <v>10816</v>
      </c>
      <c r="D6039">
        <v>3</v>
      </c>
      <c r="E6039" t="s">
        <v>2027</v>
      </c>
    </row>
    <row r="6040" spans="2:5">
      <c r="B6040" s="65" t="str">
        <f t="shared" si="94"/>
        <v>doc-x0818:4</v>
      </c>
      <c r="C6040" t="s">
        <v>10816</v>
      </c>
      <c r="D6040">
        <v>4</v>
      </c>
      <c r="E6040" t="s">
        <v>1941</v>
      </c>
    </row>
    <row r="6041" spans="2:5">
      <c r="B6041" s="65" t="str">
        <f t="shared" si="94"/>
        <v>doc-x0818:5</v>
      </c>
      <c r="C6041" t="s">
        <v>10816</v>
      </c>
      <c r="D6041">
        <v>5</v>
      </c>
      <c r="E6041" t="s">
        <v>1765</v>
      </c>
    </row>
    <row r="6042" spans="2:5">
      <c r="B6042" s="65" t="str">
        <f t="shared" si="94"/>
        <v>doc-x0818:6</v>
      </c>
      <c r="C6042" t="s">
        <v>10816</v>
      </c>
      <c r="D6042">
        <v>6</v>
      </c>
      <c r="E6042" t="s">
        <v>1944</v>
      </c>
    </row>
    <row r="6043" spans="2:5">
      <c r="B6043" s="65" t="str">
        <f t="shared" si="94"/>
        <v>doc-x0826:1</v>
      </c>
      <c r="C6043" t="s">
        <v>10817</v>
      </c>
      <c r="D6043">
        <v>1</v>
      </c>
      <c r="E6043" t="s">
        <v>3126</v>
      </c>
    </row>
    <row r="6044" spans="2:5">
      <c r="B6044" s="65" t="str">
        <f t="shared" si="94"/>
        <v>doc-x0826:2</v>
      </c>
      <c r="C6044" t="s">
        <v>10817</v>
      </c>
      <c r="D6044">
        <v>2</v>
      </c>
      <c r="E6044" t="s">
        <v>2849</v>
      </c>
    </row>
    <row r="6045" spans="2:5">
      <c r="B6045" s="65" t="str">
        <f t="shared" si="94"/>
        <v>doc-x0826:3</v>
      </c>
      <c r="C6045" t="s">
        <v>10817</v>
      </c>
      <c r="D6045">
        <v>3</v>
      </c>
      <c r="E6045" t="s">
        <v>2860</v>
      </c>
    </row>
    <row r="6046" spans="2:5">
      <c r="B6046" s="65" t="str">
        <f t="shared" si="94"/>
        <v>doc-x0827:1</v>
      </c>
      <c r="C6046" t="s">
        <v>10818</v>
      </c>
      <c r="D6046">
        <v>1</v>
      </c>
      <c r="E6046" t="s">
        <v>1911</v>
      </c>
    </row>
    <row r="6047" spans="2:5">
      <c r="B6047" s="65" t="str">
        <f t="shared" si="94"/>
        <v>doc-x0827:2</v>
      </c>
      <c r="C6047" t="s">
        <v>10818</v>
      </c>
      <c r="D6047">
        <v>2</v>
      </c>
      <c r="E6047" t="s">
        <v>1994</v>
      </c>
    </row>
    <row r="6048" spans="2:5">
      <c r="B6048" s="65" t="str">
        <f t="shared" si="94"/>
        <v>doc-x0827:3</v>
      </c>
      <c r="C6048" t="s">
        <v>10818</v>
      </c>
      <c r="D6048">
        <v>3</v>
      </c>
      <c r="E6048" t="s">
        <v>2038</v>
      </c>
    </row>
    <row r="6049" spans="2:5">
      <c r="B6049" s="65" t="str">
        <f t="shared" si="94"/>
        <v>doc-x0827:4</v>
      </c>
      <c r="C6049" t="s">
        <v>10818</v>
      </c>
      <c r="D6049">
        <v>4</v>
      </c>
      <c r="E6049" t="s">
        <v>1880</v>
      </c>
    </row>
    <row r="6050" spans="2:5">
      <c r="B6050" s="65" t="str">
        <f t="shared" si="94"/>
        <v>doc-x0842:1</v>
      </c>
      <c r="C6050" t="s">
        <v>10819</v>
      </c>
      <c r="D6050">
        <v>1</v>
      </c>
      <c r="E6050" t="s">
        <v>1896</v>
      </c>
    </row>
    <row r="6051" spans="2:5">
      <c r="B6051" s="65" t="str">
        <f t="shared" si="94"/>
        <v>doc-x0845:1</v>
      </c>
      <c r="C6051" t="s">
        <v>6657</v>
      </c>
      <c r="D6051">
        <v>1</v>
      </c>
      <c r="E6051" t="s">
        <v>2485</v>
      </c>
    </row>
    <row r="6052" spans="2:5">
      <c r="B6052" s="65" t="str">
        <f t="shared" si="94"/>
        <v>doc-x0845:2</v>
      </c>
      <c r="C6052" t="s">
        <v>6657</v>
      </c>
      <c r="D6052">
        <v>2</v>
      </c>
      <c r="E6052" t="s">
        <v>2422</v>
      </c>
    </row>
    <row r="6053" spans="2:5">
      <c r="B6053" s="65" t="str">
        <f t="shared" si="94"/>
        <v>doc-x0845:3</v>
      </c>
      <c r="C6053" t="s">
        <v>6657</v>
      </c>
      <c r="D6053">
        <v>3</v>
      </c>
      <c r="E6053" t="s">
        <v>1968</v>
      </c>
    </row>
    <row r="6054" spans="2:5">
      <c r="B6054" s="65" t="str">
        <f t="shared" si="94"/>
        <v>doc-x0847:1</v>
      </c>
      <c r="C6054" t="s">
        <v>10820</v>
      </c>
      <c r="D6054">
        <v>1</v>
      </c>
      <c r="E6054" t="s">
        <v>2983</v>
      </c>
    </row>
    <row r="6055" spans="2:5">
      <c r="B6055" s="65" t="str">
        <f t="shared" si="94"/>
        <v>doc-x0847:2</v>
      </c>
      <c r="C6055" t="s">
        <v>10820</v>
      </c>
      <c r="D6055">
        <v>2</v>
      </c>
      <c r="E6055" t="s">
        <v>3010</v>
      </c>
    </row>
    <row r="6056" spans="2:5">
      <c r="B6056" s="65" t="str">
        <f t="shared" si="94"/>
        <v>doc-x0847:3</v>
      </c>
      <c r="C6056" t="s">
        <v>10820</v>
      </c>
      <c r="D6056">
        <v>3</v>
      </c>
      <c r="E6056" t="s">
        <v>2515</v>
      </c>
    </row>
    <row r="6057" spans="2:5">
      <c r="B6057" s="65" t="str">
        <f t="shared" si="94"/>
        <v>doc-x0847:4</v>
      </c>
      <c r="C6057" t="s">
        <v>10820</v>
      </c>
      <c r="D6057">
        <v>4</v>
      </c>
      <c r="E6057" t="s">
        <v>2849</v>
      </c>
    </row>
    <row r="6058" spans="2:5">
      <c r="B6058" s="65" t="str">
        <f t="shared" si="94"/>
        <v>doc-x0852:1</v>
      </c>
      <c r="C6058" t="s">
        <v>10821</v>
      </c>
      <c r="D6058">
        <v>1</v>
      </c>
      <c r="E6058" t="s">
        <v>1844</v>
      </c>
    </row>
    <row r="6059" spans="2:5">
      <c r="B6059" s="65" t="str">
        <f t="shared" si="94"/>
        <v>doc-x0852:2</v>
      </c>
      <c r="C6059" t="s">
        <v>10821</v>
      </c>
      <c r="D6059">
        <v>2</v>
      </c>
      <c r="E6059" t="s">
        <v>2027</v>
      </c>
    </row>
    <row r="6060" spans="2:5">
      <c r="B6060" s="65" t="str">
        <f t="shared" si="94"/>
        <v>doc-x0852:3</v>
      </c>
      <c r="C6060" t="s">
        <v>10821</v>
      </c>
      <c r="D6060">
        <v>3</v>
      </c>
      <c r="E6060" t="s">
        <v>1994</v>
      </c>
    </row>
    <row r="6061" spans="2:5">
      <c r="B6061" s="65" t="str">
        <f t="shared" si="94"/>
        <v>doc-x0852:4</v>
      </c>
      <c r="C6061" t="s">
        <v>10821</v>
      </c>
      <c r="D6061">
        <v>4</v>
      </c>
      <c r="E6061" t="s">
        <v>1941</v>
      </c>
    </row>
    <row r="6062" spans="2:5">
      <c r="B6062" s="65" t="str">
        <f t="shared" si="94"/>
        <v>doc-x0852:5</v>
      </c>
      <c r="C6062" t="s">
        <v>10821</v>
      </c>
      <c r="D6062">
        <v>5</v>
      </c>
      <c r="E6062" t="s">
        <v>1856</v>
      </c>
    </row>
    <row r="6063" spans="2:5">
      <c r="B6063" s="65" t="str">
        <f t="shared" si="94"/>
        <v>doc-x0852:6</v>
      </c>
      <c r="C6063" t="s">
        <v>10821</v>
      </c>
      <c r="D6063">
        <v>6</v>
      </c>
      <c r="E6063" t="s">
        <v>1880</v>
      </c>
    </row>
    <row r="6064" spans="2:5">
      <c r="B6064" s="65" t="str">
        <f t="shared" si="94"/>
        <v>doc-x0855:1</v>
      </c>
      <c r="C6064" t="s">
        <v>10822</v>
      </c>
      <c r="D6064">
        <v>1</v>
      </c>
      <c r="E6064" t="s">
        <v>1844</v>
      </c>
    </row>
    <row r="6065" spans="2:5">
      <c r="B6065" s="65" t="str">
        <f t="shared" si="94"/>
        <v>doc-x0855:2</v>
      </c>
      <c r="C6065" t="s">
        <v>10822</v>
      </c>
      <c r="D6065">
        <v>2</v>
      </c>
      <c r="E6065" t="s">
        <v>1833</v>
      </c>
    </row>
    <row r="6066" spans="2:5">
      <c r="B6066" s="65" t="str">
        <f t="shared" si="94"/>
        <v>doc-x0855:3</v>
      </c>
      <c r="C6066" t="s">
        <v>10822</v>
      </c>
      <c r="D6066">
        <v>3</v>
      </c>
      <c r="E6066" t="s">
        <v>2843</v>
      </c>
    </row>
    <row r="6067" spans="2:5">
      <c r="B6067" s="65" t="str">
        <f t="shared" si="94"/>
        <v>doc-x0855:4</v>
      </c>
      <c r="C6067" t="s">
        <v>10822</v>
      </c>
      <c r="D6067">
        <v>4</v>
      </c>
      <c r="E6067" t="s">
        <v>1409</v>
      </c>
    </row>
    <row r="6068" spans="2:5">
      <c r="B6068" s="65" t="str">
        <f t="shared" si="94"/>
        <v>doc-x0855:5</v>
      </c>
      <c r="C6068" t="s">
        <v>10822</v>
      </c>
      <c r="D6068">
        <v>5</v>
      </c>
      <c r="E6068" t="s">
        <v>1883</v>
      </c>
    </row>
    <row r="6069" spans="2:5">
      <c r="B6069" s="65" t="str">
        <f t="shared" si="94"/>
        <v>doc-x0855:6</v>
      </c>
      <c r="C6069" t="s">
        <v>10822</v>
      </c>
      <c r="D6069">
        <v>6</v>
      </c>
      <c r="E6069" t="s">
        <v>2017</v>
      </c>
    </row>
    <row r="6070" spans="2:5">
      <c r="B6070" s="65" t="str">
        <f t="shared" si="94"/>
        <v>doc-x0855:7</v>
      </c>
      <c r="C6070" t="s">
        <v>10822</v>
      </c>
      <c r="D6070">
        <v>7</v>
      </c>
      <c r="E6070" t="s">
        <v>1944</v>
      </c>
    </row>
    <row r="6071" spans="2:5">
      <c r="B6071" s="65" t="str">
        <f t="shared" si="94"/>
        <v>doc-x0859:1</v>
      </c>
      <c r="C6071" t="s">
        <v>10823</v>
      </c>
      <c r="D6071">
        <v>1</v>
      </c>
      <c r="E6071" t="s">
        <v>92</v>
      </c>
    </row>
    <row r="6072" spans="2:5">
      <c r="B6072" s="65" t="str">
        <f t="shared" si="94"/>
        <v>doc-x0859:2</v>
      </c>
      <c r="C6072" t="s">
        <v>10823</v>
      </c>
      <c r="D6072">
        <v>2</v>
      </c>
      <c r="E6072" t="s">
        <v>1744</v>
      </c>
    </row>
    <row r="6073" spans="2:5">
      <c r="B6073" s="65" t="str">
        <f t="shared" si="94"/>
        <v>doc-x0867:1</v>
      </c>
      <c r="C6073" t="s">
        <v>10824</v>
      </c>
      <c r="D6073">
        <v>1</v>
      </c>
      <c r="E6073" t="s">
        <v>2101</v>
      </c>
    </row>
    <row r="6074" spans="2:5">
      <c r="B6074" s="65" t="str">
        <f t="shared" si="94"/>
        <v>doc-x0867:2</v>
      </c>
      <c r="C6074" t="s">
        <v>10824</v>
      </c>
      <c r="D6074">
        <v>2</v>
      </c>
      <c r="E6074" t="s">
        <v>1833</v>
      </c>
    </row>
    <row r="6075" spans="2:5">
      <c r="B6075" s="65" t="str">
        <f t="shared" si="94"/>
        <v>doc-x0869:1</v>
      </c>
      <c r="C6075" t="s">
        <v>10825</v>
      </c>
      <c r="D6075">
        <v>1</v>
      </c>
      <c r="E6075" t="s">
        <v>2320</v>
      </c>
    </row>
    <row r="6076" spans="2:5">
      <c r="B6076" s="65" t="str">
        <f t="shared" si="94"/>
        <v>doc-x0869:2</v>
      </c>
      <c r="C6076" t="s">
        <v>10825</v>
      </c>
      <c r="D6076">
        <v>2</v>
      </c>
      <c r="E6076" t="s">
        <v>281</v>
      </c>
    </row>
    <row r="6077" spans="2:5">
      <c r="B6077" s="65" t="str">
        <f t="shared" si="94"/>
        <v>doc-x0869:3</v>
      </c>
      <c r="C6077" t="s">
        <v>10825</v>
      </c>
      <c r="D6077">
        <v>3</v>
      </c>
      <c r="E6077" t="s">
        <v>2543</v>
      </c>
    </row>
    <row r="6078" spans="2:5">
      <c r="B6078" s="65" t="str">
        <f t="shared" si="94"/>
        <v>doc-x0879:1</v>
      </c>
      <c r="C6078" t="s">
        <v>10826</v>
      </c>
      <c r="D6078">
        <v>1</v>
      </c>
      <c r="E6078" t="s">
        <v>2485</v>
      </c>
    </row>
    <row r="6079" spans="2:5">
      <c r="B6079" s="65" t="str">
        <f t="shared" si="94"/>
        <v>doc-x0879:2</v>
      </c>
      <c r="C6079" t="s">
        <v>10826</v>
      </c>
      <c r="D6079">
        <v>2</v>
      </c>
      <c r="E6079" t="s">
        <v>2422</v>
      </c>
    </row>
    <row r="6080" spans="2:5">
      <c r="B6080" s="65" t="str">
        <f t="shared" si="94"/>
        <v>doc-x0879:3</v>
      </c>
      <c r="C6080" t="s">
        <v>10826</v>
      </c>
      <c r="D6080">
        <v>3</v>
      </c>
      <c r="E6080" t="s">
        <v>1968</v>
      </c>
    </row>
    <row r="6081" spans="2:5">
      <c r="B6081" s="65" t="str">
        <f t="shared" si="94"/>
        <v>doc-x0879:4</v>
      </c>
      <c r="C6081" t="s">
        <v>10826</v>
      </c>
      <c r="D6081">
        <v>4</v>
      </c>
      <c r="E6081" t="s">
        <v>1343</v>
      </c>
    </row>
    <row r="6082" spans="2:5">
      <c r="B6082" s="65" t="str">
        <f t="shared" si="94"/>
        <v>doc-x0881:1</v>
      </c>
      <c r="C6082" t="s">
        <v>10827</v>
      </c>
      <c r="D6082">
        <v>1</v>
      </c>
      <c r="E6082" t="s">
        <v>1844</v>
      </c>
    </row>
    <row r="6083" spans="2:5">
      <c r="B6083" s="65" t="str">
        <f t="shared" si="94"/>
        <v>doc-x0881:2</v>
      </c>
      <c r="C6083" t="s">
        <v>10827</v>
      </c>
      <c r="D6083">
        <v>2</v>
      </c>
      <c r="E6083" t="s">
        <v>1877</v>
      </c>
    </row>
    <row r="6084" spans="2:5">
      <c r="B6084" s="65" t="str">
        <f t="shared" ref="B6084:B6147" si="95">$C6084&amp;":"&amp;$D6084</f>
        <v>doc-x0881:3</v>
      </c>
      <c r="C6084" t="s">
        <v>10827</v>
      </c>
      <c r="D6084">
        <v>3</v>
      </c>
      <c r="E6084" t="s">
        <v>1941</v>
      </c>
    </row>
    <row r="6085" spans="2:5">
      <c r="B6085" s="65" t="str">
        <f t="shared" si="95"/>
        <v>doc-x0883:1</v>
      </c>
      <c r="C6085" t="s">
        <v>10828</v>
      </c>
      <c r="D6085">
        <v>1</v>
      </c>
      <c r="E6085" t="s">
        <v>76</v>
      </c>
    </row>
    <row r="6086" spans="2:5">
      <c r="B6086" s="65" t="str">
        <f t="shared" si="95"/>
        <v>doc-x0883:2</v>
      </c>
      <c r="C6086" t="s">
        <v>10828</v>
      </c>
      <c r="D6086">
        <v>2</v>
      </c>
      <c r="E6086" t="s">
        <v>87</v>
      </c>
    </row>
    <row r="6087" spans="2:5">
      <c r="B6087" s="65" t="str">
        <f t="shared" si="95"/>
        <v>doc-x0883:3</v>
      </c>
      <c r="C6087" t="s">
        <v>10828</v>
      </c>
      <c r="D6087">
        <v>3</v>
      </c>
      <c r="E6087" t="s">
        <v>73</v>
      </c>
    </row>
    <row r="6088" spans="2:5">
      <c r="B6088" s="65" t="str">
        <f t="shared" si="95"/>
        <v>doc-x0883:4</v>
      </c>
      <c r="C6088" t="s">
        <v>10828</v>
      </c>
      <c r="D6088">
        <v>4</v>
      </c>
      <c r="E6088" t="s">
        <v>1968</v>
      </c>
    </row>
    <row r="6089" spans="2:5">
      <c r="B6089" s="65" t="str">
        <f t="shared" si="95"/>
        <v>doc-x0888:1</v>
      </c>
      <c r="C6089" t="s">
        <v>10829</v>
      </c>
      <c r="D6089">
        <v>1</v>
      </c>
      <c r="E6089" t="s">
        <v>2546</v>
      </c>
    </row>
    <row r="6090" spans="2:5">
      <c r="B6090" s="65" t="str">
        <f t="shared" si="95"/>
        <v>doc-x0888:2</v>
      </c>
      <c r="C6090" t="s">
        <v>10829</v>
      </c>
      <c r="D6090">
        <v>2</v>
      </c>
      <c r="E6090" t="s">
        <v>3036</v>
      </c>
    </row>
    <row r="6091" spans="2:5">
      <c r="B6091" s="65" t="str">
        <f t="shared" si="95"/>
        <v>doc-x0888:3</v>
      </c>
      <c r="C6091" t="s">
        <v>10829</v>
      </c>
      <c r="D6091">
        <v>3</v>
      </c>
      <c r="E6091" t="s">
        <v>1979</v>
      </c>
    </row>
    <row r="6092" spans="2:5">
      <c r="B6092" s="65" t="str">
        <f t="shared" si="95"/>
        <v>doc-x0888:4</v>
      </c>
      <c r="C6092" t="s">
        <v>10829</v>
      </c>
      <c r="D6092">
        <v>4</v>
      </c>
      <c r="E6092" t="s">
        <v>1804</v>
      </c>
    </row>
    <row r="6093" spans="2:5">
      <c r="B6093" s="65" t="str">
        <f t="shared" si="95"/>
        <v>doc-x0888:5</v>
      </c>
      <c r="C6093" t="s">
        <v>10829</v>
      </c>
      <c r="D6093">
        <v>5</v>
      </c>
      <c r="E6093" t="s">
        <v>90</v>
      </c>
    </row>
    <row r="6094" spans="2:5">
      <c r="B6094" s="65" t="str">
        <f t="shared" si="95"/>
        <v>doc-x0888:6</v>
      </c>
      <c r="C6094" t="s">
        <v>10829</v>
      </c>
      <c r="D6094">
        <v>6</v>
      </c>
      <c r="E6094" t="s">
        <v>1053</v>
      </c>
    </row>
    <row r="6095" spans="2:5">
      <c r="B6095" s="65" t="str">
        <f t="shared" si="95"/>
        <v>doc-x0888:7</v>
      </c>
      <c r="C6095" t="s">
        <v>10829</v>
      </c>
      <c r="D6095">
        <v>7</v>
      </c>
      <c r="E6095" t="s">
        <v>3039</v>
      </c>
    </row>
    <row r="6096" spans="2:5">
      <c r="B6096" s="65" t="str">
        <f t="shared" si="95"/>
        <v>doc-x0888:8</v>
      </c>
      <c r="C6096" t="s">
        <v>10829</v>
      </c>
      <c r="D6096">
        <v>8</v>
      </c>
      <c r="E6096" t="s">
        <v>1111</v>
      </c>
    </row>
    <row r="6097" spans="2:5">
      <c r="B6097" s="65" t="str">
        <f t="shared" si="95"/>
        <v>doc-x0889:1</v>
      </c>
      <c r="C6097" t="s">
        <v>10830</v>
      </c>
      <c r="D6097">
        <v>1</v>
      </c>
      <c r="E6097" t="s">
        <v>2686</v>
      </c>
    </row>
    <row r="6098" spans="2:5">
      <c r="B6098" s="65" t="str">
        <f t="shared" si="95"/>
        <v>doc-x0889:2</v>
      </c>
      <c r="C6098" t="s">
        <v>10830</v>
      </c>
      <c r="D6098">
        <v>2</v>
      </c>
      <c r="E6098" t="s">
        <v>2735</v>
      </c>
    </row>
    <row r="6099" spans="2:5">
      <c r="B6099" s="65" t="str">
        <f t="shared" si="95"/>
        <v>doc-x0889:3</v>
      </c>
      <c r="C6099" t="s">
        <v>10830</v>
      </c>
      <c r="D6099">
        <v>3</v>
      </c>
      <c r="E6099" t="s">
        <v>2691</v>
      </c>
    </row>
    <row r="6100" spans="2:5">
      <c r="B6100" s="65" t="str">
        <f t="shared" si="95"/>
        <v>doc-x0889:4</v>
      </c>
      <c r="C6100" t="s">
        <v>10830</v>
      </c>
      <c r="D6100">
        <v>4</v>
      </c>
      <c r="E6100" t="s">
        <v>2731</v>
      </c>
    </row>
    <row r="6101" spans="2:5">
      <c r="B6101" s="65" t="str">
        <f t="shared" si="95"/>
        <v>doc-x0889:5</v>
      </c>
      <c r="C6101" t="s">
        <v>10830</v>
      </c>
      <c r="D6101">
        <v>5</v>
      </c>
      <c r="E6101" t="s">
        <v>2664</v>
      </c>
    </row>
    <row r="6102" spans="2:5">
      <c r="B6102" s="65" t="str">
        <f t="shared" si="95"/>
        <v>doc-x0892:1</v>
      </c>
      <c r="C6102" t="s">
        <v>10831</v>
      </c>
      <c r="D6102">
        <v>1</v>
      </c>
      <c r="E6102" t="s">
        <v>1315</v>
      </c>
    </row>
    <row r="6103" spans="2:5">
      <c r="B6103" s="65" t="str">
        <f t="shared" si="95"/>
        <v>doc-x0892:2</v>
      </c>
      <c r="C6103" t="s">
        <v>10831</v>
      </c>
      <c r="D6103">
        <v>2</v>
      </c>
      <c r="E6103" t="s">
        <v>1296</v>
      </c>
    </row>
    <row r="6104" spans="2:5">
      <c r="B6104" s="65" t="str">
        <f t="shared" si="95"/>
        <v>doc-x0892:3</v>
      </c>
      <c r="C6104" t="s">
        <v>10831</v>
      </c>
      <c r="D6104">
        <v>3</v>
      </c>
      <c r="E6104" t="s">
        <v>254</v>
      </c>
    </row>
    <row r="6105" spans="2:5">
      <c r="B6105" s="65" t="str">
        <f t="shared" si="95"/>
        <v>doc-x0896:1</v>
      </c>
      <c r="C6105" t="s">
        <v>10832</v>
      </c>
      <c r="D6105">
        <v>1</v>
      </c>
      <c r="E6105" t="s">
        <v>2926</v>
      </c>
    </row>
    <row r="6106" spans="2:5">
      <c r="B6106" s="65" t="str">
        <f t="shared" si="95"/>
        <v>doc-x0896:2</v>
      </c>
      <c r="C6106" t="s">
        <v>10832</v>
      </c>
      <c r="D6106">
        <v>2</v>
      </c>
      <c r="E6106" t="s">
        <v>299</v>
      </c>
    </row>
    <row r="6107" spans="2:5">
      <c r="B6107" s="65" t="str">
        <f t="shared" si="95"/>
        <v>doc-x0896:3</v>
      </c>
      <c r="C6107" t="s">
        <v>10832</v>
      </c>
      <c r="D6107">
        <v>3</v>
      </c>
      <c r="E6107" t="s">
        <v>254</v>
      </c>
    </row>
    <row r="6108" spans="2:5">
      <c r="B6108" s="65" t="str">
        <f t="shared" si="95"/>
        <v>doc-x0898:1</v>
      </c>
      <c r="C6108" t="s">
        <v>10833</v>
      </c>
      <c r="D6108">
        <v>1</v>
      </c>
      <c r="E6108" t="s">
        <v>2289</v>
      </c>
    </row>
    <row r="6109" spans="2:5">
      <c r="B6109" s="65" t="str">
        <f t="shared" si="95"/>
        <v>doc-x0898:2</v>
      </c>
      <c r="C6109" t="s">
        <v>10833</v>
      </c>
      <c r="D6109">
        <v>2</v>
      </c>
      <c r="E6109" t="s">
        <v>281</v>
      </c>
    </row>
    <row r="6110" spans="2:5">
      <c r="B6110" s="65" t="str">
        <f t="shared" si="95"/>
        <v>doc-x0899:1</v>
      </c>
      <c r="C6110" t="s">
        <v>6663</v>
      </c>
      <c r="D6110">
        <v>1</v>
      </c>
      <c r="E6110" t="s">
        <v>2954</v>
      </c>
    </row>
    <row r="6111" spans="2:5">
      <c r="B6111" s="65" t="str">
        <f t="shared" si="95"/>
        <v>doc-x0899:2</v>
      </c>
      <c r="C6111" t="s">
        <v>6663</v>
      </c>
      <c r="D6111">
        <v>2</v>
      </c>
      <c r="E6111" t="s">
        <v>2923</v>
      </c>
    </row>
    <row r="6112" spans="2:5">
      <c r="B6112" s="65" t="str">
        <f t="shared" si="95"/>
        <v>doc-x0899:3</v>
      </c>
      <c r="C6112" t="s">
        <v>6663</v>
      </c>
      <c r="D6112">
        <v>3</v>
      </c>
      <c r="E6112" t="s">
        <v>299</v>
      </c>
    </row>
    <row r="6113" spans="2:5">
      <c r="B6113" s="65" t="str">
        <f t="shared" si="95"/>
        <v>doc-x0900:1</v>
      </c>
      <c r="C6113" t="s">
        <v>6667</v>
      </c>
      <c r="D6113">
        <v>1</v>
      </c>
      <c r="E6113" t="s">
        <v>2926</v>
      </c>
    </row>
    <row r="6114" spans="2:5">
      <c r="B6114" s="65" t="str">
        <f t="shared" si="95"/>
        <v>doc-x0900:2</v>
      </c>
      <c r="C6114" t="s">
        <v>6667</v>
      </c>
      <c r="D6114">
        <v>2</v>
      </c>
      <c r="E6114" t="s">
        <v>299</v>
      </c>
    </row>
    <row r="6115" spans="2:5">
      <c r="B6115" s="65" t="str">
        <f t="shared" si="95"/>
        <v>doc-x0900:3</v>
      </c>
      <c r="C6115" t="s">
        <v>6667</v>
      </c>
      <c r="D6115">
        <v>3</v>
      </c>
      <c r="E6115" t="s">
        <v>254</v>
      </c>
    </row>
    <row r="6116" spans="2:5">
      <c r="B6116" s="65" t="str">
        <f t="shared" si="95"/>
        <v>doc-x0901:1</v>
      </c>
      <c r="C6116" t="s">
        <v>6673</v>
      </c>
      <c r="D6116">
        <v>1</v>
      </c>
      <c r="E6116" t="s">
        <v>1642</v>
      </c>
    </row>
    <row r="6117" spans="2:5">
      <c r="B6117" s="65" t="str">
        <f t="shared" si="95"/>
        <v>doc-x0901:2</v>
      </c>
      <c r="C6117" t="s">
        <v>6673</v>
      </c>
      <c r="D6117">
        <v>2</v>
      </c>
      <c r="E6117" t="s">
        <v>1932</v>
      </c>
    </row>
    <row r="6118" spans="2:5">
      <c r="B6118" s="65" t="str">
        <f t="shared" si="95"/>
        <v>doc-x0901:3</v>
      </c>
      <c r="C6118" t="s">
        <v>6673</v>
      </c>
      <c r="D6118">
        <v>3</v>
      </c>
      <c r="E6118" t="s">
        <v>1927</v>
      </c>
    </row>
    <row r="6119" spans="2:5">
      <c r="B6119" s="65" t="str">
        <f t="shared" si="95"/>
        <v>doc-x0901:4</v>
      </c>
      <c r="C6119" t="s">
        <v>6673</v>
      </c>
      <c r="D6119">
        <v>4</v>
      </c>
      <c r="E6119" t="s">
        <v>1445</v>
      </c>
    </row>
    <row r="6120" spans="2:5">
      <c r="B6120" s="65" t="str">
        <f t="shared" si="95"/>
        <v>doc-x0902:1</v>
      </c>
      <c r="C6120" t="s">
        <v>10834</v>
      </c>
      <c r="D6120">
        <v>1</v>
      </c>
      <c r="E6120" t="s">
        <v>1637</v>
      </c>
    </row>
    <row r="6121" spans="2:5">
      <c r="B6121" s="65" t="str">
        <f t="shared" si="95"/>
        <v>doc-x0902:2</v>
      </c>
      <c r="C6121" t="s">
        <v>10834</v>
      </c>
      <c r="D6121">
        <v>2</v>
      </c>
      <c r="E6121" t="s">
        <v>1639</v>
      </c>
    </row>
    <row r="6122" spans="2:5">
      <c r="B6122" s="65" t="str">
        <f t="shared" si="95"/>
        <v>doc-x0902:3</v>
      </c>
      <c r="C6122" t="s">
        <v>10834</v>
      </c>
      <c r="D6122">
        <v>3</v>
      </c>
      <c r="E6122" t="s">
        <v>1941</v>
      </c>
    </row>
    <row r="6123" spans="2:5">
      <c r="B6123" s="65" t="str">
        <f t="shared" si="95"/>
        <v>doc-x0902:4</v>
      </c>
      <c r="C6123" t="s">
        <v>10834</v>
      </c>
      <c r="D6123">
        <v>4</v>
      </c>
      <c r="E6123" t="s">
        <v>2205</v>
      </c>
    </row>
    <row r="6124" spans="2:5">
      <c r="B6124" s="65" t="str">
        <f t="shared" si="95"/>
        <v>doc-x0902:5</v>
      </c>
      <c r="C6124" t="s">
        <v>10834</v>
      </c>
      <c r="D6124">
        <v>5</v>
      </c>
      <c r="E6124" t="s">
        <v>1634</v>
      </c>
    </row>
    <row r="6125" spans="2:5">
      <c r="B6125" s="65" t="str">
        <f t="shared" si="95"/>
        <v>doc-x0908:1</v>
      </c>
      <c r="C6125" t="s">
        <v>10835</v>
      </c>
      <c r="D6125">
        <v>1</v>
      </c>
      <c r="E6125" t="s">
        <v>2915</v>
      </c>
    </row>
    <row r="6126" spans="2:5">
      <c r="B6126" s="65" t="str">
        <f t="shared" si="95"/>
        <v>doc-x0908:2</v>
      </c>
      <c r="C6126" t="s">
        <v>10835</v>
      </c>
      <c r="D6126">
        <v>2</v>
      </c>
      <c r="E6126" t="s">
        <v>299</v>
      </c>
    </row>
    <row r="6127" spans="2:5">
      <c r="B6127" s="65" t="str">
        <f t="shared" si="95"/>
        <v>doc-x0908:3</v>
      </c>
      <c r="C6127" t="s">
        <v>10835</v>
      </c>
      <c r="D6127">
        <v>3</v>
      </c>
      <c r="E6127" t="s">
        <v>2918</v>
      </c>
    </row>
    <row r="6128" spans="2:5">
      <c r="B6128" s="65" t="str">
        <f t="shared" si="95"/>
        <v>doc-x0908:4</v>
      </c>
      <c r="C6128" t="s">
        <v>10835</v>
      </c>
      <c r="D6128">
        <v>4</v>
      </c>
      <c r="E6128" t="s">
        <v>1461</v>
      </c>
    </row>
    <row r="6129" spans="2:5">
      <c r="B6129" s="65" t="str">
        <f t="shared" si="95"/>
        <v>doc-x0908:5</v>
      </c>
      <c r="C6129" t="s">
        <v>10835</v>
      </c>
      <c r="D6129">
        <v>5</v>
      </c>
      <c r="E6129" t="s">
        <v>2731</v>
      </c>
    </row>
    <row r="6130" spans="2:5">
      <c r="B6130" s="65" t="str">
        <f t="shared" si="95"/>
        <v>doc-x0908:6</v>
      </c>
      <c r="C6130" t="s">
        <v>10835</v>
      </c>
      <c r="D6130">
        <v>6</v>
      </c>
      <c r="E6130" t="s">
        <v>2664</v>
      </c>
    </row>
    <row r="6131" spans="2:5">
      <c r="B6131" s="65" t="str">
        <f t="shared" si="95"/>
        <v>doc-x0908:7</v>
      </c>
      <c r="C6131" t="s">
        <v>10835</v>
      </c>
      <c r="D6131">
        <v>7</v>
      </c>
      <c r="E6131" t="s">
        <v>1119</v>
      </c>
    </row>
    <row r="6132" spans="2:5">
      <c r="B6132" s="65" t="str">
        <f t="shared" si="95"/>
        <v>doc-x0909:1</v>
      </c>
      <c r="C6132" t="s">
        <v>6679</v>
      </c>
      <c r="D6132">
        <v>1</v>
      </c>
      <c r="E6132" t="s">
        <v>2926</v>
      </c>
    </row>
    <row r="6133" spans="2:5">
      <c r="B6133" s="65" t="str">
        <f t="shared" si="95"/>
        <v>doc-x0909:2</v>
      </c>
      <c r="C6133" t="s">
        <v>6679</v>
      </c>
      <c r="D6133">
        <v>2</v>
      </c>
      <c r="E6133" t="s">
        <v>299</v>
      </c>
    </row>
    <row r="6134" spans="2:5">
      <c r="B6134" s="65" t="str">
        <f t="shared" si="95"/>
        <v>doc-x0909:3</v>
      </c>
      <c r="C6134" t="s">
        <v>6679</v>
      </c>
      <c r="D6134">
        <v>3</v>
      </c>
      <c r="E6134" t="s">
        <v>254</v>
      </c>
    </row>
    <row r="6135" spans="2:5">
      <c r="B6135" s="65" t="str">
        <f t="shared" si="95"/>
        <v>doc-x0909:4</v>
      </c>
      <c r="C6135" t="s">
        <v>6679</v>
      </c>
      <c r="D6135">
        <v>4</v>
      </c>
      <c r="E6135" t="s">
        <v>2960</v>
      </c>
    </row>
    <row r="6136" spans="2:5">
      <c r="B6136" s="65" t="str">
        <f t="shared" si="95"/>
        <v>doc-x0912:1</v>
      </c>
      <c r="C6136" t="s">
        <v>10836</v>
      </c>
      <c r="D6136">
        <v>1</v>
      </c>
      <c r="E6136" t="s">
        <v>1844</v>
      </c>
    </row>
    <row r="6137" spans="2:5">
      <c r="B6137" s="65" t="str">
        <f t="shared" si="95"/>
        <v>doc-x0913:1</v>
      </c>
      <c r="C6137" t="s">
        <v>10837</v>
      </c>
      <c r="D6137">
        <v>1</v>
      </c>
      <c r="E6137" t="s">
        <v>1896</v>
      </c>
    </row>
    <row r="6138" spans="2:5">
      <c r="B6138" s="65" t="str">
        <f t="shared" si="95"/>
        <v>doc-x0913:2</v>
      </c>
      <c r="C6138" t="s">
        <v>10837</v>
      </c>
      <c r="D6138">
        <v>2</v>
      </c>
      <c r="E6138" t="s">
        <v>1941</v>
      </c>
    </row>
    <row r="6139" spans="2:5">
      <c r="B6139" s="65" t="str">
        <f t="shared" si="95"/>
        <v>doc-x0914:1</v>
      </c>
      <c r="C6139" t="s">
        <v>10838</v>
      </c>
      <c r="D6139">
        <v>1</v>
      </c>
      <c r="E6139" t="s">
        <v>1844</v>
      </c>
    </row>
    <row r="6140" spans="2:5">
      <c r="B6140" s="65" t="str">
        <f t="shared" si="95"/>
        <v>doc-x0914:2</v>
      </c>
      <c r="C6140" t="s">
        <v>10838</v>
      </c>
      <c r="D6140">
        <v>2</v>
      </c>
      <c r="E6140" t="s">
        <v>1827</v>
      </c>
    </row>
    <row r="6141" spans="2:5">
      <c r="B6141" s="65" t="str">
        <f t="shared" si="95"/>
        <v>doc-x0917:1</v>
      </c>
      <c r="C6141" t="s">
        <v>10839</v>
      </c>
      <c r="D6141">
        <v>1</v>
      </c>
      <c r="E6141" t="s">
        <v>1844</v>
      </c>
    </row>
    <row r="6142" spans="2:5">
      <c r="B6142" s="65" t="str">
        <f t="shared" si="95"/>
        <v>doc-x0917:2</v>
      </c>
      <c r="C6142" t="s">
        <v>10839</v>
      </c>
      <c r="D6142">
        <v>2</v>
      </c>
      <c r="E6142" t="s">
        <v>1833</v>
      </c>
    </row>
    <row r="6143" spans="2:5">
      <c r="B6143" s="65" t="str">
        <f t="shared" si="95"/>
        <v>doc-x0917:3</v>
      </c>
      <c r="C6143" t="s">
        <v>10839</v>
      </c>
      <c r="D6143">
        <v>3</v>
      </c>
      <c r="E6143" t="s">
        <v>1944</v>
      </c>
    </row>
    <row r="6144" spans="2:5">
      <c r="B6144" s="65" t="str">
        <f t="shared" si="95"/>
        <v>doc-x0920:1</v>
      </c>
      <c r="C6144" t="s">
        <v>10840</v>
      </c>
      <c r="D6144">
        <v>1</v>
      </c>
      <c r="E6144" t="s">
        <v>3126</v>
      </c>
    </row>
    <row r="6145" spans="2:5">
      <c r="B6145" s="65" t="str">
        <f t="shared" si="95"/>
        <v>doc-x0920:2</v>
      </c>
      <c r="C6145" t="s">
        <v>10840</v>
      </c>
      <c r="D6145">
        <v>2</v>
      </c>
      <c r="E6145" t="s">
        <v>2286</v>
      </c>
    </row>
    <row r="6146" spans="2:5">
      <c r="B6146" s="65" t="str">
        <f t="shared" si="95"/>
        <v>doc-x0920:3</v>
      </c>
      <c r="C6146" t="s">
        <v>10840</v>
      </c>
      <c r="D6146">
        <v>3</v>
      </c>
      <c r="E6146" t="s">
        <v>2552</v>
      </c>
    </row>
    <row r="6147" spans="2:5">
      <c r="B6147" s="65" t="str">
        <f t="shared" si="95"/>
        <v>doc-x0922:1</v>
      </c>
      <c r="C6147" t="s">
        <v>10841</v>
      </c>
      <c r="D6147">
        <v>1</v>
      </c>
      <c r="E6147" t="s">
        <v>2003</v>
      </c>
    </row>
    <row r="6148" spans="2:5">
      <c r="B6148" s="65" t="str">
        <f t="shared" ref="B6148:B6211" si="96">$C6148&amp;":"&amp;$D6148</f>
        <v>doc-x0922:2</v>
      </c>
      <c r="C6148" t="s">
        <v>10841</v>
      </c>
      <c r="D6148">
        <v>2</v>
      </c>
      <c r="E6148" t="s">
        <v>1985</v>
      </c>
    </row>
    <row r="6149" spans="2:5">
      <c r="B6149" s="65" t="str">
        <f t="shared" si="96"/>
        <v>doc-x0922:3</v>
      </c>
      <c r="C6149" t="s">
        <v>10841</v>
      </c>
      <c r="D6149">
        <v>3</v>
      </c>
      <c r="E6149" t="s">
        <v>1916</v>
      </c>
    </row>
    <row r="6150" spans="2:5">
      <c r="B6150" s="65" t="str">
        <f t="shared" si="96"/>
        <v>doc-x0922:4</v>
      </c>
      <c r="C6150" t="s">
        <v>10841</v>
      </c>
      <c r="D6150">
        <v>4</v>
      </c>
      <c r="E6150" t="s">
        <v>1905</v>
      </c>
    </row>
    <row r="6151" spans="2:5">
      <c r="B6151" s="65" t="str">
        <f t="shared" si="96"/>
        <v>doc-x0922:5</v>
      </c>
      <c r="C6151" t="s">
        <v>10841</v>
      </c>
      <c r="D6151">
        <v>5</v>
      </c>
      <c r="E6151" t="s">
        <v>3163</v>
      </c>
    </row>
    <row r="6152" spans="2:5">
      <c r="B6152" s="65" t="str">
        <f t="shared" si="96"/>
        <v>doc-x0922:6</v>
      </c>
      <c r="C6152" t="s">
        <v>10841</v>
      </c>
      <c r="D6152">
        <v>6</v>
      </c>
      <c r="E6152" t="s">
        <v>1968</v>
      </c>
    </row>
    <row r="6153" spans="2:5">
      <c r="B6153" s="65" t="str">
        <f t="shared" si="96"/>
        <v>doc-x0924:1</v>
      </c>
      <c r="C6153" t="s">
        <v>10842</v>
      </c>
      <c r="D6153">
        <v>1</v>
      </c>
      <c r="E6153" t="s">
        <v>1856</v>
      </c>
    </row>
    <row r="6154" spans="2:5">
      <c r="B6154" s="65" t="str">
        <f t="shared" si="96"/>
        <v>doc-x0924:2</v>
      </c>
      <c r="C6154" t="s">
        <v>10842</v>
      </c>
      <c r="D6154">
        <v>2</v>
      </c>
      <c r="E6154" t="s">
        <v>1425</v>
      </c>
    </row>
    <row r="6155" spans="2:5">
      <c r="B6155" s="65" t="str">
        <f t="shared" si="96"/>
        <v>doc-x0924:3</v>
      </c>
      <c r="C6155" t="s">
        <v>10842</v>
      </c>
      <c r="D6155">
        <v>3</v>
      </c>
      <c r="E6155" t="s">
        <v>1349</v>
      </c>
    </row>
    <row r="6156" spans="2:5">
      <c r="B6156" s="65" t="str">
        <f t="shared" si="96"/>
        <v>doc-x0924:4</v>
      </c>
      <c r="C6156" t="s">
        <v>10842</v>
      </c>
      <c r="D6156">
        <v>4</v>
      </c>
      <c r="E6156" t="s">
        <v>1352</v>
      </c>
    </row>
    <row r="6157" spans="2:5">
      <c r="B6157" s="65" t="str">
        <f t="shared" si="96"/>
        <v>doc-x0924:5</v>
      </c>
      <c r="C6157" t="s">
        <v>10842</v>
      </c>
      <c r="D6157">
        <v>5</v>
      </c>
      <c r="E6157" t="s">
        <v>1108</v>
      </c>
    </row>
    <row r="6158" spans="2:5">
      <c r="B6158" s="65" t="str">
        <f t="shared" si="96"/>
        <v>doc-x0924:6</v>
      </c>
      <c r="C6158" t="s">
        <v>10842</v>
      </c>
      <c r="D6158">
        <v>6</v>
      </c>
      <c r="E6158" t="s">
        <v>3056</v>
      </c>
    </row>
    <row r="6159" spans="2:5">
      <c r="B6159" s="65" t="str">
        <f t="shared" si="96"/>
        <v>doc-x0938:1</v>
      </c>
      <c r="C6159" t="s">
        <v>6685</v>
      </c>
      <c r="D6159">
        <v>1</v>
      </c>
      <c r="E6159" t="s">
        <v>1437</v>
      </c>
    </row>
    <row r="6160" spans="2:5">
      <c r="B6160" s="65" t="str">
        <f t="shared" si="96"/>
        <v>doc-x0938:2</v>
      </c>
      <c r="C6160" t="s">
        <v>6685</v>
      </c>
      <c r="D6160">
        <v>2</v>
      </c>
      <c r="E6160" t="s">
        <v>2302</v>
      </c>
    </row>
    <row r="6161" spans="2:5">
      <c r="B6161" s="65" t="str">
        <f t="shared" si="96"/>
        <v>doc-x0938:3</v>
      </c>
      <c r="C6161" t="s">
        <v>6685</v>
      </c>
      <c r="D6161">
        <v>3</v>
      </c>
      <c r="E6161" t="s">
        <v>2173</v>
      </c>
    </row>
    <row r="6162" spans="2:5">
      <c r="B6162" s="65" t="str">
        <f t="shared" si="96"/>
        <v>doc-x0938:4</v>
      </c>
      <c r="C6162" t="s">
        <v>6685</v>
      </c>
      <c r="D6162">
        <v>4</v>
      </c>
      <c r="E6162" t="s">
        <v>1395</v>
      </c>
    </row>
    <row r="6163" spans="2:5">
      <c r="B6163" s="65" t="str">
        <f t="shared" si="96"/>
        <v>doc-x0938:5</v>
      </c>
      <c r="C6163" t="s">
        <v>6685</v>
      </c>
      <c r="D6163">
        <v>5</v>
      </c>
      <c r="E6163" t="s">
        <v>1349</v>
      </c>
    </row>
    <row r="6164" spans="2:5">
      <c r="B6164" s="65" t="str">
        <f t="shared" si="96"/>
        <v>doc-x0938:6</v>
      </c>
      <c r="C6164" t="s">
        <v>6685</v>
      </c>
      <c r="D6164">
        <v>6</v>
      </c>
      <c r="E6164" t="s">
        <v>281</v>
      </c>
    </row>
    <row r="6165" spans="2:5">
      <c r="B6165" s="65" t="str">
        <f t="shared" si="96"/>
        <v>doc-x0938:7</v>
      </c>
      <c r="C6165" t="s">
        <v>6685</v>
      </c>
      <c r="D6165">
        <v>7</v>
      </c>
      <c r="E6165" t="s">
        <v>2121</v>
      </c>
    </row>
    <row r="6166" spans="2:5">
      <c r="B6166" s="65" t="str">
        <f t="shared" si="96"/>
        <v>doc-x0942:1</v>
      </c>
      <c r="C6166" t="s">
        <v>10843</v>
      </c>
      <c r="D6166">
        <v>1</v>
      </c>
      <c r="E6166" t="s">
        <v>2087</v>
      </c>
    </row>
    <row r="6167" spans="2:5">
      <c r="B6167" s="65" t="str">
        <f t="shared" si="96"/>
        <v>doc-x0942:2</v>
      </c>
      <c r="C6167" t="s">
        <v>10843</v>
      </c>
      <c r="D6167">
        <v>2</v>
      </c>
      <c r="E6167" t="s">
        <v>1575</v>
      </c>
    </row>
    <row r="6168" spans="2:5">
      <c r="B6168" s="65" t="str">
        <f t="shared" si="96"/>
        <v>doc-x0942:3</v>
      </c>
      <c r="C6168" t="s">
        <v>10843</v>
      </c>
      <c r="D6168">
        <v>3</v>
      </c>
      <c r="E6168" t="s">
        <v>1668</v>
      </c>
    </row>
    <row r="6169" spans="2:5">
      <c r="B6169" s="65" t="str">
        <f t="shared" si="96"/>
        <v>doc-x0943:1</v>
      </c>
      <c r="C6169" t="s">
        <v>10844</v>
      </c>
      <c r="D6169">
        <v>1</v>
      </c>
      <c r="E6169" t="s">
        <v>2087</v>
      </c>
    </row>
    <row r="6170" spans="2:5">
      <c r="B6170" s="65" t="str">
        <f t="shared" si="96"/>
        <v>doc-x0944:1</v>
      </c>
      <c r="C6170" t="s">
        <v>10845</v>
      </c>
      <c r="D6170">
        <v>1</v>
      </c>
      <c r="E6170" t="s">
        <v>2101</v>
      </c>
    </row>
    <row r="6171" spans="2:5">
      <c r="B6171" s="65" t="str">
        <f t="shared" si="96"/>
        <v>doc-x0944:2</v>
      </c>
      <c r="C6171" t="s">
        <v>10845</v>
      </c>
      <c r="D6171">
        <v>2</v>
      </c>
      <c r="E6171" t="s">
        <v>2070</v>
      </c>
    </row>
    <row r="6172" spans="2:5">
      <c r="B6172" s="65" t="str">
        <f t="shared" si="96"/>
        <v>doc-x0944:3</v>
      </c>
      <c r="C6172" t="s">
        <v>10845</v>
      </c>
      <c r="D6172">
        <v>3</v>
      </c>
      <c r="E6172" t="s">
        <v>2121</v>
      </c>
    </row>
    <row r="6173" spans="2:5">
      <c r="B6173" s="65" t="str">
        <f t="shared" si="96"/>
        <v>doc-x0946:1</v>
      </c>
      <c r="C6173" t="s">
        <v>10846</v>
      </c>
      <c r="D6173">
        <v>1</v>
      </c>
      <c r="E6173" t="s">
        <v>2600</v>
      </c>
    </row>
    <row r="6174" spans="2:5">
      <c r="B6174" s="65" t="str">
        <f t="shared" si="96"/>
        <v>doc-x0946:2</v>
      </c>
      <c r="C6174" t="s">
        <v>10846</v>
      </c>
      <c r="D6174">
        <v>2</v>
      </c>
      <c r="E6174" t="s">
        <v>2633</v>
      </c>
    </row>
    <row r="6175" spans="2:5">
      <c r="B6175" s="65" t="str">
        <f t="shared" si="96"/>
        <v>doc-x0946:3</v>
      </c>
      <c r="C6175" t="s">
        <v>10846</v>
      </c>
      <c r="D6175">
        <v>3</v>
      </c>
      <c r="E6175" t="s">
        <v>2720</v>
      </c>
    </row>
    <row r="6176" spans="2:5">
      <c r="B6176" s="65" t="str">
        <f t="shared" si="96"/>
        <v>doc-x0946:4</v>
      </c>
      <c r="C6176" t="s">
        <v>10846</v>
      </c>
      <c r="D6176">
        <v>4</v>
      </c>
      <c r="E6176" t="s">
        <v>2664</v>
      </c>
    </row>
    <row r="6177" spans="2:5">
      <c r="B6177" s="65" t="str">
        <f t="shared" si="96"/>
        <v>doc-x0961:1</v>
      </c>
      <c r="C6177" t="s">
        <v>10847</v>
      </c>
      <c r="D6177">
        <v>1</v>
      </c>
      <c r="E6177" t="s">
        <v>299</v>
      </c>
    </row>
    <row r="6178" spans="2:5">
      <c r="B6178" s="65" t="str">
        <f t="shared" si="96"/>
        <v>doc-x0961:2</v>
      </c>
      <c r="C6178" t="s">
        <v>10847</v>
      </c>
      <c r="D6178">
        <v>2</v>
      </c>
      <c r="E6178" t="s">
        <v>254</v>
      </c>
    </row>
    <row r="6179" spans="2:5">
      <c r="B6179" s="65" t="str">
        <f t="shared" si="96"/>
        <v>doc-x0965:1</v>
      </c>
      <c r="C6179" t="s">
        <v>10848</v>
      </c>
      <c r="D6179">
        <v>1</v>
      </c>
      <c r="E6179" t="s">
        <v>2497</v>
      </c>
    </row>
    <row r="6180" spans="2:5">
      <c r="B6180" s="65" t="str">
        <f t="shared" si="96"/>
        <v>doc-x0965:2</v>
      </c>
      <c r="C6180" t="s">
        <v>10848</v>
      </c>
      <c r="D6180">
        <v>2</v>
      </c>
      <c r="E6180" t="s">
        <v>2422</v>
      </c>
    </row>
    <row r="6181" spans="2:5">
      <c r="B6181" s="65" t="str">
        <f t="shared" si="96"/>
        <v>doc-x0966:1</v>
      </c>
      <c r="C6181" t="s">
        <v>10849</v>
      </c>
      <c r="D6181">
        <v>1</v>
      </c>
      <c r="E6181" t="s">
        <v>2497</v>
      </c>
    </row>
    <row r="6182" spans="2:5">
      <c r="B6182" s="65" t="str">
        <f t="shared" si="96"/>
        <v>doc-x0966:2</v>
      </c>
      <c r="C6182" t="s">
        <v>10849</v>
      </c>
      <c r="D6182">
        <v>2</v>
      </c>
      <c r="E6182" t="s">
        <v>2422</v>
      </c>
    </row>
    <row r="6183" spans="2:5">
      <c r="B6183" s="65" t="str">
        <f t="shared" si="96"/>
        <v>doc-x0967:1</v>
      </c>
      <c r="C6183" t="s">
        <v>10850</v>
      </c>
      <c r="D6183">
        <v>1</v>
      </c>
      <c r="E6183" t="s">
        <v>1777</v>
      </c>
    </row>
    <row r="6184" spans="2:5">
      <c r="B6184" s="65" t="str">
        <f t="shared" si="96"/>
        <v>doc-x0967:2</v>
      </c>
      <c r="C6184" t="s">
        <v>10850</v>
      </c>
      <c r="D6184">
        <v>2</v>
      </c>
      <c r="E6184" t="s">
        <v>1782</v>
      </c>
    </row>
    <row r="6185" spans="2:5">
      <c r="B6185" s="65" t="str">
        <f t="shared" si="96"/>
        <v>doc-x0967:3</v>
      </c>
      <c r="C6185" t="s">
        <v>10850</v>
      </c>
      <c r="D6185">
        <v>3</v>
      </c>
      <c r="E6185" t="s">
        <v>1941</v>
      </c>
    </row>
    <row r="6186" spans="2:5">
      <c r="B6186" s="65" t="str">
        <f t="shared" si="96"/>
        <v>doc-x0970:1</v>
      </c>
      <c r="C6186" t="s">
        <v>10851</v>
      </c>
      <c r="D6186">
        <v>1</v>
      </c>
      <c r="E6186" t="s">
        <v>2698</v>
      </c>
    </row>
    <row r="6187" spans="2:5">
      <c r="B6187" s="65" t="str">
        <f t="shared" si="96"/>
        <v>doc-x0970:2</v>
      </c>
      <c r="C6187" t="s">
        <v>10851</v>
      </c>
      <c r="D6187">
        <v>2</v>
      </c>
      <c r="E6187" t="s">
        <v>1392</v>
      </c>
    </row>
    <row r="6188" spans="2:5">
      <c r="B6188" s="65" t="str">
        <f t="shared" si="96"/>
        <v>doc-x0970:3</v>
      </c>
      <c r="C6188" t="s">
        <v>10851</v>
      </c>
      <c r="D6188">
        <v>3</v>
      </c>
      <c r="E6188" t="s">
        <v>1407</v>
      </c>
    </row>
    <row r="6189" spans="2:5">
      <c r="B6189" s="65" t="str">
        <f t="shared" si="96"/>
        <v>doc-x0970:4</v>
      </c>
      <c r="C6189" t="s">
        <v>10851</v>
      </c>
      <c r="D6189">
        <v>4</v>
      </c>
      <c r="E6189" t="s">
        <v>1663</v>
      </c>
    </row>
    <row r="6190" spans="2:5">
      <c r="B6190" s="65" t="str">
        <f t="shared" si="96"/>
        <v>doc-x0970:5</v>
      </c>
      <c r="C6190" t="s">
        <v>10851</v>
      </c>
      <c r="D6190">
        <v>5</v>
      </c>
      <c r="E6190" t="s">
        <v>2664</v>
      </c>
    </row>
    <row r="6191" spans="2:5">
      <c r="B6191" s="65" t="str">
        <f t="shared" si="96"/>
        <v>doc-x0970:6</v>
      </c>
      <c r="C6191" t="s">
        <v>10851</v>
      </c>
      <c r="D6191">
        <v>6</v>
      </c>
      <c r="E6191" t="s">
        <v>1575</v>
      </c>
    </row>
    <row r="6192" spans="2:5">
      <c r="B6192" s="65" t="str">
        <f t="shared" si="96"/>
        <v>doc-x0973:1</v>
      </c>
      <c r="C6192" t="s">
        <v>6691</v>
      </c>
      <c r="D6192">
        <v>1</v>
      </c>
      <c r="E6192" t="s">
        <v>2729</v>
      </c>
    </row>
    <row r="6193" spans="2:5">
      <c r="B6193" s="65" t="str">
        <f t="shared" si="96"/>
        <v>doc-x0973:2</v>
      </c>
      <c r="C6193" t="s">
        <v>6691</v>
      </c>
      <c r="D6193">
        <v>2</v>
      </c>
      <c r="E6193" t="s">
        <v>2710</v>
      </c>
    </row>
    <row r="6194" spans="2:5">
      <c r="B6194" s="65" t="str">
        <f t="shared" si="96"/>
        <v>doc-x0973:3</v>
      </c>
      <c r="C6194" t="s">
        <v>6691</v>
      </c>
      <c r="D6194">
        <v>3</v>
      </c>
      <c r="E6194" t="s">
        <v>1911</v>
      </c>
    </row>
    <row r="6195" spans="2:5">
      <c r="B6195" s="65" t="str">
        <f t="shared" si="96"/>
        <v>doc-x0973:4</v>
      </c>
      <c r="C6195" t="s">
        <v>6691</v>
      </c>
      <c r="D6195">
        <v>4</v>
      </c>
      <c r="E6195" t="s">
        <v>2667</v>
      </c>
    </row>
    <row r="6196" spans="2:5">
      <c r="B6196" s="65" t="str">
        <f t="shared" si="96"/>
        <v>doc-x0974:1</v>
      </c>
      <c r="C6196" t="s">
        <v>10852</v>
      </c>
      <c r="D6196">
        <v>1</v>
      </c>
      <c r="E6196" t="s">
        <v>2892</v>
      </c>
    </row>
    <row r="6197" spans="2:5">
      <c r="B6197" s="65" t="str">
        <f t="shared" si="96"/>
        <v>doc-x0974:2</v>
      </c>
      <c r="C6197" t="s">
        <v>10852</v>
      </c>
      <c r="D6197">
        <v>2</v>
      </c>
      <c r="E6197" t="s">
        <v>1244</v>
      </c>
    </row>
    <row r="6198" spans="2:5">
      <c r="B6198" s="65" t="str">
        <f t="shared" si="96"/>
        <v>doc-x0974:3</v>
      </c>
      <c r="C6198" t="s">
        <v>10852</v>
      </c>
      <c r="D6198">
        <v>3</v>
      </c>
      <c r="E6198" t="s">
        <v>2860</v>
      </c>
    </row>
    <row r="6199" spans="2:5">
      <c r="B6199" s="65" t="str">
        <f t="shared" si="96"/>
        <v>doc-x0976:1</v>
      </c>
      <c r="C6199" t="s">
        <v>10853</v>
      </c>
      <c r="D6199">
        <v>1</v>
      </c>
      <c r="E6199" t="s">
        <v>3061</v>
      </c>
    </row>
    <row r="6200" spans="2:5">
      <c r="B6200" s="65" t="str">
        <f t="shared" si="96"/>
        <v>doc-x0980:1</v>
      </c>
      <c r="C6200" t="s">
        <v>10854</v>
      </c>
      <c r="D6200">
        <v>1</v>
      </c>
      <c r="E6200" t="s">
        <v>2435</v>
      </c>
    </row>
    <row r="6201" spans="2:5">
      <c r="B6201" s="65" t="str">
        <f t="shared" si="96"/>
        <v>doc-x0980:2</v>
      </c>
      <c r="C6201" t="s">
        <v>10854</v>
      </c>
      <c r="D6201">
        <v>2</v>
      </c>
      <c r="E6201" t="s">
        <v>2422</v>
      </c>
    </row>
    <row r="6202" spans="2:5">
      <c r="B6202" s="65" t="str">
        <f t="shared" si="96"/>
        <v>doc-x0983:1</v>
      </c>
      <c r="C6202" t="s">
        <v>10855</v>
      </c>
      <c r="D6202">
        <v>1</v>
      </c>
      <c r="E6202" t="s">
        <v>1395</v>
      </c>
    </row>
    <row r="6203" spans="2:5">
      <c r="B6203" s="65" t="str">
        <f t="shared" si="96"/>
        <v>doc-x0983:2</v>
      </c>
      <c r="C6203" t="s">
        <v>10855</v>
      </c>
      <c r="D6203">
        <v>2</v>
      </c>
      <c r="E6203" t="s">
        <v>1904</v>
      </c>
    </row>
    <row r="6204" spans="2:5">
      <c r="B6204" s="65" t="str">
        <f t="shared" si="96"/>
        <v>doc-x0983:3</v>
      </c>
      <c r="C6204" t="s">
        <v>10855</v>
      </c>
      <c r="D6204">
        <v>3</v>
      </c>
      <c r="E6204" t="s">
        <v>1838</v>
      </c>
    </row>
    <row r="6205" spans="2:5">
      <c r="B6205" s="65" t="str">
        <f t="shared" si="96"/>
        <v>doc-x0983:4</v>
      </c>
      <c r="C6205" t="s">
        <v>10855</v>
      </c>
      <c r="D6205">
        <v>4</v>
      </c>
      <c r="E6205" t="s">
        <v>1916</v>
      </c>
    </row>
    <row r="6206" spans="2:5">
      <c r="B6206" s="65" t="str">
        <f t="shared" si="96"/>
        <v>doc-x0988:1</v>
      </c>
      <c r="C6206" t="s">
        <v>10856</v>
      </c>
      <c r="D6206">
        <v>1</v>
      </c>
      <c r="E6206" t="s">
        <v>1795</v>
      </c>
    </row>
    <row r="6207" spans="2:5">
      <c r="B6207" s="65" t="str">
        <f t="shared" si="96"/>
        <v>doc-x0988:2</v>
      </c>
      <c r="C6207" t="s">
        <v>10856</v>
      </c>
      <c r="D6207">
        <v>2</v>
      </c>
      <c r="E6207" t="s">
        <v>1941</v>
      </c>
    </row>
    <row r="6208" spans="2:5">
      <c r="B6208" s="65" t="str">
        <f t="shared" si="96"/>
        <v>doc-x0992:1</v>
      </c>
      <c r="C6208" t="s">
        <v>10857</v>
      </c>
      <c r="D6208">
        <v>1</v>
      </c>
      <c r="E6208" t="s">
        <v>2101</v>
      </c>
    </row>
    <row r="6209" spans="2:5">
      <c r="B6209" s="65" t="str">
        <f t="shared" si="96"/>
        <v>doc-x0992:2</v>
      </c>
      <c r="C6209" t="s">
        <v>10857</v>
      </c>
      <c r="D6209">
        <v>2</v>
      </c>
      <c r="E6209" t="s">
        <v>2070</v>
      </c>
    </row>
    <row r="6210" spans="2:5">
      <c r="B6210" s="65" t="str">
        <f t="shared" si="96"/>
        <v>doc-x0992:3</v>
      </c>
      <c r="C6210" t="s">
        <v>10857</v>
      </c>
      <c r="D6210">
        <v>3</v>
      </c>
      <c r="E6210" t="s">
        <v>2121</v>
      </c>
    </row>
    <row r="6211" spans="2:5">
      <c r="B6211" s="65" t="str">
        <f t="shared" si="96"/>
        <v>doc-x0999:1</v>
      </c>
      <c r="C6211" t="s">
        <v>6697</v>
      </c>
      <c r="D6211">
        <v>1</v>
      </c>
      <c r="E6211" t="s">
        <v>2026</v>
      </c>
    </row>
    <row r="6212" spans="2:5">
      <c r="B6212" s="65" t="str">
        <f t="shared" ref="B6212:B6275" si="97">$C6212&amp;":"&amp;$D6212</f>
        <v>doc-x0999:2</v>
      </c>
      <c r="C6212" t="s">
        <v>6697</v>
      </c>
      <c r="D6212">
        <v>2</v>
      </c>
      <c r="E6212" t="s">
        <v>1849</v>
      </c>
    </row>
    <row r="6213" spans="2:5">
      <c r="B6213" s="65" t="str">
        <f t="shared" si="97"/>
        <v>doc-x1001:1</v>
      </c>
      <c r="C6213" t="s">
        <v>10858</v>
      </c>
      <c r="D6213">
        <v>1</v>
      </c>
      <c r="E6213" t="s">
        <v>2776</v>
      </c>
    </row>
    <row r="6214" spans="2:5">
      <c r="B6214" s="65" t="str">
        <f t="shared" si="97"/>
        <v>doc-x1001:2</v>
      </c>
      <c r="C6214" t="s">
        <v>10858</v>
      </c>
      <c r="D6214">
        <v>2</v>
      </c>
      <c r="E6214" t="s">
        <v>2803</v>
      </c>
    </row>
    <row r="6215" spans="2:5">
      <c r="B6215" s="65" t="str">
        <f t="shared" si="97"/>
        <v>doc-x1001:3</v>
      </c>
      <c r="C6215" t="s">
        <v>10858</v>
      </c>
      <c r="D6215">
        <v>3</v>
      </c>
      <c r="E6215" t="s">
        <v>2805</v>
      </c>
    </row>
    <row r="6216" spans="2:5">
      <c r="B6216" s="65" t="str">
        <f t="shared" si="97"/>
        <v>doc-x1010:1</v>
      </c>
      <c r="C6216" t="s">
        <v>10859</v>
      </c>
      <c r="D6216">
        <v>1</v>
      </c>
      <c r="E6216" t="s">
        <v>302</v>
      </c>
    </row>
    <row r="6217" spans="2:5">
      <c r="B6217" s="65" t="str">
        <f t="shared" si="97"/>
        <v>doc-x1011:1</v>
      </c>
      <c r="C6217" t="s">
        <v>10860</v>
      </c>
      <c r="D6217">
        <v>1</v>
      </c>
      <c r="E6217" t="s">
        <v>1757</v>
      </c>
    </row>
    <row r="6218" spans="2:5">
      <c r="B6218" s="65" t="str">
        <f t="shared" si="97"/>
        <v>doc-x1011:2</v>
      </c>
      <c r="C6218" t="s">
        <v>10860</v>
      </c>
      <c r="D6218">
        <v>2</v>
      </c>
      <c r="E6218" t="s">
        <v>1775</v>
      </c>
    </row>
    <row r="6219" spans="2:5">
      <c r="B6219" s="65" t="str">
        <f t="shared" si="97"/>
        <v>doc-x1011:3</v>
      </c>
      <c r="C6219" t="s">
        <v>10860</v>
      </c>
      <c r="D6219">
        <v>3</v>
      </c>
      <c r="E6219" t="s">
        <v>1224</v>
      </c>
    </row>
    <row r="6220" spans="2:5">
      <c r="B6220" s="65" t="str">
        <f t="shared" si="97"/>
        <v>doc-x1011:4</v>
      </c>
      <c r="C6220" t="s">
        <v>10860</v>
      </c>
      <c r="D6220">
        <v>4</v>
      </c>
      <c r="E6220" t="s">
        <v>1216</v>
      </c>
    </row>
    <row r="6221" spans="2:5">
      <c r="B6221" s="65" t="str">
        <f t="shared" si="97"/>
        <v>doc-x1025:1</v>
      </c>
      <c r="C6221" t="s">
        <v>6703</v>
      </c>
      <c r="D6221">
        <v>1</v>
      </c>
      <c r="E6221" t="s">
        <v>1637</v>
      </c>
    </row>
    <row r="6222" spans="2:5">
      <c r="B6222" s="65" t="str">
        <f t="shared" si="97"/>
        <v>doc-x1025:2</v>
      </c>
      <c r="C6222" t="s">
        <v>6703</v>
      </c>
      <c r="D6222">
        <v>2</v>
      </c>
      <c r="E6222" t="s">
        <v>1639</v>
      </c>
    </row>
    <row r="6223" spans="2:5">
      <c r="B6223" s="65" t="str">
        <f t="shared" si="97"/>
        <v>doc-x1025:3</v>
      </c>
      <c r="C6223" t="s">
        <v>6703</v>
      </c>
      <c r="D6223">
        <v>3</v>
      </c>
      <c r="E6223" t="s">
        <v>1941</v>
      </c>
    </row>
    <row r="6224" spans="2:5">
      <c r="B6224" s="65" t="str">
        <f t="shared" si="97"/>
        <v>doc-x1025:4</v>
      </c>
      <c r="C6224" t="s">
        <v>6703</v>
      </c>
      <c r="D6224">
        <v>4</v>
      </c>
      <c r="E6224" t="s">
        <v>1634</v>
      </c>
    </row>
    <row r="6225" spans="2:5">
      <c r="B6225" s="65" t="str">
        <f t="shared" si="97"/>
        <v>doc-x1026:1</v>
      </c>
      <c r="C6225" t="s">
        <v>6707</v>
      </c>
      <c r="D6225">
        <v>1</v>
      </c>
      <c r="E6225" t="s">
        <v>1637</v>
      </c>
    </row>
    <row r="6226" spans="2:5">
      <c r="B6226" s="65" t="str">
        <f t="shared" si="97"/>
        <v>doc-x1026:2</v>
      </c>
      <c r="C6226" t="s">
        <v>6707</v>
      </c>
      <c r="D6226">
        <v>2</v>
      </c>
      <c r="E6226" t="s">
        <v>1639</v>
      </c>
    </row>
    <row r="6227" spans="2:5">
      <c r="B6227" s="65" t="str">
        <f t="shared" si="97"/>
        <v>doc-x1026:3</v>
      </c>
      <c r="C6227" t="s">
        <v>6707</v>
      </c>
      <c r="D6227">
        <v>3</v>
      </c>
      <c r="E6227" t="s">
        <v>1941</v>
      </c>
    </row>
    <row r="6228" spans="2:5">
      <c r="B6228" s="65" t="str">
        <f t="shared" si="97"/>
        <v>doc-x1026:4</v>
      </c>
      <c r="C6228" t="s">
        <v>6707</v>
      </c>
      <c r="D6228">
        <v>4</v>
      </c>
      <c r="E6228" t="s">
        <v>1634</v>
      </c>
    </row>
    <row r="6229" spans="2:5">
      <c r="B6229" s="65" t="str">
        <f t="shared" si="97"/>
        <v>doc-x1028:1</v>
      </c>
      <c r="C6229" t="s">
        <v>10861</v>
      </c>
      <c r="D6229">
        <v>1</v>
      </c>
      <c r="E6229" t="s">
        <v>2491</v>
      </c>
    </row>
    <row r="6230" spans="2:5">
      <c r="B6230" s="65" t="str">
        <f t="shared" si="97"/>
        <v>doc-x1028:2</v>
      </c>
      <c r="C6230" t="s">
        <v>10861</v>
      </c>
      <c r="D6230">
        <v>2</v>
      </c>
      <c r="E6230" t="s">
        <v>2482</v>
      </c>
    </row>
    <row r="6231" spans="2:5">
      <c r="B6231" s="65" t="str">
        <f t="shared" si="97"/>
        <v>doc-x1028:3</v>
      </c>
      <c r="C6231" t="s">
        <v>10861</v>
      </c>
      <c r="D6231">
        <v>3</v>
      </c>
      <c r="E6231" t="s">
        <v>2473</v>
      </c>
    </row>
    <row r="6232" spans="2:5">
      <c r="B6232" s="65" t="str">
        <f t="shared" si="97"/>
        <v>doc-x1028:4</v>
      </c>
      <c r="C6232" t="s">
        <v>10861</v>
      </c>
      <c r="D6232">
        <v>4</v>
      </c>
      <c r="E6232" t="s">
        <v>2477</v>
      </c>
    </row>
    <row r="6233" spans="2:5">
      <c r="B6233" s="65" t="str">
        <f t="shared" si="97"/>
        <v>doc-x1028:5</v>
      </c>
      <c r="C6233" t="s">
        <v>10861</v>
      </c>
      <c r="D6233">
        <v>5</v>
      </c>
      <c r="E6233" t="s">
        <v>2470</v>
      </c>
    </row>
    <row r="6234" spans="2:5">
      <c r="B6234" s="65" t="str">
        <f t="shared" si="97"/>
        <v>doc-x1028:6</v>
      </c>
      <c r="C6234" t="s">
        <v>10861</v>
      </c>
      <c r="D6234">
        <v>6</v>
      </c>
      <c r="E6234" t="s">
        <v>2422</v>
      </c>
    </row>
    <row r="6235" spans="2:5">
      <c r="B6235" s="65" t="str">
        <f t="shared" si="97"/>
        <v>doc-x1028:7</v>
      </c>
      <c r="C6235" t="s">
        <v>10861</v>
      </c>
      <c r="D6235">
        <v>7</v>
      </c>
      <c r="E6235" t="s">
        <v>2499</v>
      </c>
    </row>
    <row r="6236" spans="2:5">
      <c r="B6236" s="65" t="str">
        <f t="shared" si="97"/>
        <v>doc-x1028:8</v>
      </c>
      <c r="C6236" t="s">
        <v>10861</v>
      </c>
      <c r="D6236">
        <v>8</v>
      </c>
      <c r="E6236" t="s">
        <v>2442</v>
      </c>
    </row>
    <row r="6237" spans="2:5">
      <c r="B6237" s="65" t="str">
        <f t="shared" si="97"/>
        <v>doc-x1029:1</v>
      </c>
      <c r="C6237" t="s">
        <v>6711</v>
      </c>
      <c r="D6237">
        <v>1</v>
      </c>
      <c r="E6237" t="s">
        <v>2027</v>
      </c>
    </row>
    <row r="6238" spans="2:5">
      <c r="B6238" s="65" t="str">
        <f t="shared" si="97"/>
        <v>doc-x1029:2</v>
      </c>
      <c r="C6238" t="s">
        <v>6711</v>
      </c>
      <c r="D6238">
        <v>2</v>
      </c>
      <c r="E6238" t="s">
        <v>1856</v>
      </c>
    </row>
    <row r="6239" spans="2:5">
      <c r="B6239" s="65" t="str">
        <f t="shared" si="97"/>
        <v>doc-x1030:1</v>
      </c>
      <c r="C6239" t="s">
        <v>6391</v>
      </c>
      <c r="D6239">
        <v>1</v>
      </c>
      <c r="E6239" t="s">
        <v>1349</v>
      </c>
    </row>
    <row r="6240" spans="2:5">
      <c r="B6240" s="65" t="str">
        <f t="shared" si="97"/>
        <v>doc-x1030:2</v>
      </c>
      <c r="C6240" t="s">
        <v>6391</v>
      </c>
      <c r="D6240">
        <v>2</v>
      </c>
      <c r="E6240" t="s">
        <v>1425</v>
      </c>
    </row>
    <row r="6241" spans="2:5">
      <c r="B6241" s="65" t="str">
        <f t="shared" si="97"/>
        <v>doc-x1030:3</v>
      </c>
      <c r="C6241" t="s">
        <v>6391</v>
      </c>
      <c r="D6241">
        <v>3</v>
      </c>
      <c r="E6241" t="s">
        <v>1395</v>
      </c>
    </row>
    <row r="6242" spans="2:5">
      <c r="B6242" s="65" t="str">
        <f t="shared" si="97"/>
        <v>doc-x1030:4</v>
      </c>
      <c r="C6242" t="s">
        <v>6391</v>
      </c>
      <c r="D6242">
        <v>4</v>
      </c>
      <c r="E6242" t="s">
        <v>1366</v>
      </c>
    </row>
    <row r="6243" spans="2:5">
      <c r="B6243" s="65" t="str">
        <f t="shared" si="97"/>
        <v>doc-x1030:5</v>
      </c>
      <c r="C6243" t="s">
        <v>6391</v>
      </c>
      <c r="D6243">
        <v>5</v>
      </c>
      <c r="E6243" t="s">
        <v>1856</v>
      </c>
    </row>
    <row r="6244" spans="2:5">
      <c r="B6244" s="65" t="str">
        <f t="shared" si="97"/>
        <v>doc-x1030:6</v>
      </c>
      <c r="C6244" t="s">
        <v>6391</v>
      </c>
      <c r="D6244">
        <v>6</v>
      </c>
      <c r="E6244" t="s">
        <v>1825</v>
      </c>
    </row>
    <row r="6245" spans="2:5">
      <c r="B6245" s="65" t="str">
        <f t="shared" si="97"/>
        <v>doc-x1031:1</v>
      </c>
      <c r="C6245" t="s">
        <v>6390</v>
      </c>
      <c r="D6245">
        <v>1</v>
      </c>
      <c r="E6245" t="s">
        <v>1349</v>
      </c>
    </row>
    <row r="6246" spans="2:5">
      <c r="B6246" s="65" t="str">
        <f t="shared" si="97"/>
        <v>doc-x1031:2</v>
      </c>
      <c r="C6246" t="s">
        <v>6390</v>
      </c>
      <c r="D6246">
        <v>2</v>
      </c>
      <c r="E6246" t="s">
        <v>1425</v>
      </c>
    </row>
    <row r="6247" spans="2:5">
      <c r="B6247" s="65" t="str">
        <f t="shared" si="97"/>
        <v>doc-x1031:3</v>
      </c>
      <c r="C6247" t="s">
        <v>6390</v>
      </c>
      <c r="D6247">
        <v>3</v>
      </c>
      <c r="E6247" t="s">
        <v>1395</v>
      </c>
    </row>
    <row r="6248" spans="2:5">
      <c r="B6248" s="65" t="str">
        <f t="shared" si="97"/>
        <v>doc-x1031:4</v>
      </c>
      <c r="C6248" t="s">
        <v>6390</v>
      </c>
      <c r="D6248">
        <v>4</v>
      </c>
      <c r="E6248" t="s">
        <v>1366</v>
      </c>
    </row>
    <row r="6249" spans="2:5">
      <c r="B6249" s="65" t="str">
        <f t="shared" si="97"/>
        <v>doc-x1031:5</v>
      </c>
      <c r="C6249" t="s">
        <v>6390</v>
      </c>
      <c r="D6249">
        <v>5</v>
      </c>
      <c r="E6249" t="s">
        <v>1856</v>
      </c>
    </row>
    <row r="6250" spans="2:5">
      <c r="B6250" s="65" t="str">
        <f t="shared" si="97"/>
        <v>doc-x1031:6</v>
      </c>
      <c r="C6250" t="s">
        <v>6390</v>
      </c>
      <c r="D6250">
        <v>6</v>
      </c>
      <c r="E6250" t="s">
        <v>1825</v>
      </c>
    </row>
    <row r="6251" spans="2:5">
      <c r="B6251" s="65" t="str">
        <f t="shared" si="97"/>
        <v>doc-x1033:1</v>
      </c>
      <c r="C6251" t="s">
        <v>10862</v>
      </c>
      <c r="D6251">
        <v>1</v>
      </c>
      <c r="E6251" t="s">
        <v>1743</v>
      </c>
    </row>
    <row r="6252" spans="2:5">
      <c r="B6252" s="65" t="str">
        <f t="shared" si="97"/>
        <v>doc-x1033:2</v>
      </c>
      <c r="C6252" t="s">
        <v>10862</v>
      </c>
      <c r="D6252">
        <v>2</v>
      </c>
      <c r="E6252" t="s">
        <v>2220</v>
      </c>
    </row>
    <row r="6253" spans="2:5">
      <c r="B6253" s="65" t="str">
        <f t="shared" si="97"/>
        <v>doc-x1033:3</v>
      </c>
      <c r="C6253" t="s">
        <v>10862</v>
      </c>
      <c r="D6253">
        <v>3</v>
      </c>
      <c r="E6253" t="s">
        <v>1856</v>
      </c>
    </row>
    <row r="6254" spans="2:5">
      <c r="B6254" s="65" t="str">
        <f t="shared" si="97"/>
        <v>doc-x1034:1</v>
      </c>
      <c r="C6254" t="s">
        <v>10863</v>
      </c>
      <c r="D6254">
        <v>1</v>
      </c>
      <c r="E6254" t="s">
        <v>1743</v>
      </c>
    </row>
    <row r="6255" spans="2:5">
      <c r="B6255" s="65" t="str">
        <f t="shared" si="97"/>
        <v>doc-x1034:2</v>
      </c>
      <c r="C6255" t="s">
        <v>10863</v>
      </c>
      <c r="D6255">
        <v>2</v>
      </c>
      <c r="E6255" t="s">
        <v>2220</v>
      </c>
    </row>
    <row r="6256" spans="2:5">
      <c r="B6256" s="65" t="str">
        <f t="shared" si="97"/>
        <v>doc-x1034:3</v>
      </c>
      <c r="C6256" t="s">
        <v>10863</v>
      </c>
      <c r="D6256">
        <v>3</v>
      </c>
      <c r="E6256" t="s">
        <v>1856</v>
      </c>
    </row>
    <row r="6257" spans="2:5">
      <c r="B6257" s="65" t="str">
        <f t="shared" si="97"/>
        <v>doc-x1037:1</v>
      </c>
      <c r="C6257" t="s">
        <v>6715</v>
      </c>
      <c r="D6257">
        <v>1</v>
      </c>
      <c r="E6257" t="s">
        <v>3145</v>
      </c>
    </row>
    <row r="6258" spans="2:5">
      <c r="B6258" s="65" t="str">
        <f t="shared" si="97"/>
        <v>doc-x1037:2</v>
      </c>
      <c r="C6258" t="s">
        <v>6715</v>
      </c>
      <c r="D6258">
        <v>2</v>
      </c>
      <c r="E6258" t="s">
        <v>254</v>
      </c>
    </row>
    <row r="6259" spans="2:5">
      <c r="B6259" s="65" t="str">
        <f t="shared" si="97"/>
        <v>doc-x1038:1</v>
      </c>
      <c r="C6259" t="s">
        <v>6719</v>
      </c>
      <c r="D6259">
        <v>1</v>
      </c>
      <c r="E6259" t="s">
        <v>3145</v>
      </c>
    </row>
    <row r="6260" spans="2:5">
      <c r="B6260" s="65" t="str">
        <f t="shared" si="97"/>
        <v>doc-x1038:2</v>
      </c>
      <c r="C6260" t="s">
        <v>6719</v>
      </c>
      <c r="D6260">
        <v>2</v>
      </c>
      <c r="E6260" t="s">
        <v>1500</v>
      </c>
    </row>
    <row r="6261" spans="2:5">
      <c r="B6261" s="65" t="str">
        <f t="shared" si="97"/>
        <v>doc-x1038:3</v>
      </c>
      <c r="C6261" t="s">
        <v>6719</v>
      </c>
      <c r="D6261">
        <v>3</v>
      </c>
      <c r="E6261" t="s">
        <v>254</v>
      </c>
    </row>
    <row r="6262" spans="2:5">
      <c r="B6262" s="65" t="str">
        <f t="shared" si="97"/>
        <v>doc-x1039:1</v>
      </c>
      <c r="C6262" t="s">
        <v>6723</v>
      </c>
      <c r="D6262">
        <v>1</v>
      </c>
      <c r="E6262" t="s">
        <v>1278</v>
      </c>
    </row>
    <row r="6263" spans="2:5">
      <c r="B6263" s="65" t="str">
        <f t="shared" si="97"/>
        <v>doc-x1039:2</v>
      </c>
      <c r="C6263" t="s">
        <v>6723</v>
      </c>
      <c r="D6263">
        <v>2</v>
      </c>
      <c r="E6263" t="s">
        <v>254</v>
      </c>
    </row>
    <row r="6264" spans="2:5">
      <c r="B6264" s="65" t="str">
        <f t="shared" si="97"/>
        <v>doc-x1040:1</v>
      </c>
      <c r="C6264" t="s">
        <v>10864</v>
      </c>
      <c r="D6264">
        <v>1</v>
      </c>
      <c r="E6264" t="s">
        <v>1283</v>
      </c>
    </row>
    <row r="6265" spans="2:5">
      <c r="B6265" s="65" t="str">
        <f t="shared" si="97"/>
        <v>doc-x1040:2</v>
      </c>
      <c r="C6265" t="s">
        <v>10864</v>
      </c>
      <c r="D6265">
        <v>2</v>
      </c>
      <c r="E6265" t="s">
        <v>1275</v>
      </c>
    </row>
    <row r="6266" spans="2:5">
      <c r="B6266" s="65" t="str">
        <f t="shared" si="97"/>
        <v>doc-x1040:3</v>
      </c>
      <c r="C6266" t="s">
        <v>10864</v>
      </c>
      <c r="D6266">
        <v>3</v>
      </c>
      <c r="E6266" t="s">
        <v>254</v>
      </c>
    </row>
    <row r="6267" spans="2:5">
      <c r="B6267" s="65" t="str">
        <f t="shared" si="97"/>
        <v>doc-x1040:4</v>
      </c>
      <c r="C6267" t="s">
        <v>10864</v>
      </c>
      <c r="D6267">
        <v>4</v>
      </c>
      <c r="E6267" t="s">
        <v>299</v>
      </c>
    </row>
    <row r="6268" spans="2:5">
      <c r="B6268" s="65" t="str">
        <f t="shared" si="97"/>
        <v>doc-x1041:1</v>
      </c>
      <c r="C6268" t="s">
        <v>10865</v>
      </c>
      <c r="D6268">
        <v>1</v>
      </c>
      <c r="E6268" t="s">
        <v>1283</v>
      </c>
    </row>
    <row r="6269" spans="2:5">
      <c r="B6269" s="65" t="str">
        <f t="shared" si="97"/>
        <v>doc-x1041:2</v>
      </c>
      <c r="C6269" t="s">
        <v>10865</v>
      </c>
      <c r="D6269">
        <v>2</v>
      </c>
      <c r="E6269" t="s">
        <v>1275</v>
      </c>
    </row>
    <row r="6270" spans="2:5">
      <c r="B6270" s="65" t="str">
        <f t="shared" si="97"/>
        <v>doc-x1041:3</v>
      </c>
      <c r="C6270" t="s">
        <v>10865</v>
      </c>
      <c r="D6270">
        <v>3</v>
      </c>
      <c r="E6270" t="s">
        <v>254</v>
      </c>
    </row>
    <row r="6271" spans="2:5">
      <c r="B6271" s="65" t="str">
        <f t="shared" si="97"/>
        <v>doc-x1041:4</v>
      </c>
      <c r="C6271" t="s">
        <v>10865</v>
      </c>
      <c r="D6271">
        <v>4</v>
      </c>
      <c r="E6271" t="s">
        <v>299</v>
      </c>
    </row>
    <row r="6272" spans="2:5">
      <c r="B6272" s="65" t="str">
        <f t="shared" si="97"/>
        <v>doc-x1042:1</v>
      </c>
      <c r="C6272" t="s">
        <v>10866</v>
      </c>
      <c r="D6272">
        <v>1</v>
      </c>
      <c r="E6272" t="s">
        <v>1321</v>
      </c>
    </row>
    <row r="6273" spans="2:5">
      <c r="B6273" s="65" t="str">
        <f t="shared" si="97"/>
        <v>doc-x1042:2</v>
      </c>
      <c r="C6273" t="s">
        <v>10866</v>
      </c>
      <c r="D6273">
        <v>2</v>
      </c>
      <c r="E6273" t="s">
        <v>1275</v>
      </c>
    </row>
    <row r="6274" spans="2:5">
      <c r="B6274" s="65" t="str">
        <f t="shared" si="97"/>
        <v>doc-x1042:3</v>
      </c>
      <c r="C6274" t="s">
        <v>10866</v>
      </c>
      <c r="D6274">
        <v>3</v>
      </c>
      <c r="E6274" t="s">
        <v>254</v>
      </c>
    </row>
    <row r="6275" spans="2:5">
      <c r="B6275" s="65" t="str">
        <f t="shared" si="97"/>
        <v>doc-x1042:4</v>
      </c>
      <c r="C6275" t="s">
        <v>10866</v>
      </c>
      <c r="D6275">
        <v>4</v>
      </c>
      <c r="E6275" t="s">
        <v>1417</v>
      </c>
    </row>
    <row r="6276" spans="2:5">
      <c r="B6276" s="65" t="str">
        <f t="shared" ref="B6276:B6320" si="98">$C6276&amp;":"&amp;$D6276</f>
        <v>doc-x1043:1</v>
      </c>
      <c r="C6276" t="s">
        <v>10867</v>
      </c>
      <c r="D6276">
        <v>1</v>
      </c>
      <c r="E6276" t="s">
        <v>1283</v>
      </c>
    </row>
    <row r="6277" spans="2:5">
      <c r="B6277" s="65" t="str">
        <f t="shared" si="98"/>
        <v>doc-x1043:2</v>
      </c>
      <c r="C6277" t="s">
        <v>10867</v>
      </c>
      <c r="D6277">
        <v>2</v>
      </c>
      <c r="E6277" t="s">
        <v>1275</v>
      </c>
    </row>
    <row r="6278" spans="2:5">
      <c r="B6278" s="65" t="str">
        <f t="shared" si="98"/>
        <v>doc-x1043:3</v>
      </c>
      <c r="C6278" t="s">
        <v>10867</v>
      </c>
      <c r="D6278">
        <v>3</v>
      </c>
      <c r="E6278" t="s">
        <v>254</v>
      </c>
    </row>
    <row r="6279" spans="2:5">
      <c r="B6279" s="65" t="str">
        <f t="shared" si="98"/>
        <v>doc-x1044:1</v>
      </c>
      <c r="C6279" t="s">
        <v>6727</v>
      </c>
      <c r="D6279">
        <v>1</v>
      </c>
      <c r="E6279" t="s">
        <v>2342</v>
      </c>
    </row>
    <row r="6280" spans="2:5">
      <c r="B6280" s="65" t="str">
        <f t="shared" si="98"/>
        <v>doc-x1044:2</v>
      </c>
      <c r="C6280" t="s">
        <v>6727</v>
      </c>
      <c r="D6280">
        <v>2</v>
      </c>
      <c r="E6280" t="s">
        <v>2331</v>
      </c>
    </row>
    <row r="6281" spans="2:5">
      <c r="B6281" s="65" t="str">
        <f t="shared" si="98"/>
        <v>doc-x1044:3</v>
      </c>
      <c r="C6281" t="s">
        <v>6727</v>
      </c>
      <c r="D6281">
        <v>3</v>
      </c>
      <c r="E6281" t="s">
        <v>1813</v>
      </c>
    </row>
    <row r="6282" spans="2:5">
      <c r="B6282" s="65" t="str">
        <f t="shared" si="98"/>
        <v>doc-x1044:4</v>
      </c>
      <c r="C6282" t="s">
        <v>6727</v>
      </c>
      <c r="D6282">
        <v>4</v>
      </c>
      <c r="E6282" t="s">
        <v>2305</v>
      </c>
    </row>
    <row r="6283" spans="2:5">
      <c r="B6283" s="65" t="str">
        <f t="shared" si="98"/>
        <v>doc-x1044:5</v>
      </c>
      <c r="C6283" t="s">
        <v>6727</v>
      </c>
      <c r="D6283">
        <v>5</v>
      </c>
      <c r="E6283" t="s">
        <v>296</v>
      </c>
    </row>
    <row r="6284" spans="2:5">
      <c r="B6284" s="65" t="str">
        <f t="shared" si="98"/>
        <v>doc-x1044:6</v>
      </c>
      <c r="C6284" t="s">
        <v>6727</v>
      </c>
      <c r="D6284">
        <v>6</v>
      </c>
      <c r="E6284" t="s">
        <v>281</v>
      </c>
    </row>
    <row r="6285" spans="2:5">
      <c r="B6285" s="65" t="str">
        <f t="shared" si="98"/>
        <v>doc-x1046:1</v>
      </c>
      <c r="C6285" t="s">
        <v>10868</v>
      </c>
      <c r="D6285">
        <v>1</v>
      </c>
      <c r="E6285" t="s">
        <v>1916</v>
      </c>
    </row>
    <row r="6286" spans="2:5">
      <c r="B6286" s="65" t="str">
        <f t="shared" si="98"/>
        <v>doc-x1046:2</v>
      </c>
      <c r="C6286" t="s">
        <v>10868</v>
      </c>
      <c r="D6286">
        <v>2</v>
      </c>
      <c r="E6286" t="s">
        <v>1854</v>
      </c>
    </row>
    <row r="6287" spans="2:5">
      <c r="B6287" s="65" t="str">
        <f t="shared" si="98"/>
        <v>doc-x1046:3</v>
      </c>
      <c r="C6287" t="s">
        <v>10868</v>
      </c>
      <c r="D6287">
        <v>3</v>
      </c>
      <c r="E6287" t="s">
        <v>2036</v>
      </c>
    </row>
    <row r="6288" spans="2:5">
      <c r="B6288" s="65" t="str">
        <f t="shared" si="98"/>
        <v>doc-x1046:4</v>
      </c>
      <c r="C6288" t="s">
        <v>10868</v>
      </c>
      <c r="D6288">
        <v>4</v>
      </c>
      <c r="E6288" t="s">
        <v>2003</v>
      </c>
    </row>
    <row r="6289" spans="2:5">
      <c r="B6289" s="65" t="str">
        <f t="shared" si="98"/>
        <v>doc-x1046:5</v>
      </c>
      <c r="C6289" t="s">
        <v>10868</v>
      </c>
      <c r="D6289">
        <v>5</v>
      </c>
      <c r="E6289" t="s">
        <v>1929</v>
      </c>
    </row>
    <row r="6290" spans="2:5">
      <c r="B6290" s="65" t="str">
        <f t="shared" si="98"/>
        <v>doc-x1047:1</v>
      </c>
      <c r="C6290" t="s">
        <v>10869</v>
      </c>
      <c r="D6290">
        <v>1</v>
      </c>
      <c r="E6290" t="s">
        <v>1747</v>
      </c>
    </row>
    <row r="6291" spans="2:5">
      <c r="B6291" s="65" t="str">
        <f t="shared" si="98"/>
        <v>doc-x1047:2</v>
      </c>
      <c r="C6291" t="s">
        <v>10869</v>
      </c>
      <c r="D6291">
        <v>2</v>
      </c>
      <c r="E6291" t="s">
        <v>302</v>
      </c>
    </row>
    <row r="6292" spans="2:5">
      <c r="B6292" s="65" t="str">
        <f t="shared" si="98"/>
        <v>doc-x1048:1</v>
      </c>
      <c r="C6292" t="s">
        <v>10870</v>
      </c>
      <c r="D6292">
        <v>1</v>
      </c>
      <c r="E6292" t="s">
        <v>73</v>
      </c>
    </row>
    <row r="6293" spans="2:5">
      <c r="B6293" s="65" t="str">
        <f t="shared" si="98"/>
        <v>doc-x1048:2</v>
      </c>
      <c r="C6293" t="s">
        <v>10870</v>
      </c>
      <c r="D6293">
        <v>2</v>
      </c>
      <c r="E6293" t="s">
        <v>1456</v>
      </c>
    </row>
    <row r="6294" spans="2:5">
      <c r="B6294" s="65" t="str">
        <f t="shared" si="98"/>
        <v>doc-x1048:3</v>
      </c>
      <c r="C6294" t="s">
        <v>10870</v>
      </c>
      <c r="D6294">
        <v>3</v>
      </c>
      <c r="E6294" t="s">
        <v>1459</v>
      </c>
    </row>
    <row r="6295" spans="2:5">
      <c r="B6295" s="65" t="str">
        <f t="shared" si="98"/>
        <v>doc-x1048:4</v>
      </c>
      <c r="C6295" t="s">
        <v>10870</v>
      </c>
      <c r="D6295">
        <v>4</v>
      </c>
      <c r="E6295" t="s">
        <v>1476</v>
      </c>
    </row>
    <row r="6296" spans="2:5">
      <c r="B6296" s="65" t="str">
        <f t="shared" si="98"/>
        <v>doc-x1048:5</v>
      </c>
      <c r="C6296" t="s">
        <v>10870</v>
      </c>
      <c r="D6296">
        <v>5</v>
      </c>
      <c r="E6296" t="s">
        <v>1470</v>
      </c>
    </row>
    <row r="6297" spans="2:5">
      <c r="B6297" s="65" t="str">
        <f t="shared" si="98"/>
        <v>doc-x1048:6</v>
      </c>
      <c r="C6297" t="s">
        <v>10870</v>
      </c>
      <c r="D6297">
        <v>6</v>
      </c>
      <c r="E6297" t="s">
        <v>79</v>
      </c>
    </row>
    <row r="6298" spans="2:5">
      <c r="B6298" s="65" t="str">
        <f t="shared" si="98"/>
        <v>doc-x1049:1</v>
      </c>
      <c r="C6298" t="s">
        <v>10871</v>
      </c>
      <c r="D6298">
        <v>1</v>
      </c>
      <c r="E6298" t="s">
        <v>79</v>
      </c>
    </row>
    <row r="6299" spans="2:5">
      <c r="B6299" s="65" t="str">
        <f t="shared" si="98"/>
        <v>doc-x1049:2</v>
      </c>
      <c r="C6299" t="s">
        <v>10871</v>
      </c>
      <c r="D6299">
        <v>2</v>
      </c>
      <c r="E6299" t="s">
        <v>1727</v>
      </c>
    </row>
    <row r="6300" spans="2:5">
      <c r="B6300" s="65" t="str">
        <f t="shared" si="98"/>
        <v>doc-x1049:3</v>
      </c>
      <c r="C6300" t="s">
        <v>10871</v>
      </c>
      <c r="D6300">
        <v>3</v>
      </c>
      <c r="E6300" t="s">
        <v>90</v>
      </c>
    </row>
    <row r="6301" spans="2:5">
      <c r="B6301" s="65" t="str">
        <f t="shared" si="98"/>
        <v>doc-x1049:4</v>
      </c>
      <c r="C6301" t="s">
        <v>10871</v>
      </c>
      <c r="D6301">
        <v>4</v>
      </c>
      <c r="E6301" t="s">
        <v>73</v>
      </c>
    </row>
    <row r="6302" spans="2:5">
      <c r="B6302" s="65" t="str">
        <f t="shared" si="98"/>
        <v>doc-x1050:1</v>
      </c>
      <c r="C6302" t="s">
        <v>10872</v>
      </c>
      <c r="D6302">
        <v>1</v>
      </c>
      <c r="E6302" t="s">
        <v>92</v>
      </c>
    </row>
    <row r="6303" spans="2:5">
      <c r="B6303" s="65" t="str">
        <f t="shared" si="98"/>
        <v>doc-x1050:2</v>
      </c>
      <c r="C6303" t="s">
        <v>10872</v>
      </c>
      <c r="D6303">
        <v>2</v>
      </c>
      <c r="E6303" t="s">
        <v>101</v>
      </c>
    </row>
    <row r="6304" spans="2:5">
      <c r="B6304" s="65" t="str">
        <f t="shared" si="98"/>
        <v>doc-x1050:3</v>
      </c>
      <c r="C6304" t="s">
        <v>10872</v>
      </c>
      <c r="D6304">
        <v>3</v>
      </c>
      <c r="E6304" t="s">
        <v>1773</v>
      </c>
    </row>
    <row r="6305" spans="2:5">
      <c r="B6305" s="65" t="str">
        <f t="shared" si="98"/>
        <v>doc-x1051:1</v>
      </c>
      <c r="C6305" t="s">
        <v>10873</v>
      </c>
      <c r="D6305">
        <v>1</v>
      </c>
      <c r="E6305" t="s">
        <v>92</v>
      </c>
    </row>
    <row r="6306" spans="2:5">
      <c r="B6306" s="65" t="str">
        <f t="shared" si="98"/>
        <v>doc-x1051:2</v>
      </c>
      <c r="C6306" t="s">
        <v>10873</v>
      </c>
      <c r="D6306">
        <v>2</v>
      </c>
      <c r="E6306" t="s">
        <v>101</v>
      </c>
    </row>
    <row r="6307" spans="2:5">
      <c r="B6307" s="65" t="str">
        <f t="shared" si="98"/>
        <v>doc-x1051:3</v>
      </c>
      <c r="C6307" t="s">
        <v>10873</v>
      </c>
      <c r="D6307">
        <v>3</v>
      </c>
      <c r="E6307" t="s">
        <v>1737</v>
      </c>
    </row>
    <row r="6308" spans="2:5">
      <c r="B6308" s="65" t="str">
        <f t="shared" si="98"/>
        <v>doc-x1051:4</v>
      </c>
      <c r="C6308" t="s">
        <v>10873</v>
      </c>
      <c r="D6308">
        <v>4</v>
      </c>
      <c r="E6308" t="s">
        <v>85</v>
      </c>
    </row>
    <row r="6309" spans="2:5">
      <c r="B6309" s="65" t="str">
        <f t="shared" si="98"/>
        <v>doc-x1052:1</v>
      </c>
      <c r="C6309" t="s">
        <v>10874</v>
      </c>
      <c r="D6309">
        <v>1</v>
      </c>
      <c r="E6309" t="s">
        <v>92</v>
      </c>
    </row>
    <row r="6310" spans="2:5">
      <c r="B6310" s="65" t="str">
        <f t="shared" si="98"/>
        <v>doc-x1052:2</v>
      </c>
      <c r="C6310" t="s">
        <v>10874</v>
      </c>
      <c r="D6310">
        <v>2</v>
      </c>
      <c r="E6310" t="s">
        <v>1747</v>
      </c>
    </row>
    <row r="6311" spans="2:5">
      <c r="B6311" s="65" t="str">
        <f t="shared" si="98"/>
        <v>doc-x1053:1</v>
      </c>
      <c r="C6311" t="s">
        <v>10875</v>
      </c>
      <c r="D6311">
        <v>1</v>
      </c>
      <c r="E6311" t="s">
        <v>92</v>
      </c>
    </row>
    <row r="6312" spans="2:5">
      <c r="B6312" s="65" t="str">
        <f t="shared" si="98"/>
        <v>doc-x1053:2</v>
      </c>
      <c r="C6312" t="s">
        <v>10875</v>
      </c>
      <c r="D6312">
        <v>2</v>
      </c>
      <c r="E6312" t="s">
        <v>1747</v>
      </c>
    </row>
    <row r="6313" spans="2:5">
      <c r="B6313" s="65" t="str">
        <f t="shared" si="98"/>
        <v>doc-x1053:3</v>
      </c>
      <c r="C6313" t="s">
        <v>10875</v>
      </c>
      <c r="D6313">
        <v>3</v>
      </c>
      <c r="E6313" t="s">
        <v>1851</v>
      </c>
    </row>
    <row r="6314" spans="2:5">
      <c r="B6314" s="65" t="str">
        <f t="shared" si="98"/>
        <v>doc-x1054:1</v>
      </c>
      <c r="C6314" t="s">
        <v>10876</v>
      </c>
      <c r="D6314">
        <v>1</v>
      </c>
      <c r="E6314" t="s">
        <v>92</v>
      </c>
    </row>
    <row r="6315" spans="2:5">
      <c r="B6315" s="65" t="str">
        <f t="shared" si="98"/>
        <v>doc-x1054:2</v>
      </c>
      <c r="C6315" t="s">
        <v>10876</v>
      </c>
      <c r="D6315">
        <v>2</v>
      </c>
      <c r="E6315" t="s">
        <v>1747</v>
      </c>
    </row>
    <row r="6316" spans="2:5">
      <c r="B6316" s="65" t="str">
        <f t="shared" si="98"/>
        <v>doc-x1054:3</v>
      </c>
      <c r="C6316" t="s">
        <v>10876</v>
      </c>
      <c r="D6316">
        <v>3</v>
      </c>
      <c r="E6316" t="s">
        <v>1851</v>
      </c>
    </row>
    <row r="6317" spans="2:5">
      <c r="B6317" s="65" t="str">
        <f t="shared" si="98"/>
        <v>doc-x1055:1</v>
      </c>
      <c r="C6317" t="s">
        <v>10877</v>
      </c>
      <c r="D6317">
        <v>1</v>
      </c>
      <c r="E6317" t="s">
        <v>3061</v>
      </c>
    </row>
    <row r="6318" spans="2:5">
      <c r="B6318" s="65" t="str">
        <f t="shared" si="98"/>
        <v>doc-x2004:1</v>
      </c>
      <c r="C6318" t="s">
        <v>6732</v>
      </c>
      <c r="D6318">
        <v>1</v>
      </c>
      <c r="E6318" t="s">
        <v>2799</v>
      </c>
    </row>
    <row r="6319" spans="2:5">
      <c r="B6319" s="65" t="str">
        <f t="shared" si="98"/>
        <v>doc-x2004:2</v>
      </c>
      <c r="C6319" t="s">
        <v>6732</v>
      </c>
      <c r="D6319">
        <v>2</v>
      </c>
      <c r="E6319" t="s">
        <v>2586</v>
      </c>
    </row>
    <row r="6320" spans="2:5">
      <c r="B6320" s="65" t="str">
        <f t="shared" si="98"/>
        <v>doc-x2004:3</v>
      </c>
      <c r="C6320" t="s">
        <v>6732</v>
      </c>
      <c r="D6320">
        <v>3</v>
      </c>
      <c r="E6320" t="s">
        <v>2537</v>
      </c>
    </row>
  </sheetData>
  <sortState ref="C3:E6320">
    <sortCondition ref="C3:C6320"/>
    <sortCondition ref="D3:D6320"/>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dashboard</vt:lpstr>
      <vt:lpstr>papers</vt:lpstr>
      <vt:lpstr>people</vt:lpstr>
      <vt:lpstr>organisations</vt:lpstr>
      <vt:lpstr>places</vt:lpstr>
      <vt:lpstr>event series</vt:lpstr>
      <vt:lpstr>events</vt:lpstr>
      <vt:lpstr>projects</vt:lpstr>
      <vt:lpstr>technical areas</vt:lpstr>
      <vt:lpstr>project plans</vt:lpstr>
      <vt:lpstr>countries</vt:lpstr>
      <vt:lpstr>dates</vt:lpstr>
      <vt:lpstr>messages</vt:lpstr>
      <vt:lpstr>linguistics</vt:lpstr>
      <vt:lpstr>x - quarters</vt:lpstr>
      <vt:lpstr>x - paper citations</vt:lpstr>
      <vt:lpstr>x - authors</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Dave Braines</dc:creator>
  <cp:lastModifiedBy>Dave Braines</cp:lastModifiedBy>
  <dcterms:created xsi:type="dcterms:W3CDTF">2016-04-16T16:11:50Z</dcterms:created>
  <dcterms:modified xsi:type="dcterms:W3CDTF">2016-04-29T17:32:24Z</dcterms:modified>
</cp:coreProperties>
</file>